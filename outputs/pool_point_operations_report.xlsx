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far\pool-point-network-planner\outputs\"/>
    </mc:Choice>
  </mc:AlternateContent>
  <xr:revisionPtr revIDLastSave="0" documentId="13_ncr:1_{4BF597EE-41BB-4C29-9B78-CFCB540340DA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About" sheetId="1" r:id="rId1"/>
    <sheet name="Dashboard" sheetId="2" r:id="rId2"/>
    <sheet name="KPI Scorecard" sheetId="3" r:id="rId3"/>
    <sheet name="Volume Forecast" sheetId="4" r:id="rId4"/>
    <sheet name="Forecast Matrix" sheetId="5" r:id="rId5"/>
    <sheet name="Carrier Outlook" sheetId="6" r:id="rId6"/>
    <sheet name="Store Visibility" sheetId="7" r:id="rId7"/>
    <sheet name="Peak Week Schedule" sheetId="8" r:id="rId8"/>
    <sheet name="Schedule Changes" sheetId="9" r:id="rId9"/>
    <sheet name="Backlog" sheetId="10" r:id="rId10"/>
    <sheet name="Weekly History" sheetId="11" r:id="rId11"/>
    <sheet name="Pivot Volume" sheetId="17" r:id="rId12"/>
    <sheet name="Pivot On-Time" sheetId="18" r:id="rId13"/>
    <sheet name="Store Forecast" sheetId="12" r:id="rId14"/>
    <sheet name="Pool Points" sheetId="13" r:id="rId15"/>
    <sheet name="Carriers" sheetId="14" r:id="rId16"/>
    <sheet name="Stores" sheetId="15" r:id="rId17"/>
    <sheet name="Settings" sheetId="16" r:id="rId18"/>
  </sheets>
  <definedNames>
    <definedName name="AsOfDate">Settings!$B$5</definedName>
    <definedName name="CostIndexAlert">Settings!$B$10</definedName>
    <definedName name="PalletsPerTrailer">Settings!$B$7</definedName>
    <definedName name="PlanWeek">Settings!$B$6</definedName>
    <definedName name="TargetFill">Settings!$B$9</definedName>
    <definedName name="TargetOnTime">Settings!$B$8</definedName>
  </definedNames>
  <calcPr calcId="181029"/>
  <pivotCaches>
    <pivotCache cacheId="7" r:id="rId19"/>
  </pivotCaches>
</workbook>
</file>

<file path=xl/calcChain.xml><?xml version="1.0" encoding="utf-8"?>
<calcChain xmlns="http://schemas.openxmlformats.org/spreadsheetml/2006/main">
  <c r="H12" i="13" l="1"/>
  <c r="H11" i="13"/>
  <c r="H10" i="13"/>
  <c r="H9" i="13"/>
  <c r="H8" i="13"/>
  <c r="H7" i="13"/>
  <c r="H6" i="13"/>
  <c r="H5" i="13"/>
  <c r="J142" i="8"/>
  <c r="I142" i="8"/>
  <c r="H142" i="8"/>
  <c r="G142" i="8"/>
  <c r="F142" i="8"/>
  <c r="E142" i="8"/>
  <c r="K141" i="8"/>
  <c r="M141" i="8" s="1"/>
  <c r="K140" i="8"/>
  <c r="M140" i="8" s="1"/>
  <c r="K139" i="8"/>
  <c r="M139" i="8" s="1"/>
  <c r="K138" i="8"/>
  <c r="M138" i="8" s="1"/>
  <c r="K137" i="8"/>
  <c r="M137" i="8" s="1"/>
  <c r="K136" i="8"/>
  <c r="M136" i="8" s="1"/>
  <c r="K135" i="8"/>
  <c r="M135" i="8" s="1"/>
  <c r="K134" i="8"/>
  <c r="M134" i="8" s="1"/>
  <c r="K133" i="8"/>
  <c r="M133" i="8" s="1"/>
  <c r="K132" i="8"/>
  <c r="M132" i="8" s="1"/>
  <c r="K131" i="8"/>
  <c r="M131" i="8" s="1"/>
  <c r="K130" i="8"/>
  <c r="M130" i="8" s="1"/>
  <c r="K129" i="8"/>
  <c r="M129" i="8" s="1"/>
  <c r="K128" i="8"/>
  <c r="M128" i="8" s="1"/>
  <c r="K127" i="8"/>
  <c r="M127" i="8" s="1"/>
  <c r="K126" i="8"/>
  <c r="M126" i="8" s="1"/>
  <c r="K125" i="8"/>
  <c r="M125" i="8" s="1"/>
  <c r="K124" i="8"/>
  <c r="M124" i="8" s="1"/>
  <c r="K123" i="8"/>
  <c r="M123" i="8" s="1"/>
  <c r="K122" i="8"/>
  <c r="M122" i="8" s="1"/>
  <c r="K121" i="8"/>
  <c r="M121" i="8" s="1"/>
  <c r="K120" i="8"/>
  <c r="M120" i="8" s="1"/>
  <c r="K119" i="8"/>
  <c r="M119" i="8" s="1"/>
  <c r="K118" i="8"/>
  <c r="M118" i="8" s="1"/>
  <c r="K117" i="8"/>
  <c r="M117" i="8" s="1"/>
  <c r="K116" i="8"/>
  <c r="M116" i="8" s="1"/>
  <c r="K115" i="8"/>
  <c r="M115" i="8" s="1"/>
  <c r="K114" i="8"/>
  <c r="M114" i="8" s="1"/>
  <c r="K113" i="8"/>
  <c r="M113" i="8" s="1"/>
  <c r="K112" i="8"/>
  <c r="M112" i="8" s="1"/>
  <c r="K111" i="8"/>
  <c r="M111" i="8" s="1"/>
  <c r="K110" i="8"/>
  <c r="M110" i="8" s="1"/>
  <c r="K109" i="8"/>
  <c r="M109" i="8" s="1"/>
  <c r="K108" i="8"/>
  <c r="M108" i="8" s="1"/>
  <c r="K107" i="8"/>
  <c r="M107" i="8" s="1"/>
  <c r="K106" i="8"/>
  <c r="M106" i="8" s="1"/>
  <c r="K105" i="8"/>
  <c r="M105" i="8" s="1"/>
  <c r="K104" i="8"/>
  <c r="M104" i="8" s="1"/>
  <c r="K103" i="8"/>
  <c r="M103" i="8" s="1"/>
  <c r="K102" i="8"/>
  <c r="M102" i="8" s="1"/>
  <c r="K101" i="8"/>
  <c r="M101" i="8" s="1"/>
  <c r="K100" i="8"/>
  <c r="M100" i="8" s="1"/>
  <c r="K99" i="8"/>
  <c r="M99" i="8" s="1"/>
  <c r="K98" i="8"/>
  <c r="M98" i="8" s="1"/>
  <c r="K97" i="8"/>
  <c r="M97" i="8" s="1"/>
  <c r="K96" i="8"/>
  <c r="M96" i="8" s="1"/>
  <c r="K95" i="8"/>
  <c r="M95" i="8" s="1"/>
  <c r="K94" i="8"/>
  <c r="M94" i="8" s="1"/>
  <c r="K93" i="8"/>
  <c r="M93" i="8" s="1"/>
  <c r="K92" i="8"/>
  <c r="M92" i="8" s="1"/>
  <c r="K91" i="8"/>
  <c r="M91" i="8" s="1"/>
  <c r="K90" i="8"/>
  <c r="M90" i="8" s="1"/>
  <c r="K89" i="8"/>
  <c r="M89" i="8" s="1"/>
  <c r="K88" i="8"/>
  <c r="M88" i="8" s="1"/>
  <c r="K87" i="8"/>
  <c r="M87" i="8" s="1"/>
  <c r="K86" i="8"/>
  <c r="M86" i="8" s="1"/>
  <c r="K85" i="8"/>
  <c r="M85" i="8" s="1"/>
  <c r="K84" i="8"/>
  <c r="M84" i="8" s="1"/>
  <c r="K83" i="8"/>
  <c r="M83" i="8" s="1"/>
  <c r="K82" i="8"/>
  <c r="M82" i="8" s="1"/>
  <c r="K81" i="8"/>
  <c r="M81" i="8" s="1"/>
  <c r="K80" i="8"/>
  <c r="M80" i="8" s="1"/>
  <c r="K79" i="8"/>
  <c r="M79" i="8" s="1"/>
  <c r="K78" i="8"/>
  <c r="M78" i="8" s="1"/>
  <c r="K77" i="8"/>
  <c r="M77" i="8" s="1"/>
  <c r="K76" i="8"/>
  <c r="M76" i="8" s="1"/>
  <c r="K75" i="8"/>
  <c r="M75" i="8" s="1"/>
  <c r="K74" i="8"/>
  <c r="M74" i="8" s="1"/>
  <c r="K73" i="8"/>
  <c r="M73" i="8" s="1"/>
  <c r="K72" i="8"/>
  <c r="M72" i="8" s="1"/>
  <c r="K71" i="8"/>
  <c r="M71" i="8" s="1"/>
  <c r="K70" i="8"/>
  <c r="M70" i="8" s="1"/>
  <c r="K69" i="8"/>
  <c r="M69" i="8" s="1"/>
  <c r="K68" i="8"/>
  <c r="M68" i="8" s="1"/>
  <c r="K67" i="8"/>
  <c r="M67" i="8" s="1"/>
  <c r="K66" i="8"/>
  <c r="M66" i="8" s="1"/>
  <c r="K65" i="8"/>
  <c r="M65" i="8" s="1"/>
  <c r="K64" i="8"/>
  <c r="M64" i="8" s="1"/>
  <c r="K63" i="8"/>
  <c r="M63" i="8" s="1"/>
  <c r="K62" i="8"/>
  <c r="M62" i="8" s="1"/>
  <c r="K61" i="8"/>
  <c r="M61" i="8" s="1"/>
  <c r="K60" i="8"/>
  <c r="M60" i="8" s="1"/>
  <c r="K59" i="8"/>
  <c r="M59" i="8" s="1"/>
  <c r="K58" i="8"/>
  <c r="M58" i="8" s="1"/>
  <c r="K57" i="8"/>
  <c r="M57" i="8" s="1"/>
  <c r="K56" i="8"/>
  <c r="M56" i="8" s="1"/>
  <c r="K55" i="8"/>
  <c r="M55" i="8" s="1"/>
  <c r="K54" i="8"/>
  <c r="M54" i="8" s="1"/>
  <c r="K53" i="8"/>
  <c r="M53" i="8" s="1"/>
  <c r="K52" i="8"/>
  <c r="M52" i="8" s="1"/>
  <c r="K51" i="8"/>
  <c r="M51" i="8" s="1"/>
  <c r="K50" i="8"/>
  <c r="M50" i="8" s="1"/>
  <c r="K49" i="8"/>
  <c r="M49" i="8" s="1"/>
  <c r="K48" i="8"/>
  <c r="M48" i="8" s="1"/>
  <c r="K47" i="8"/>
  <c r="M47" i="8" s="1"/>
  <c r="K46" i="8"/>
  <c r="M46" i="8" s="1"/>
  <c r="K45" i="8"/>
  <c r="M45" i="8" s="1"/>
  <c r="K44" i="8"/>
  <c r="M44" i="8" s="1"/>
  <c r="K43" i="8"/>
  <c r="M43" i="8" s="1"/>
  <c r="K42" i="8"/>
  <c r="M42" i="8" s="1"/>
  <c r="K41" i="8"/>
  <c r="M41" i="8" s="1"/>
  <c r="K40" i="8"/>
  <c r="M40" i="8" s="1"/>
  <c r="K39" i="8"/>
  <c r="M39" i="8" s="1"/>
  <c r="K38" i="8"/>
  <c r="M38" i="8" s="1"/>
  <c r="K37" i="8"/>
  <c r="M37" i="8" s="1"/>
  <c r="K36" i="8"/>
  <c r="M36" i="8" s="1"/>
  <c r="K35" i="8"/>
  <c r="M35" i="8" s="1"/>
  <c r="K34" i="8"/>
  <c r="M34" i="8" s="1"/>
  <c r="K33" i="8"/>
  <c r="M33" i="8" s="1"/>
  <c r="K32" i="8"/>
  <c r="M32" i="8" s="1"/>
  <c r="K31" i="8"/>
  <c r="M31" i="8" s="1"/>
  <c r="K30" i="8"/>
  <c r="M30" i="8" s="1"/>
  <c r="K29" i="8"/>
  <c r="M29" i="8" s="1"/>
  <c r="K28" i="8"/>
  <c r="M28" i="8" s="1"/>
  <c r="K27" i="8"/>
  <c r="M27" i="8" s="1"/>
  <c r="K26" i="8"/>
  <c r="M26" i="8" s="1"/>
  <c r="K25" i="8"/>
  <c r="M25" i="8" s="1"/>
  <c r="K24" i="8"/>
  <c r="M24" i="8" s="1"/>
  <c r="K23" i="8"/>
  <c r="M23" i="8" s="1"/>
  <c r="K22" i="8"/>
  <c r="M22" i="8" s="1"/>
  <c r="K21" i="8"/>
  <c r="M21" i="8" s="1"/>
  <c r="K20" i="8"/>
  <c r="M20" i="8" s="1"/>
  <c r="K19" i="8"/>
  <c r="M19" i="8" s="1"/>
  <c r="K18" i="8"/>
  <c r="M18" i="8" s="1"/>
  <c r="K17" i="8"/>
  <c r="M17" i="8" s="1"/>
  <c r="K16" i="8"/>
  <c r="M16" i="8" s="1"/>
  <c r="K15" i="8"/>
  <c r="M15" i="8" s="1"/>
  <c r="K14" i="8"/>
  <c r="M14" i="8" s="1"/>
  <c r="K13" i="8"/>
  <c r="M13" i="8" s="1"/>
  <c r="K12" i="8"/>
  <c r="M12" i="8" s="1"/>
  <c r="K11" i="8"/>
  <c r="M11" i="8" s="1"/>
  <c r="K10" i="8"/>
  <c r="M10" i="8" s="1"/>
  <c r="K9" i="8"/>
  <c r="M9" i="8" s="1"/>
  <c r="K8" i="8"/>
  <c r="M8" i="8" s="1"/>
  <c r="K7" i="8"/>
  <c r="M7" i="8" s="1"/>
  <c r="K6" i="8"/>
  <c r="M6" i="8" s="1"/>
  <c r="K5" i="8"/>
  <c r="P141" i="7"/>
  <c r="L141" i="7"/>
  <c r="K141" i="7"/>
  <c r="J141" i="7"/>
  <c r="I141" i="7"/>
  <c r="D141" i="7"/>
  <c r="P140" i="7"/>
  <c r="L140" i="7"/>
  <c r="K140" i="7"/>
  <c r="J140" i="7"/>
  <c r="I140" i="7"/>
  <c r="D140" i="7"/>
  <c r="P139" i="7"/>
  <c r="L139" i="7"/>
  <c r="K139" i="7"/>
  <c r="J139" i="7"/>
  <c r="I139" i="7"/>
  <c r="D139" i="7"/>
  <c r="P138" i="7"/>
  <c r="L138" i="7"/>
  <c r="K138" i="7"/>
  <c r="J138" i="7"/>
  <c r="I138" i="7"/>
  <c r="D138" i="7"/>
  <c r="P137" i="7"/>
  <c r="L137" i="7"/>
  <c r="K137" i="7"/>
  <c r="J137" i="7"/>
  <c r="I137" i="7"/>
  <c r="D137" i="7"/>
  <c r="P136" i="7"/>
  <c r="L136" i="7"/>
  <c r="K136" i="7"/>
  <c r="J136" i="7"/>
  <c r="I136" i="7"/>
  <c r="D136" i="7"/>
  <c r="P135" i="7"/>
  <c r="L135" i="7"/>
  <c r="K135" i="7"/>
  <c r="J135" i="7"/>
  <c r="I135" i="7"/>
  <c r="D135" i="7"/>
  <c r="P134" i="7"/>
  <c r="L134" i="7"/>
  <c r="K134" i="7"/>
  <c r="J134" i="7"/>
  <c r="I134" i="7"/>
  <c r="D134" i="7"/>
  <c r="P133" i="7"/>
  <c r="L133" i="7"/>
  <c r="K133" i="7"/>
  <c r="J133" i="7"/>
  <c r="I133" i="7"/>
  <c r="D133" i="7"/>
  <c r="P132" i="7"/>
  <c r="L132" i="7"/>
  <c r="K132" i="7"/>
  <c r="J132" i="7"/>
  <c r="I132" i="7"/>
  <c r="D132" i="7"/>
  <c r="P131" i="7"/>
  <c r="L131" i="7"/>
  <c r="K131" i="7"/>
  <c r="J131" i="7"/>
  <c r="I131" i="7"/>
  <c r="D131" i="7"/>
  <c r="P130" i="7"/>
  <c r="L130" i="7"/>
  <c r="K130" i="7"/>
  <c r="J130" i="7"/>
  <c r="I130" i="7"/>
  <c r="D130" i="7"/>
  <c r="P129" i="7"/>
  <c r="L129" i="7"/>
  <c r="K129" i="7"/>
  <c r="J129" i="7"/>
  <c r="I129" i="7"/>
  <c r="D129" i="7"/>
  <c r="P128" i="7"/>
  <c r="L128" i="7"/>
  <c r="K128" i="7"/>
  <c r="J128" i="7"/>
  <c r="I128" i="7"/>
  <c r="D128" i="7"/>
  <c r="P127" i="7"/>
  <c r="L127" i="7"/>
  <c r="K127" i="7"/>
  <c r="J127" i="7"/>
  <c r="I127" i="7"/>
  <c r="D127" i="7"/>
  <c r="P126" i="7"/>
  <c r="L126" i="7"/>
  <c r="K126" i="7"/>
  <c r="J126" i="7"/>
  <c r="I126" i="7"/>
  <c r="D126" i="7"/>
  <c r="P125" i="7"/>
  <c r="L125" i="7"/>
  <c r="K125" i="7"/>
  <c r="J125" i="7"/>
  <c r="I125" i="7"/>
  <c r="D125" i="7"/>
  <c r="P124" i="7"/>
  <c r="L124" i="7"/>
  <c r="K124" i="7"/>
  <c r="J124" i="7"/>
  <c r="I124" i="7"/>
  <c r="D124" i="7"/>
  <c r="P123" i="7"/>
  <c r="L123" i="7"/>
  <c r="K123" i="7"/>
  <c r="J123" i="7"/>
  <c r="I123" i="7"/>
  <c r="D123" i="7"/>
  <c r="P122" i="7"/>
  <c r="L122" i="7"/>
  <c r="K122" i="7"/>
  <c r="J122" i="7"/>
  <c r="I122" i="7"/>
  <c r="D122" i="7"/>
  <c r="P121" i="7"/>
  <c r="L121" i="7"/>
  <c r="K121" i="7"/>
  <c r="J121" i="7"/>
  <c r="I121" i="7"/>
  <c r="D121" i="7"/>
  <c r="P120" i="7"/>
  <c r="L120" i="7"/>
  <c r="K120" i="7"/>
  <c r="J120" i="7"/>
  <c r="I120" i="7"/>
  <c r="D120" i="7"/>
  <c r="P119" i="7"/>
  <c r="L119" i="7"/>
  <c r="K119" i="7"/>
  <c r="J119" i="7"/>
  <c r="I119" i="7"/>
  <c r="D119" i="7"/>
  <c r="P118" i="7"/>
  <c r="L118" i="7"/>
  <c r="K118" i="7"/>
  <c r="J118" i="7"/>
  <c r="I118" i="7"/>
  <c r="D118" i="7"/>
  <c r="P117" i="7"/>
  <c r="L117" i="7"/>
  <c r="K117" i="7"/>
  <c r="J117" i="7"/>
  <c r="I117" i="7"/>
  <c r="D117" i="7"/>
  <c r="P116" i="7"/>
  <c r="L116" i="7"/>
  <c r="K116" i="7"/>
  <c r="J116" i="7"/>
  <c r="I116" i="7"/>
  <c r="D116" i="7"/>
  <c r="P115" i="7"/>
  <c r="L115" i="7"/>
  <c r="K115" i="7"/>
  <c r="J115" i="7"/>
  <c r="I115" i="7"/>
  <c r="D115" i="7"/>
  <c r="P114" i="7"/>
  <c r="L114" i="7"/>
  <c r="K114" i="7"/>
  <c r="J114" i="7"/>
  <c r="I114" i="7"/>
  <c r="D114" i="7"/>
  <c r="P113" i="7"/>
  <c r="L113" i="7"/>
  <c r="K113" i="7"/>
  <c r="J113" i="7"/>
  <c r="I113" i="7"/>
  <c r="D113" i="7"/>
  <c r="P112" i="7"/>
  <c r="L112" i="7"/>
  <c r="K112" i="7"/>
  <c r="J112" i="7"/>
  <c r="I112" i="7"/>
  <c r="D112" i="7"/>
  <c r="P111" i="7"/>
  <c r="L111" i="7"/>
  <c r="K111" i="7"/>
  <c r="J111" i="7"/>
  <c r="I111" i="7"/>
  <c r="D111" i="7"/>
  <c r="P110" i="7"/>
  <c r="L110" i="7"/>
  <c r="K110" i="7"/>
  <c r="J110" i="7"/>
  <c r="I110" i="7"/>
  <c r="D110" i="7"/>
  <c r="P109" i="7"/>
  <c r="L109" i="7"/>
  <c r="K109" i="7"/>
  <c r="J109" i="7"/>
  <c r="I109" i="7"/>
  <c r="D109" i="7"/>
  <c r="P108" i="7"/>
  <c r="L108" i="7"/>
  <c r="K108" i="7"/>
  <c r="J108" i="7"/>
  <c r="I108" i="7"/>
  <c r="D108" i="7"/>
  <c r="P107" i="7"/>
  <c r="L107" i="7"/>
  <c r="K107" i="7"/>
  <c r="J107" i="7"/>
  <c r="I107" i="7"/>
  <c r="D107" i="7"/>
  <c r="P106" i="7"/>
  <c r="L106" i="7"/>
  <c r="K106" i="7"/>
  <c r="J106" i="7"/>
  <c r="I106" i="7"/>
  <c r="D106" i="7"/>
  <c r="P105" i="7"/>
  <c r="L105" i="7"/>
  <c r="K105" i="7"/>
  <c r="J105" i="7"/>
  <c r="I105" i="7"/>
  <c r="D105" i="7"/>
  <c r="P104" i="7"/>
  <c r="L104" i="7"/>
  <c r="K104" i="7"/>
  <c r="J104" i="7"/>
  <c r="I104" i="7"/>
  <c r="D104" i="7"/>
  <c r="P103" i="7"/>
  <c r="L103" i="7"/>
  <c r="K103" i="7"/>
  <c r="J103" i="7"/>
  <c r="I103" i="7"/>
  <c r="D103" i="7"/>
  <c r="P102" i="7"/>
  <c r="L102" i="7"/>
  <c r="K102" i="7"/>
  <c r="J102" i="7"/>
  <c r="I102" i="7"/>
  <c r="D102" i="7"/>
  <c r="P101" i="7"/>
  <c r="L101" i="7"/>
  <c r="K101" i="7"/>
  <c r="J101" i="7"/>
  <c r="I101" i="7"/>
  <c r="D101" i="7"/>
  <c r="P100" i="7"/>
  <c r="L100" i="7"/>
  <c r="K100" i="7"/>
  <c r="J100" i="7"/>
  <c r="I100" i="7"/>
  <c r="D100" i="7"/>
  <c r="P99" i="7"/>
  <c r="L99" i="7"/>
  <c r="K99" i="7"/>
  <c r="J99" i="7"/>
  <c r="I99" i="7"/>
  <c r="D99" i="7"/>
  <c r="P98" i="7"/>
  <c r="L98" i="7"/>
  <c r="K98" i="7"/>
  <c r="J98" i="7"/>
  <c r="I98" i="7"/>
  <c r="D98" i="7"/>
  <c r="P97" i="7"/>
  <c r="L97" i="7"/>
  <c r="K97" i="7"/>
  <c r="J97" i="7"/>
  <c r="I97" i="7"/>
  <c r="D97" i="7"/>
  <c r="P96" i="7"/>
  <c r="L96" i="7"/>
  <c r="K96" i="7"/>
  <c r="J96" i="7"/>
  <c r="I96" i="7"/>
  <c r="D96" i="7"/>
  <c r="P95" i="7"/>
  <c r="L95" i="7"/>
  <c r="K95" i="7"/>
  <c r="J95" i="7"/>
  <c r="I95" i="7"/>
  <c r="D95" i="7"/>
  <c r="P94" i="7"/>
  <c r="L94" i="7"/>
  <c r="K94" i="7"/>
  <c r="J94" i="7"/>
  <c r="I94" i="7"/>
  <c r="D94" i="7"/>
  <c r="P93" i="7"/>
  <c r="L93" i="7"/>
  <c r="K93" i="7"/>
  <c r="J93" i="7"/>
  <c r="I93" i="7"/>
  <c r="D93" i="7"/>
  <c r="P92" i="7"/>
  <c r="L92" i="7"/>
  <c r="K92" i="7"/>
  <c r="J92" i="7"/>
  <c r="I92" i="7"/>
  <c r="D92" i="7"/>
  <c r="P91" i="7"/>
  <c r="L91" i="7"/>
  <c r="K91" i="7"/>
  <c r="J91" i="7"/>
  <c r="I91" i="7"/>
  <c r="D91" i="7"/>
  <c r="P90" i="7"/>
  <c r="L90" i="7"/>
  <c r="K90" i="7"/>
  <c r="J90" i="7"/>
  <c r="I90" i="7"/>
  <c r="D90" i="7"/>
  <c r="P89" i="7"/>
  <c r="L89" i="7"/>
  <c r="K89" i="7"/>
  <c r="J89" i="7"/>
  <c r="I89" i="7"/>
  <c r="D89" i="7"/>
  <c r="P88" i="7"/>
  <c r="L88" i="7"/>
  <c r="K88" i="7"/>
  <c r="J88" i="7"/>
  <c r="I88" i="7"/>
  <c r="D88" i="7"/>
  <c r="P87" i="7"/>
  <c r="L87" i="7"/>
  <c r="K87" i="7"/>
  <c r="J87" i="7"/>
  <c r="I87" i="7"/>
  <c r="D87" i="7"/>
  <c r="P86" i="7"/>
  <c r="L86" i="7"/>
  <c r="K86" i="7"/>
  <c r="J86" i="7"/>
  <c r="I86" i="7"/>
  <c r="D86" i="7"/>
  <c r="P85" i="7"/>
  <c r="L85" i="7"/>
  <c r="K85" i="7"/>
  <c r="J85" i="7"/>
  <c r="I85" i="7"/>
  <c r="D85" i="7"/>
  <c r="P84" i="7"/>
  <c r="L84" i="7"/>
  <c r="K84" i="7"/>
  <c r="J84" i="7"/>
  <c r="I84" i="7"/>
  <c r="D84" i="7"/>
  <c r="P83" i="7"/>
  <c r="L83" i="7"/>
  <c r="K83" i="7"/>
  <c r="J83" i="7"/>
  <c r="I83" i="7"/>
  <c r="D83" i="7"/>
  <c r="P82" i="7"/>
  <c r="L82" i="7"/>
  <c r="K82" i="7"/>
  <c r="J82" i="7"/>
  <c r="I82" i="7"/>
  <c r="D82" i="7"/>
  <c r="P81" i="7"/>
  <c r="L81" i="7"/>
  <c r="K81" i="7"/>
  <c r="J81" i="7"/>
  <c r="I81" i="7"/>
  <c r="D81" i="7"/>
  <c r="P80" i="7"/>
  <c r="L80" i="7"/>
  <c r="K80" i="7"/>
  <c r="J80" i="7"/>
  <c r="I80" i="7"/>
  <c r="D80" i="7"/>
  <c r="P79" i="7"/>
  <c r="L79" i="7"/>
  <c r="K79" i="7"/>
  <c r="J79" i="7"/>
  <c r="I79" i="7"/>
  <c r="D79" i="7"/>
  <c r="P78" i="7"/>
  <c r="L78" i="7"/>
  <c r="K78" i="7"/>
  <c r="J78" i="7"/>
  <c r="I78" i="7"/>
  <c r="D78" i="7"/>
  <c r="P77" i="7"/>
  <c r="L77" i="7"/>
  <c r="K77" i="7"/>
  <c r="J77" i="7"/>
  <c r="I77" i="7"/>
  <c r="D77" i="7"/>
  <c r="P76" i="7"/>
  <c r="L76" i="7"/>
  <c r="K76" i="7"/>
  <c r="J76" i="7"/>
  <c r="I76" i="7"/>
  <c r="D76" i="7"/>
  <c r="P75" i="7"/>
  <c r="L75" i="7"/>
  <c r="K75" i="7"/>
  <c r="J75" i="7"/>
  <c r="I75" i="7"/>
  <c r="D75" i="7"/>
  <c r="P74" i="7"/>
  <c r="L74" i="7"/>
  <c r="K74" i="7"/>
  <c r="J74" i="7"/>
  <c r="I74" i="7"/>
  <c r="D74" i="7"/>
  <c r="P73" i="7"/>
  <c r="L73" i="7"/>
  <c r="K73" i="7"/>
  <c r="J73" i="7"/>
  <c r="I73" i="7"/>
  <c r="D73" i="7"/>
  <c r="P72" i="7"/>
  <c r="L72" i="7"/>
  <c r="K72" i="7"/>
  <c r="J72" i="7"/>
  <c r="I72" i="7"/>
  <c r="D72" i="7"/>
  <c r="P71" i="7"/>
  <c r="L71" i="7"/>
  <c r="K71" i="7"/>
  <c r="J71" i="7"/>
  <c r="I71" i="7"/>
  <c r="D71" i="7"/>
  <c r="P70" i="7"/>
  <c r="L70" i="7"/>
  <c r="K70" i="7"/>
  <c r="J70" i="7"/>
  <c r="I70" i="7"/>
  <c r="D70" i="7"/>
  <c r="P69" i="7"/>
  <c r="L69" i="7"/>
  <c r="K69" i="7"/>
  <c r="J69" i="7"/>
  <c r="I69" i="7"/>
  <c r="D69" i="7"/>
  <c r="P68" i="7"/>
  <c r="L68" i="7"/>
  <c r="K68" i="7"/>
  <c r="J68" i="7"/>
  <c r="I68" i="7"/>
  <c r="D68" i="7"/>
  <c r="P67" i="7"/>
  <c r="L67" i="7"/>
  <c r="K67" i="7"/>
  <c r="J67" i="7"/>
  <c r="I67" i="7"/>
  <c r="D67" i="7"/>
  <c r="P66" i="7"/>
  <c r="L66" i="7"/>
  <c r="K66" i="7"/>
  <c r="J66" i="7"/>
  <c r="I66" i="7"/>
  <c r="D66" i="7"/>
  <c r="P65" i="7"/>
  <c r="L65" i="7"/>
  <c r="K65" i="7"/>
  <c r="J65" i="7"/>
  <c r="I65" i="7"/>
  <c r="D65" i="7"/>
  <c r="P64" i="7"/>
  <c r="L64" i="7"/>
  <c r="K64" i="7"/>
  <c r="J64" i="7"/>
  <c r="I64" i="7"/>
  <c r="D64" i="7"/>
  <c r="P63" i="7"/>
  <c r="L63" i="7"/>
  <c r="K63" i="7"/>
  <c r="J63" i="7"/>
  <c r="I63" i="7"/>
  <c r="D63" i="7"/>
  <c r="P62" i="7"/>
  <c r="L62" i="7"/>
  <c r="K62" i="7"/>
  <c r="J62" i="7"/>
  <c r="I62" i="7"/>
  <c r="D62" i="7"/>
  <c r="P61" i="7"/>
  <c r="L61" i="7"/>
  <c r="K61" i="7"/>
  <c r="J61" i="7"/>
  <c r="I61" i="7"/>
  <c r="D61" i="7"/>
  <c r="P60" i="7"/>
  <c r="L60" i="7"/>
  <c r="K60" i="7"/>
  <c r="J60" i="7"/>
  <c r="I60" i="7"/>
  <c r="D60" i="7"/>
  <c r="P59" i="7"/>
  <c r="L59" i="7"/>
  <c r="K59" i="7"/>
  <c r="J59" i="7"/>
  <c r="I59" i="7"/>
  <c r="D59" i="7"/>
  <c r="P58" i="7"/>
  <c r="L58" i="7"/>
  <c r="K58" i="7"/>
  <c r="J58" i="7"/>
  <c r="I58" i="7"/>
  <c r="D58" i="7"/>
  <c r="P57" i="7"/>
  <c r="L57" i="7"/>
  <c r="K57" i="7"/>
  <c r="J57" i="7"/>
  <c r="I57" i="7"/>
  <c r="D57" i="7"/>
  <c r="P56" i="7"/>
  <c r="L56" i="7"/>
  <c r="K56" i="7"/>
  <c r="J56" i="7"/>
  <c r="I56" i="7"/>
  <c r="D56" i="7"/>
  <c r="P55" i="7"/>
  <c r="L55" i="7"/>
  <c r="K55" i="7"/>
  <c r="J55" i="7"/>
  <c r="I55" i="7"/>
  <c r="D55" i="7"/>
  <c r="P54" i="7"/>
  <c r="L54" i="7"/>
  <c r="K54" i="7"/>
  <c r="J54" i="7"/>
  <c r="I54" i="7"/>
  <c r="D54" i="7"/>
  <c r="P53" i="7"/>
  <c r="L53" i="7"/>
  <c r="K53" i="7"/>
  <c r="J53" i="7"/>
  <c r="I53" i="7"/>
  <c r="D53" i="7"/>
  <c r="P52" i="7"/>
  <c r="L52" i="7"/>
  <c r="K52" i="7"/>
  <c r="J52" i="7"/>
  <c r="I52" i="7"/>
  <c r="D52" i="7"/>
  <c r="P51" i="7"/>
  <c r="L51" i="7"/>
  <c r="K51" i="7"/>
  <c r="J51" i="7"/>
  <c r="I51" i="7"/>
  <c r="D51" i="7"/>
  <c r="P50" i="7"/>
  <c r="L50" i="7"/>
  <c r="K50" i="7"/>
  <c r="J50" i="7"/>
  <c r="I50" i="7"/>
  <c r="D50" i="7"/>
  <c r="P49" i="7"/>
  <c r="L49" i="7"/>
  <c r="K49" i="7"/>
  <c r="J49" i="7"/>
  <c r="I49" i="7"/>
  <c r="D49" i="7"/>
  <c r="P48" i="7"/>
  <c r="L48" i="7"/>
  <c r="K48" i="7"/>
  <c r="J48" i="7"/>
  <c r="I48" i="7"/>
  <c r="D48" i="7"/>
  <c r="P47" i="7"/>
  <c r="L47" i="7"/>
  <c r="K47" i="7"/>
  <c r="J47" i="7"/>
  <c r="I47" i="7"/>
  <c r="D47" i="7"/>
  <c r="P46" i="7"/>
  <c r="L46" i="7"/>
  <c r="K46" i="7"/>
  <c r="J46" i="7"/>
  <c r="I46" i="7"/>
  <c r="D46" i="7"/>
  <c r="P45" i="7"/>
  <c r="L45" i="7"/>
  <c r="K45" i="7"/>
  <c r="J45" i="7"/>
  <c r="I45" i="7"/>
  <c r="D45" i="7"/>
  <c r="P44" i="7"/>
  <c r="L44" i="7"/>
  <c r="K44" i="7"/>
  <c r="J44" i="7"/>
  <c r="I44" i="7"/>
  <c r="D44" i="7"/>
  <c r="P43" i="7"/>
  <c r="L43" i="7"/>
  <c r="K43" i="7"/>
  <c r="J43" i="7"/>
  <c r="I43" i="7"/>
  <c r="D43" i="7"/>
  <c r="P42" i="7"/>
  <c r="L42" i="7"/>
  <c r="K42" i="7"/>
  <c r="J42" i="7"/>
  <c r="I42" i="7"/>
  <c r="D42" i="7"/>
  <c r="P41" i="7"/>
  <c r="L41" i="7"/>
  <c r="K41" i="7"/>
  <c r="J41" i="7"/>
  <c r="I41" i="7"/>
  <c r="D41" i="7"/>
  <c r="P40" i="7"/>
  <c r="L40" i="7"/>
  <c r="K40" i="7"/>
  <c r="J40" i="7"/>
  <c r="I40" i="7"/>
  <c r="D40" i="7"/>
  <c r="P39" i="7"/>
  <c r="L39" i="7"/>
  <c r="K39" i="7"/>
  <c r="J39" i="7"/>
  <c r="I39" i="7"/>
  <c r="D39" i="7"/>
  <c r="P38" i="7"/>
  <c r="L38" i="7"/>
  <c r="K38" i="7"/>
  <c r="J38" i="7"/>
  <c r="I38" i="7"/>
  <c r="D38" i="7"/>
  <c r="P37" i="7"/>
  <c r="L37" i="7"/>
  <c r="K37" i="7"/>
  <c r="J37" i="7"/>
  <c r="I37" i="7"/>
  <c r="D37" i="7"/>
  <c r="P36" i="7"/>
  <c r="L36" i="7"/>
  <c r="K36" i="7"/>
  <c r="J36" i="7"/>
  <c r="I36" i="7"/>
  <c r="D36" i="7"/>
  <c r="P35" i="7"/>
  <c r="L35" i="7"/>
  <c r="K35" i="7"/>
  <c r="J35" i="7"/>
  <c r="I35" i="7"/>
  <c r="D35" i="7"/>
  <c r="P34" i="7"/>
  <c r="L34" i="7"/>
  <c r="K34" i="7"/>
  <c r="J34" i="7"/>
  <c r="I34" i="7"/>
  <c r="D34" i="7"/>
  <c r="P33" i="7"/>
  <c r="L33" i="7"/>
  <c r="K33" i="7"/>
  <c r="J33" i="7"/>
  <c r="I33" i="7"/>
  <c r="D33" i="7"/>
  <c r="P32" i="7"/>
  <c r="L32" i="7"/>
  <c r="K32" i="7"/>
  <c r="J32" i="7"/>
  <c r="I32" i="7"/>
  <c r="D32" i="7"/>
  <c r="P31" i="7"/>
  <c r="L31" i="7"/>
  <c r="K31" i="7"/>
  <c r="J31" i="7"/>
  <c r="I31" i="7"/>
  <c r="D31" i="7"/>
  <c r="P30" i="7"/>
  <c r="L30" i="7"/>
  <c r="K30" i="7"/>
  <c r="J30" i="7"/>
  <c r="I30" i="7"/>
  <c r="D30" i="7"/>
  <c r="P29" i="7"/>
  <c r="L29" i="7"/>
  <c r="K29" i="7"/>
  <c r="J29" i="7"/>
  <c r="I29" i="7"/>
  <c r="D29" i="7"/>
  <c r="P28" i="7"/>
  <c r="L28" i="7"/>
  <c r="K28" i="7"/>
  <c r="J28" i="7"/>
  <c r="I28" i="7"/>
  <c r="D28" i="7"/>
  <c r="P27" i="7"/>
  <c r="L27" i="7"/>
  <c r="K27" i="7"/>
  <c r="J27" i="7"/>
  <c r="I27" i="7"/>
  <c r="D27" i="7"/>
  <c r="P26" i="7"/>
  <c r="L26" i="7"/>
  <c r="K26" i="7"/>
  <c r="J26" i="7"/>
  <c r="I26" i="7"/>
  <c r="D26" i="7"/>
  <c r="P25" i="7"/>
  <c r="L25" i="7"/>
  <c r="K25" i="7"/>
  <c r="J25" i="7"/>
  <c r="I25" i="7"/>
  <c r="D25" i="7"/>
  <c r="P24" i="7"/>
  <c r="L24" i="7"/>
  <c r="K24" i="7"/>
  <c r="J24" i="7"/>
  <c r="I24" i="7"/>
  <c r="D24" i="7"/>
  <c r="P23" i="7"/>
  <c r="L23" i="7"/>
  <c r="K23" i="7"/>
  <c r="J23" i="7"/>
  <c r="I23" i="7"/>
  <c r="D23" i="7"/>
  <c r="P22" i="7"/>
  <c r="L22" i="7"/>
  <c r="K22" i="7"/>
  <c r="J22" i="7"/>
  <c r="I22" i="7"/>
  <c r="D22" i="7"/>
  <c r="P21" i="7"/>
  <c r="L21" i="7"/>
  <c r="K21" i="7"/>
  <c r="J21" i="7"/>
  <c r="I21" i="7"/>
  <c r="D21" i="7"/>
  <c r="P20" i="7"/>
  <c r="L20" i="7"/>
  <c r="K20" i="7"/>
  <c r="J20" i="7"/>
  <c r="I20" i="7"/>
  <c r="D20" i="7"/>
  <c r="P19" i="7"/>
  <c r="L19" i="7"/>
  <c r="K19" i="7"/>
  <c r="J19" i="7"/>
  <c r="I19" i="7"/>
  <c r="D19" i="7"/>
  <c r="P18" i="7"/>
  <c r="L18" i="7"/>
  <c r="K18" i="7"/>
  <c r="J18" i="7"/>
  <c r="I18" i="7"/>
  <c r="D18" i="7"/>
  <c r="P17" i="7"/>
  <c r="L17" i="7"/>
  <c r="K17" i="7"/>
  <c r="J17" i="7"/>
  <c r="I17" i="7"/>
  <c r="D17" i="7"/>
  <c r="P16" i="7"/>
  <c r="L16" i="7"/>
  <c r="K16" i="7"/>
  <c r="J16" i="7"/>
  <c r="I16" i="7"/>
  <c r="D16" i="7"/>
  <c r="P15" i="7"/>
  <c r="L15" i="7"/>
  <c r="K15" i="7"/>
  <c r="J15" i="7"/>
  <c r="I15" i="7"/>
  <c r="D15" i="7"/>
  <c r="P14" i="7"/>
  <c r="L14" i="7"/>
  <c r="K14" i="7"/>
  <c r="J14" i="7"/>
  <c r="I14" i="7"/>
  <c r="D14" i="7"/>
  <c r="P13" i="7"/>
  <c r="L13" i="7"/>
  <c r="K13" i="7"/>
  <c r="J13" i="7"/>
  <c r="I13" i="7"/>
  <c r="D13" i="7"/>
  <c r="P12" i="7"/>
  <c r="L12" i="7"/>
  <c r="K12" i="7"/>
  <c r="J12" i="7"/>
  <c r="I12" i="7"/>
  <c r="D12" i="7"/>
  <c r="P11" i="7"/>
  <c r="L11" i="7"/>
  <c r="K11" i="7"/>
  <c r="J11" i="7"/>
  <c r="I11" i="7"/>
  <c r="D11" i="7"/>
  <c r="P10" i="7"/>
  <c r="L10" i="7"/>
  <c r="K10" i="7"/>
  <c r="J10" i="7"/>
  <c r="I10" i="7"/>
  <c r="D10" i="7"/>
  <c r="P9" i="7"/>
  <c r="L9" i="7"/>
  <c r="K9" i="7"/>
  <c r="J9" i="7"/>
  <c r="I9" i="7"/>
  <c r="D9" i="7"/>
  <c r="P8" i="7"/>
  <c r="L8" i="7"/>
  <c r="K8" i="7"/>
  <c r="J8" i="7"/>
  <c r="I8" i="7"/>
  <c r="D8" i="7"/>
  <c r="P7" i="7"/>
  <c r="L7" i="7"/>
  <c r="K7" i="7"/>
  <c r="J7" i="7"/>
  <c r="I7" i="7"/>
  <c r="D7" i="7"/>
  <c r="P6" i="7"/>
  <c r="L6" i="7"/>
  <c r="K6" i="7"/>
  <c r="J6" i="7"/>
  <c r="I6" i="7"/>
  <c r="D6" i="7"/>
  <c r="P5" i="7"/>
  <c r="L5" i="7"/>
  <c r="K5" i="7"/>
  <c r="J5" i="7"/>
  <c r="I5" i="7"/>
  <c r="D5" i="7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L212" i="4"/>
  <c r="I212" i="4"/>
  <c r="L211" i="4"/>
  <c r="I211" i="4"/>
  <c r="L210" i="4"/>
  <c r="I210" i="4"/>
  <c r="L209" i="4"/>
  <c r="I209" i="4"/>
  <c r="L208" i="4"/>
  <c r="I208" i="4"/>
  <c r="L207" i="4"/>
  <c r="I207" i="4"/>
  <c r="L206" i="4"/>
  <c r="I206" i="4"/>
  <c r="L205" i="4"/>
  <c r="I205" i="4"/>
  <c r="L204" i="4"/>
  <c r="I204" i="4"/>
  <c r="L203" i="4"/>
  <c r="I203" i="4"/>
  <c r="L202" i="4"/>
  <c r="I202" i="4"/>
  <c r="L201" i="4"/>
  <c r="I201" i="4"/>
  <c r="L200" i="4"/>
  <c r="I200" i="4"/>
  <c r="L199" i="4"/>
  <c r="I199" i="4"/>
  <c r="L198" i="4"/>
  <c r="I198" i="4"/>
  <c r="L197" i="4"/>
  <c r="I197" i="4"/>
  <c r="L196" i="4"/>
  <c r="I196" i="4"/>
  <c r="L195" i="4"/>
  <c r="I195" i="4"/>
  <c r="L194" i="4"/>
  <c r="I194" i="4"/>
  <c r="L193" i="4"/>
  <c r="I193" i="4"/>
  <c r="L192" i="4"/>
  <c r="I192" i="4"/>
  <c r="L191" i="4"/>
  <c r="I191" i="4"/>
  <c r="L190" i="4"/>
  <c r="I190" i="4"/>
  <c r="L189" i="4"/>
  <c r="I189" i="4"/>
  <c r="L188" i="4"/>
  <c r="I188" i="4"/>
  <c r="L187" i="4"/>
  <c r="I187" i="4"/>
  <c r="L186" i="4"/>
  <c r="I186" i="4"/>
  <c r="L185" i="4"/>
  <c r="I185" i="4"/>
  <c r="L184" i="4"/>
  <c r="I184" i="4"/>
  <c r="L183" i="4"/>
  <c r="I183" i="4"/>
  <c r="L182" i="4"/>
  <c r="I182" i="4"/>
  <c r="L181" i="4"/>
  <c r="I181" i="4"/>
  <c r="L180" i="4"/>
  <c r="I180" i="4"/>
  <c r="L179" i="4"/>
  <c r="I179" i="4"/>
  <c r="L178" i="4"/>
  <c r="I178" i="4"/>
  <c r="L177" i="4"/>
  <c r="I177" i="4"/>
  <c r="L176" i="4"/>
  <c r="I176" i="4"/>
  <c r="L175" i="4"/>
  <c r="I175" i="4"/>
  <c r="L174" i="4"/>
  <c r="I174" i="4"/>
  <c r="L173" i="4"/>
  <c r="I173" i="4"/>
  <c r="L172" i="4"/>
  <c r="I172" i="4"/>
  <c r="L171" i="4"/>
  <c r="I171" i="4"/>
  <c r="L170" i="4"/>
  <c r="I170" i="4"/>
  <c r="L169" i="4"/>
  <c r="I169" i="4"/>
  <c r="L168" i="4"/>
  <c r="I168" i="4"/>
  <c r="L167" i="4"/>
  <c r="I167" i="4"/>
  <c r="L166" i="4"/>
  <c r="I166" i="4"/>
  <c r="L165" i="4"/>
  <c r="I165" i="4"/>
  <c r="L164" i="4"/>
  <c r="I164" i="4"/>
  <c r="L163" i="4"/>
  <c r="I163" i="4"/>
  <c r="L162" i="4"/>
  <c r="I162" i="4"/>
  <c r="L161" i="4"/>
  <c r="I161" i="4"/>
  <c r="L160" i="4"/>
  <c r="I160" i="4"/>
  <c r="L159" i="4"/>
  <c r="I159" i="4"/>
  <c r="L158" i="4"/>
  <c r="I158" i="4"/>
  <c r="L157" i="4"/>
  <c r="I157" i="4"/>
  <c r="L156" i="4"/>
  <c r="I156" i="4"/>
  <c r="L155" i="4"/>
  <c r="I155" i="4"/>
  <c r="L154" i="4"/>
  <c r="I154" i="4"/>
  <c r="L153" i="4"/>
  <c r="I153" i="4"/>
  <c r="L152" i="4"/>
  <c r="I152" i="4"/>
  <c r="L151" i="4"/>
  <c r="I151" i="4"/>
  <c r="L150" i="4"/>
  <c r="I150" i="4"/>
  <c r="L149" i="4"/>
  <c r="I149" i="4"/>
  <c r="L148" i="4"/>
  <c r="I148" i="4"/>
  <c r="L147" i="4"/>
  <c r="I147" i="4"/>
  <c r="L146" i="4"/>
  <c r="I146" i="4"/>
  <c r="L145" i="4"/>
  <c r="I145" i="4"/>
  <c r="L144" i="4"/>
  <c r="I144" i="4"/>
  <c r="L143" i="4"/>
  <c r="I143" i="4"/>
  <c r="L142" i="4"/>
  <c r="I142" i="4"/>
  <c r="L141" i="4"/>
  <c r="I141" i="4"/>
  <c r="L140" i="4"/>
  <c r="I140" i="4"/>
  <c r="L139" i="4"/>
  <c r="I139" i="4"/>
  <c r="L138" i="4"/>
  <c r="I138" i="4"/>
  <c r="L137" i="4"/>
  <c r="I137" i="4"/>
  <c r="L136" i="4"/>
  <c r="I136" i="4"/>
  <c r="L135" i="4"/>
  <c r="I135" i="4"/>
  <c r="L134" i="4"/>
  <c r="I134" i="4"/>
  <c r="L133" i="4"/>
  <c r="I133" i="4"/>
  <c r="L132" i="4"/>
  <c r="I132" i="4"/>
  <c r="L131" i="4"/>
  <c r="I131" i="4"/>
  <c r="L130" i="4"/>
  <c r="I130" i="4"/>
  <c r="L129" i="4"/>
  <c r="I129" i="4"/>
  <c r="L128" i="4"/>
  <c r="I128" i="4"/>
  <c r="L127" i="4"/>
  <c r="I127" i="4"/>
  <c r="L126" i="4"/>
  <c r="I126" i="4"/>
  <c r="L125" i="4"/>
  <c r="I125" i="4"/>
  <c r="L124" i="4"/>
  <c r="I124" i="4"/>
  <c r="L123" i="4"/>
  <c r="I123" i="4"/>
  <c r="L122" i="4"/>
  <c r="I122" i="4"/>
  <c r="L121" i="4"/>
  <c r="I121" i="4"/>
  <c r="L120" i="4"/>
  <c r="I120" i="4"/>
  <c r="L119" i="4"/>
  <c r="I119" i="4"/>
  <c r="L118" i="4"/>
  <c r="I118" i="4"/>
  <c r="L117" i="4"/>
  <c r="I117" i="4"/>
  <c r="L116" i="4"/>
  <c r="I116" i="4"/>
  <c r="L115" i="4"/>
  <c r="I115" i="4"/>
  <c r="L114" i="4"/>
  <c r="I114" i="4"/>
  <c r="L113" i="4"/>
  <c r="I113" i="4"/>
  <c r="L112" i="4"/>
  <c r="I112" i="4"/>
  <c r="L111" i="4"/>
  <c r="I111" i="4"/>
  <c r="L110" i="4"/>
  <c r="I110" i="4"/>
  <c r="L109" i="4"/>
  <c r="I109" i="4"/>
  <c r="L108" i="4"/>
  <c r="I108" i="4"/>
  <c r="L107" i="4"/>
  <c r="I107" i="4"/>
  <c r="L106" i="4"/>
  <c r="I106" i="4"/>
  <c r="L105" i="4"/>
  <c r="I105" i="4"/>
  <c r="L104" i="4"/>
  <c r="I104" i="4"/>
  <c r="L103" i="4"/>
  <c r="I103" i="4"/>
  <c r="L102" i="4"/>
  <c r="I102" i="4"/>
  <c r="L101" i="4"/>
  <c r="I101" i="4"/>
  <c r="L100" i="4"/>
  <c r="I100" i="4"/>
  <c r="L99" i="4"/>
  <c r="I99" i="4"/>
  <c r="L98" i="4"/>
  <c r="I98" i="4"/>
  <c r="L97" i="4"/>
  <c r="I97" i="4"/>
  <c r="L96" i="4"/>
  <c r="I96" i="4"/>
  <c r="L95" i="4"/>
  <c r="I95" i="4"/>
  <c r="L94" i="4"/>
  <c r="I94" i="4"/>
  <c r="L93" i="4"/>
  <c r="I93" i="4"/>
  <c r="L92" i="4"/>
  <c r="I92" i="4"/>
  <c r="L91" i="4"/>
  <c r="I91" i="4"/>
  <c r="L90" i="4"/>
  <c r="I90" i="4"/>
  <c r="L89" i="4"/>
  <c r="I89" i="4"/>
  <c r="L88" i="4"/>
  <c r="I88" i="4"/>
  <c r="L87" i="4"/>
  <c r="I87" i="4"/>
  <c r="L86" i="4"/>
  <c r="I86" i="4"/>
  <c r="L85" i="4"/>
  <c r="I85" i="4"/>
  <c r="L84" i="4"/>
  <c r="I84" i="4"/>
  <c r="L83" i="4"/>
  <c r="I83" i="4"/>
  <c r="L82" i="4"/>
  <c r="I82" i="4"/>
  <c r="L81" i="4"/>
  <c r="I81" i="4"/>
  <c r="L80" i="4"/>
  <c r="I80" i="4"/>
  <c r="L79" i="4"/>
  <c r="I79" i="4"/>
  <c r="L78" i="4"/>
  <c r="I78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8" i="4"/>
  <c r="I68" i="4"/>
  <c r="L67" i="4"/>
  <c r="I67" i="4"/>
  <c r="L66" i="4"/>
  <c r="I66" i="4"/>
  <c r="L65" i="4"/>
  <c r="I65" i="4"/>
  <c r="L64" i="4"/>
  <c r="I64" i="4"/>
  <c r="L63" i="4"/>
  <c r="I63" i="4"/>
  <c r="L62" i="4"/>
  <c r="I62" i="4"/>
  <c r="L61" i="4"/>
  <c r="I61" i="4"/>
  <c r="L60" i="4"/>
  <c r="I60" i="4"/>
  <c r="L59" i="4"/>
  <c r="I59" i="4"/>
  <c r="L58" i="4"/>
  <c r="I58" i="4"/>
  <c r="L57" i="4"/>
  <c r="I57" i="4"/>
  <c r="L56" i="4"/>
  <c r="I56" i="4"/>
  <c r="L55" i="4"/>
  <c r="I55" i="4"/>
  <c r="L54" i="4"/>
  <c r="I54" i="4"/>
  <c r="L53" i="4"/>
  <c r="I53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7" i="4"/>
  <c r="I17" i="4"/>
  <c r="L16" i="4"/>
  <c r="I16" i="4"/>
  <c r="L15" i="4"/>
  <c r="I15" i="4"/>
  <c r="L14" i="4"/>
  <c r="I14" i="4"/>
  <c r="L13" i="4"/>
  <c r="I13" i="4"/>
  <c r="L12" i="4"/>
  <c r="I12" i="4"/>
  <c r="L11" i="4"/>
  <c r="I11" i="4"/>
  <c r="L10" i="4"/>
  <c r="I10" i="4"/>
  <c r="L9" i="4"/>
  <c r="I9" i="4"/>
  <c r="L8" i="4"/>
  <c r="I8" i="4"/>
  <c r="L7" i="4"/>
  <c r="I7" i="4"/>
  <c r="L6" i="4"/>
  <c r="I6" i="4"/>
  <c r="L5" i="4"/>
  <c r="I5" i="4"/>
  <c r="F20" i="3"/>
  <c r="F19" i="3"/>
  <c r="F18" i="3"/>
  <c r="F17" i="3"/>
  <c r="L13" i="3"/>
  <c r="I13" i="3"/>
  <c r="G13" i="3"/>
  <c r="L12" i="3"/>
  <c r="I12" i="3"/>
  <c r="G12" i="3"/>
  <c r="L11" i="3"/>
  <c r="I11" i="3"/>
  <c r="G11" i="3"/>
  <c r="L10" i="3"/>
  <c r="I10" i="3"/>
  <c r="G10" i="3"/>
  <c r="L9" i="3"/>
  <c r="I9" i="3"/>
  <c r="G9" i="3"/>
  <c r="L8" i="3"/>
  <c r="I8" i="3"/>
  <c r="G8" i="3"/>
  <c r="L7" i="3"/>
  <c r="I7" i="3"/>
  <c r="G7" i="3"/>
  <c r="L6" i="3"/>
  <c r="I6" i="3"/>
  <c r="G6" i="3"/>
  <c r="B3" i="3"/>
  <c r="E38" i="2"/>
  <c r="C38" i="2"/>
  <c r="B38" i="2"/>
  <c r="E37" i="2"/>
  <c r="C37" i="2"/>
  <c r="B37" i="2"/>
  <c r="E36" i="2"/>
  <c r="C36" i="2"/>
  <c r="B36" i="2"/>
  <c r="E35" i="2"/>
  <c r="C35" i="2"/>
  <c r="B35" i="2"/>
  <c r="E34" i="2"/>
  <c r="C34" i="2"/>
  <c r="B34" i="2"/>
  <c r="E33" i="2"/>
  <c r="C33" i="2"/>
  <c r="B33" i="2"/>
  <c r="E32" i="2"/>
  <c r="C32" i="2"/>
  <c r="B32" i="2"/>
  <c r="E31" i="2"/>
  <c r="C31" i="2"/>
  <c r="B31" i="2"/>
  <c r="E30" i="2"/>
  <c r="C30" i="2"/>
  <c r="B30" i="2"/>
  <c r="E29" i="2"/>
  <c r="C29" i="2"/>
  <c r="B29" i="2"/>
  <c r="E28" i="2"/>
  <c r="C28" i="2"/>
  <c r="B28" i="2"/>
  <c r="E27" i="2"/>
  <c r="C27" i="2"/>
  <c r="B27" i="2"/>
  <c r="E26" i="2"/>
  <c r="C26" i="2"/>
  <c r="B26" i="2"/>
  <c r="E25" i="2"/>
  <c r="C25" i="2"/>
  <c r="B25" i="2"/>
  <c r="E24" i="2"/>
  <c r="C24" i="2"/>
  <c r="B24" i="2"/>
  <c r="E23" i="2"/>
  <c r="C23" i="2"/>
  <c r="B23" i="2"/>
  <c r="E22" i="2"/>
  <c r="C22" i="2"/>
  <c r="B22" i="2"/>
  <c r="E21" i="2"/>
  <c r="C21" i="2"/>
  <c r="B21" i="2"/>
  <c r="E20" i="2"/>
  <c r="C20" i="2"/>
  <c r="B20" i="2"/>
  <c r="E19" i="2"/>
  <c r="C19" i="2"/>
  <c r="B19" i="2"/>
  <c r="E18" i="2"/>
  <c r="C18" i="2"/>
  <c r="B18" i="2"/>
  <c r="E17" i="2"/>
  <c r="C17" i="2"/>
  <c r="B17" i="2"/>
  <c r="E16" i="2"/>
  <c r="C16" i="2"/>
  <c r="B16" i="2"/>
  <c r="E15" i="2"/>
  <c r="C15" i="2"/>
  <c r="B15" i="2"/>
  <c r="E14" i="2"/>
  <c r="C14" i="2"/>
  <c r="B14" i="2"/>
  <c r="E13" i="2"/>
  <c r="C13" i="2"/>
  <c r="B13" i="2"/>
  <c r="G9" i="2" s="1"/>
  <c r="F9" i="2"/>
  <c r="E9" i="2"/>
  <c r="D9" i="2"/>
  <c r="C9" i="2"/>
  <c r="B9" i="2"/>
  <c r="A9" i="2"/>
  <c r="B6" i="2"/>
  <c r="B5" i="2"/>
  <c r="F13" i="5" l="1"/>
  <c r="E13" i="5"/>
  <c r="D13" i="5"/>
  <c r="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J153" i="4"/>
  <c r="N153" i="4" s="1"/>
  <c r="K153" i="4"/>
  <c r="M153" i="4" s="1"/>
  <c r="K93" i="4"/>
  <c r="M93" i="4" s="1"/>
  <c r="J93" i="4"/>
  <c r="N93" i="4" s="1"/>
  <c r="K142" i="8"/>
  <c r="M5" i="8"/>
  <c r="M142" i="8" s="1"/>
  <c r="K212" i="4"/>
  <c r="M212" i="4" s="1"/>
  <c r="J212" i="4"/>
  <c r="N212" i="4" s="1"/>
  <c r="K211" i="4"/>
  <c r="M211" i="4" s="1"/>
  <c r="J211" i="4"/>
  <c r="N211" i="4" s="1"/>
  <c r="K210" i="4"/>
  <c r="M210" i="4" s="1"/>
  <c r="AB16" i="6" s="1"/>
  <c r="J210" i="4"/>
  <c r="N210" i="4" s="1"/>
  <c r="K209" i="4"/>
  <c r="M209" i="4" s="1"/>
  <c r="J209" i="4"/>
  <c r="N209" i="4" s="1"/>
  <c r="K208" i="4"/>
  <c r="M208" i="4" s="1"/>
  <c r="AB15" i="6" s="1"/>
  <c r="J208" i="4"/>
  <c r="N208" i="4" s="1"/>
  <c r="K207" i="4"/>
  <c r="M207" i="4" s="1"/>
  <c r="AB14" i="6" s="1"/>
  <c r="J207" i="4"/>
  <c r="K206" i="4"/>
  <c r="M206" i="4" s="1"/>
  <c r="J206" i="4"/>
  <c r="N206" i="4" s="1"/>
  <c r="K205" i="4"/>
  <c r="M205" i="4" s="1"/>
  <c r="AB13" i="6" s="1"/>
  <c r="J205" i="4"/>
  <c r="N205" i="4" s="1"/>
  <c r="K204" i="4"/>
  <c r="M204" i="4" s="1"/>
  <c r="J204" i="4"/>
  <c r="N204" i="4" s="1"/>
  <c r="K203" i="4"/>
  <c r="M203" i="4" s="1"/>
  <c r="J203" i="4"/>
  <c r="N203" i="4" s="1"/>
  <c r="K202" i="4"/>
  <c r="M202" i="4" s="1"/>
  <c r="AA16" i="6" s="1"/>
  <c r="J202" i="4"/>
  <c r="N202" i="4" s="1"/>
  <c r="K201" i="4"/>
  <c r="M201" i="4" s="1"/>
  <c r="J201" i="4"/>
  <c r="N201" i="4" s="1"/>
  <c r="K200" i="4"/>
  <c r="M200" i="4" s="1"/>
  <c r="AA15" i="6" s="1"/>
  <c r="J200" i="4"/>
  <c r="N200" i="4" s="1"/>
  <c r="K199" i="4"/>
  <c r="M199" i="4" s="1"/>
  <c r="AA14" i="6" s="1"/>
  <c r="J199" i="4"/>
  <c r="K198" i="4"/>
  <c r="M198" i="4" s="1"/>
  <c r="J198" i="4"/>
  <c r="N198" i="4" s="1"/>
  <c r="K197" i="4"/>
  <c r="M197" i="4" s="1"/>
  <c r="AA13" i="6" s="1"/>
  <c r="J197" i="4"/>
  <c r="N197" i="4" s="1"/>
  <c r="K196" i="4"/>
  <c r="M196" i="4" s="1"/>
  <c r="J196" i="4"/>
  <c r="N196" i="4" s="1"/>
  <c r="K195" i="4"/>
  <c r="M195" i="4" s="1"/>
  <c r="J195" i="4"/>
  <c r="N195" i="4" s="1"/>
  <c r="K194" i="4"/>
  <c r="M194" i="4" s="1"/>
  <c r="Z16" i="6" s="1"/>
  <c r="J194" i="4"/>
  <c r="K193" i="4"/>
  <c r="M193" i="4" s="1"/>
  <c r="J193" i="4"/>
  <c r="N193" i="4" s="1"/>
  <c r="K192" i="4"/>
  <c r="M192" i="4" s="1"/>
  <c r="Z15" i="6" s="1"/>
  <c r="J192" i="4"/>
  <c r="N192" i="4" s="1"/>
  <c r="K191" i="4"/>
  <c r="M191" i="4" s="1"/>
  <c r="J191" i="4"/>
  <c r="K190" i="4"/>
  <c r="M190" i="4" s="1"/>
  <c r="J190" i="4"/>
  <c r="N190" i="4" s="1"/>
  <c r="K189" i="4"/>
  <c r="M189" i="4" s="1"/>
  <c r="Z13" i="6" s="1"/>
  <c r="J189" i="4"/>
  <c r="N189" i="4" s="1"/>
  <c r="K188" i="4"/>
  <c r="M188" i="4" s="1"/>
  <c r="J188" i="4"/>
  <c r="N188" i="4" s="1"/>
  <c r="K187" i="4"/>
  <c r="M187" i="4" s="1"/>
  <c r="J187" i="4"/>
  <c r="K186" i="4"/>
  <c r="M186" i="4" s="1"/>
  <c r="J186" i="4"/>
  <c r="N186" i="4" s="1"/>
  <c r="K185" i="4"/>
  <c r="M185" i="4" s="1"/>
  <c r="J185" i="4"/>
  <c r="N185" i="4" s="1"/>
  <c r="K184" i="4"/>
  <c r="M184" i="4" s="1"/>
  <c r="Y15" i="6" s="1"/>
  <c r="J184" i="4"/>
  <c r="N184" i="4" s="1"/>
  <c r="K183" i="4"/>
  <c r="M183" i="4" s="1"/>
  <c r="J183" i="4"/>
  <c r="K182" i="4"/>
  <c r="M182" i="4" s="1"/>
  <c r="J182" i="4"/>
  <c r="N182" i="4" s="1"/>
  <c r="K181" i="4"/>
  <c r="M181" i="4" s="1"/>
  <c r="Y13" i="6" s="1"/>
  <c r="J181" i="4"/>
  <c r="N181" i="4" s="1"/>
  <c r="K180" i="4"/>
  <c r="M180" i="4" s="1"/>
  <c r="J180" i="4"/>
  <c r="N180" i="4" s="1"/>
  <c r="K179" i="4"/>
  <c r="M179" i="4" s="1"/>
  <c r="J179" i="4"/>
  <c r="N179" i="4" s="1"/>
  <c r="K178" i="4"/>
  <c r="M178" i="4" s="1"/>
  <c r="X16" i="6" s="1"/>
  <c r="J178" i="4"/>
  <c r="N178" i="4" s="1"/>
  <c r="K177" i="4"/>
  <c r="M177" i="4" s="1"/>
  <c r="J177" i="4"/>
  <c r="N177" i="4" s="1"/>
  <c r="K176" i="4"/>
  <c r="M176" i="4" s="1"/>
  <c r="X15" i="6" s="1"/>
  <c r="J176" i="4"/>
  <c r="N176" i="4" s="1"/>
  <c r="K175" i="4"/>
  <c r="M175" i="4" s="1"/>
  <c r="X14" i="6" s="1"/>
  <c r="J175" i="4"/>
  <c r="K174" i="4"/>
  <c r="M174" i="4" s="1"/>
  <c r="J174" i="4"/>
  <c r="N174" i="4" s="1"/>
  <c r="K173" i="4"/>
  <c r="M173" i="4" s="1"/>
  <c r="X13" i="6" s="1"/>
  <c r="J173" i="4"/>
  <c r="N173" i="4" s="1"/>
  <c r="K172" i="4"/>
  <c r="M172" i="4" s="1"/>
  <c r="J172" i="4"/>
  <c r="N172" i="4" s="1"/>
  <c r="K171" i="4"/>
  <c r="M171" i="4" s="1"/>
  <c r="J171" i="4"/>
  <c r="N171" i="4" s="1"/>
  <c r="K170" i="4"/>
  <c r="M170" i="4" s="1"/>
  <c r="W16" i="6" s="1"/>
  <c r="J170" i="4"/>
  <c r="N170" i="4" s="1"/>
  <c r="K169" i="4"/>
  <c r="M169" i="4" s="1"/>
  <c r="J169" i="4"/>
  <c r="N169" i="4" s="1"/>
  <c r="K168" i="4"/>
  <c r="M168" i="4" s="1"/>
  <c r="W15" i="6" s="1"/>
  <c r="J168" i="4"/>
  <c r="N168" i="4" s="1"/>
  <c r="K167" i="4"/>
  <c r="M167" i="4" s="1"/>
  <c r="W14" i="6" s="1"/>
  <c r="J167" i="4"/>
  <c r="K166" i="4"/>
  <c r="M166" i="4" s="1"/>
  <c r="J166" i="4"/>
  <c r="N166" i="4" s="1"/>
  <c r="K165" i="4"/>
  <c r="M165" i="4" s="1"/>
  <c r="W13" i="6" s="1"/>
  <c r="J165" i="4"/>
  <c r="N165" i="4" s="1"/>
  <c r="K164" i="4"/>
  <c r="M164" i="4" s="1"/>
  <c r="J164" i="4"/>
  <c r="N164" i="4" s="1"/>
  <c r="K163" i="4"/>
  <c r="M163" i="4" s="1"/>
  <c r="J163" i="4"/>
  <c r="N163" i="4" s="1"/>
  <c r="K162" i="4"/>
  <c r="M162" i="4" s="1"/>
  <c r="V16" i="6" s="1"/>
  <c r="J162" i="4"/>
  <c r="N162" i="4" s="1"/>
  <c r="K161" i="4"/>
  <c r="M161" i="4" s="1"/>
  <c r="J161" i="4"/>
  <c r="N161" i="4" s="1"/>
  <c r="K160" i="4"/>
  <c r="M160" i="4" s="1"/>
  <c r="V15" i="6" s="1"/>
  <c r="J160" i="4"/>
  <c r="N160" i="4" s="1"/>
  <c r="K159" i="4"/>
  <c r="M159" i="4" s="1"/>
  <c r="J159" i="4"/>
  <c r="K158" i="4"/>
  <c r="M158" i="4" s="1"/>
  <c r="J158" i="4"/>
  <c r="N158" i="4" s="1"/>
  <c r="K157" i="4"/>
  <c r="M157" i="4" s="1"/>
  <c r="V13" i="6" s="1"/>
  <c r="J157" i="4"/>
  <c r="N157" i="4" s="1"/>
  <c r="K156" i="4"/>
  <c r="M156" i="4" s="1"/>
  <c r="J156" i="4"/>
  <c r="N156" i="4" s="1"/>
  <c r="K155" i="4"/>
  <c r="M155" i="4" s="1"/>
  <c r="J155" i="4"/>
  <c r="N155" i="4" s="1"/>
  <c r="K154" i="4"/>
  <c r="M154" i="4" s="1"/>
  <c r="U16" i="6" s="1"/>
  <c r="J154" i="4"/>
  <c r="N154" i="4" s="1"/>
  <c r="K152" i="4"/>
  <c r="M152" i="4" s="1"/>
  <c r="U15" i="6" s="1"/>
  <c r="J152" i="4"/>
  <c r="N152" i="4" s="1"/>
  <c r="K151" i="4"/>
  <c r="M151" i="4" s="1"/>
  <c r="U14" i="6" s="1"/>
  <c r="J151" i="4"/>
  <c r="K150" i="4"/>
  <c r="M150" i="4" s="1"/>
  <c r="J150" i="4"/>
  <c r="N150" i="4" s="1"/>
  <c r="K149" i="4"/>
  <c r="M149" i="4" s="1"/>
  <c r="U13" i="6" s="1"/>
  <c r="J149" i="4"/>
  <c r="N149" i="4" s="1"/>
  <c r="K148" i="4"/>
  <c r="M148" i="4" s="1"/>
  <c r="J148" i="4"/>
  <c r="N148" i="4" s="1"/>
  <c r="K147" i="4"/>
  <c r="M147" i="4" s="1"/>
  <c r="J147" i="4"/>
  <c r="N147" i="4" s="1"/>
  <c r="K146" i="4"/>
  <c r="M146" i="4" s="1"/>
  <c r="T16" i="6" s="1"/>
  <c r="J146" i="4"/>
  <c r="N146" i="4" s="1"/>
  <c r="K145" i="4"/>
  <c r="M145" i="4" s="1"/>
  <c r="J145" i="4"/>
  <c r="N145" i="4" s="1"/>
  <c r="K144" i="4"/>
  <c r="M144" i="4" s="1"/>
  <c r="T15" i="6" s="1"/>
  <c r="J144" i="4"/>
  <c r="N144" i="4" s="1"/>
  <c r="K143" i="4"/>
  <c r="M143" i="4" s="1"/>
  <c r="T14" i="6" s="1"/>
  <c r="J143" i="4"/>
  <c r="K142" i="4"/>
  <c r="M142" i="4" s="1"/>
  <c r="J142" i="4"/>
  <c r="N142" i="4" s="1"/>
  <c r="K141" i="4"/>
  <c r="M141" i="4" s="1"/>
  <c r="T13" i="6" s="1"/>
  <c r="J141" i="4"/>
  <c r="N141" i="4" s="1"/>
  <c r="K140" i="4"/>
  <c r="M140" i="4" s="1"/>
  <c r="J140" i="4"/>
  <c r="N140" i="4" s="1"/>
  <c r="K139" i="4"/>
  <c r="M139" i="4" s="1"/>
  <c r="J139" i="4"/>
  <c r="N139" i="4" s="1"/>
  <c r="K138" i="4"/>
  <c r="M138" i="4" s="1"/>
  <c r="S16" i="6" s="1"/>
  <c r="J138" i="4"/>
  <c r="N138" i="4" s="1"/>
  <c r="K137" i="4"/>
  <c r="M137" i="4" s="1"/>
  <c r="J137" i="4"/>
  <c r="N137" i="4" s="1"/>
  <c r="K136" i="4"/>
  <c r="M136" i="4" s="1"/>
  <c r="S15" i="6" s="1"/>
  <c r="J136" i="4"/>
  <c r="N136" i="4" s="1"/>
  <c r="K135" i="4"/>
  <c r="M135" i="4" s="1"/>
  <c r="S14" i="6" s="1"/>
  <c r="J135" i="4"/>
  <c r="K134" i="4"/>
  <c r="M134" i="4" s="1"/>
  <c r="J134" i="4"/>
  <c r="N134" i="4" s="1"/>
  <c r="K133" i="4"/>
  <c r="M133" i="4" s="1"/>
  <c r="S13" i="6" s="1"/>
  <c r="J133" i="4"/>
  <c r="N133" i="4" s="1"/>
  <c r="K132" i="4"/>
  <c r="M132" i="4" s="1"/>
  <c r="J132" i="4"/>
  <c r="N132" i="4" s="1"/>
  <c r="K131" i="4"/>
  <c r="M131" i="4" s="1"/>
  <c r="J131" i="4"/>
  <c r="N131" i="4" s="1"/>
  <c r="K130" i="4"/>
  <c r="M130" i="4" s="1"/>
  <c r="R16" i="6" s="1"/>
  <c r="J130" i="4"/>
  <c r="N130" i="4" s="1"/>
  <c r="K129" i="4"/>
  <c r="M129" i="4" s="1"/>
  <c r="J129" i="4"/>
  <c r="N129" i="4" s="1"/>
  <c r="K128" i="4"/>
  <c r="M128" i="4" s="1"/>
  <c r="R15" i="6" s="1"/>
  <c r="J128" i="4"/>
  <c r="N128" i="4" s="1"/>
  <c r="K127" i="4"/>
  <c r="M127" i="4" s="1"/>
  <c r="R14" i="6" s="1"/>
  <c r="J127" i="4"/>
  <c r="K126" i="4"/>
  <c r="M126" i="4" s="1"/>
  <c r="J126" i="4"/>
  <c r="K125" i="4"/>
  <c r="M125" i="4" s="1"/>
  <c r="R13" i="6" s="1"/>
  <c r="J125" i="4"/>
  <c r="N125" i="4" s="1"/>
  <c r="K124" i="4"/>
  <c r="M124" i="4" s="1"/>
  <c r="J124" i="4"/>
  <c r="N124" i="4" s="1"/>
  <c r="K123" i="4"/>
  <c r="M123" i="4" s="1"/>
  <c r="J123" i="4"/>
  <c r="N123" i="4" s="1"/>
  <c r="K122" i="4"/>
  <c r="M122" i="4" s="1"/>
  <c r="Q16" i="6" s="1"/>
  <c r="J122" i="4"/>
  <c r="K121" i="4"/>
  <c r="M121" i="4" s="1"/>
  <c r="J121" i="4"/>
  <c r="N121" i="4" s="1"/>
  <c r="K120" i="4"/>
  <c r="M120" i="4" s="1"/>
  <c r="Q15" i="6" s="1"/>
  <c r="J120" i="4"/>
  <c r="N120" i="4" s="1"/>
  <c r="K119" i="4"/>
  <c r="M119" i="4" s="1"/>
  <c r="Q14" i="6" s="1"/>
  <c r="J119" i="4"/>
  <c r="K118" i="4"/>
  <c r="M118" i="4" s="1"/>
  <c r="J118" i="4"/>
  <c r="N118" i="4" s="1"/>
  <c r="K117" i="4"/>
  <c r="M117" i="4" s="1"/>
  <c r="Q13" i="6" s="1"/>
  <c r="J117" i="4"/>
  <c r="N117" i="4" s="1"/>
  <c r="K116" i="4"/>
  <c r="M116" i="4" s="1"/>
  <c r="J116" i="4"/>
  <c r="N116" i="4" s="1"/>
  <c r="K115" i="4"/>
  <c r="M115" i="4" s="1"/>
  <c r="J115" i="4"/>
  <c r="N115" i="4" s="1"/>
  <c r="K114" i="4"/>
  <c r="M114" i="4" s="1"/>
  <c r="P16" i="6" s="1"/>
  <c r="J114" i="4"/>
  <c r="N114" i="4" s="1"/>
  <c r="K113" i="4"/>
  <c r="M113" i="4" s="1"/>
  <c r="J113" i="4"/>
  <c r="N113" i="4" s="1"/>
  <c r="K112" i="4"/>
  <c r="M112" i="4" s="1"/>
  <c r="J112" i="4"/>
  <c r="N112" i="4" s="1"/>
  <c r="K111" i="4"/>
  <c r="M111" i="4" s="1"/>
  <c r="J111" i="4"/>
  <c r="K110" i="4"/>
  <c r="M110" i="4" s="1"/>
  <c r="J110" i="4"/>
  <c r="N110" i="4" s="1"/>
  <c r="K109" i="4"/>
  <c r="M109" i="4" s="1"/>
  <c r="P13" i="6" s="1"/>
  <c r="J109" i="4"/>
  <c r="K108" i="4"/>
  <c r="M108" i="4" s="1"/>
  <c r="J108" i="4"/>
  <c r="N108" i="4" s="1"/>
  <c r="K107" i="4"/>
  <c r="M107" i="4" s="1"/>
  <c r="J107" i="4"/>
  <c r="N107" i="4" s="1"/>
  <c r="K106" i="4"/>
  <c r="M106" i="4" s="1"/>
  <c r="O16" i="6" s="1"/>
  <c r="J106" i="4"/>
  <c r="N106" i="4" s="1"/>
  <c r="K105" i="4"/>
  <c r="M105" i="4" s="1"/>
  <c r="J105" i="4"/>
  <c r="N105" i="4" s="1"/>
  <c r="K104" i="4"/>
  <c r="M104" i="4" s="1"/>
  <c r="O15" i="6" s="1"/>
  <c r="J104" i="4"/>
  <c r="N104" i="4" s="1"/>
  <c r="K103" i="4"/>
  <c r="M103" i="4" s="1"/>
  <c r="O14" i="6" s="1"/>
  <c r="J103" i="4"/>
  <c r="K102" i="4"/>
  <c r="M102" i="4" s="1"/>
  <c r="J102" i="4"/>
  <c r="N102" i="4" s="1"/>
  <c r="K101" i="4"/>
  <c r="M101" i="4" s="1"/>
  <c r="O13" i="6" s="1"/>
  <c r="J101" i="4"/>
  <c r="N101" i="4" s="1"/>
  <c r="K100" i="4"/>
  <c r="M100" i="4" s="1"/>
  <c r="J100" i="4"/>
  <c r="N100" i="4" s="1"/>
  <c r="K99" i="4"/>
  <c r="M99" i="4" s="1"/>
  <c r="J99" i="4"/>
  <c r="N99" i="4" s="1"/>
  <c r="K98" i="4"/>
  <c r="M98" i="4" s="1"/>
  <c r="N16" i="6" s="1"/>
  <c r="J98" i="4"/>
  <c r="N98" i="4" s="1"/>
  <c r="K97" i="4"/>
  <c r="M97" i="4" s="1"/>
  <c r="J97" i="4"/>
  <c r="N97" i="4" s="1"/>
  <c r="K96" i="4"/>
  <c r="M96" i="4" s="1"/>
  <c r="N15" i="6" s="1"/>
  <c r="J96" i="4"/>
  <c r="N96" i="4" s="1"/>
  <c r="K95" i="4"/>
  <c r="M95" i="4" s="1"/>
  <c r="N14" i="6" s="1"/>
  <c r="J95" i="4"/>
  <c r="K94" i="4"/>
  <c r="M94" i="4" s="1"/>
  <c r="N13" i="6" s="1"/>
  <c r="J94" i="4"/>
  <c r="N94" i="4" s="1"/>
  <c r="K92" i="4"/>
  <c r="M92" i="4" s="1"/>
  <c r="J92" i="4"/>
  <c r="N92" i="4" s="1"/>
  <c r="K91" i="4"/>
  <c r="M91" i="4" s="1"/>
  <c r="J91" i="4"/>
  <c r="N91" i="4" s="1"/>
  <c r="K90" i="4"/>
  <c r="M90" i="4" s="1"/>
  <c r="M16" i="6" s="1"/>
  <c r="J90" i="4"/>
  <c r="N90" i="4" s="1"/>
  <c r="K89" i="4"/>
  <c r="M89" i="4" s="1"/>
  <c r="J89" i="4"/>
  <c r="N89" i="4" s="1"/>
  <c r="K88" i="4"/>
  <c r="M88" i="4" s="1"/>
  <c r="M15" i="6" s="1"/>
  <c r="J88" i="4"/>
  <c r="N88" i="4" s="1"/>
  <c r="K87" i="4"/>
  <c r="M87" i="4" s="1"/>
  <c r="M14" i="6" s="1"/>
  <c r="J87" i="4"/>
  <c r="K86" i="4"/>
  <c r="M86" i="4" s="1"/>
  <c r="J86" i="4"/>
  <c r="N86" i="4" s="1"/>
  <c r="K85" i="4"/>
  <c r="M85" i="4" s="1"/>
  <c r="M13" i="6" s="1"/>
  <c r="J85" i="4"/>
  <c r="K84" i="4"/>
  <c r="M84" i="4" s="1"/>
  <c r="J84" i="4"/>
  <c r="N84" i="4" s="1"/>
  <c r="K83" i="4"/>
  <c r="M83" i="4" s="1"/>
  <c r="J83" i="4"/>
  <c r="N83" i="4" s="1"/>
  <c r="K82" i="4"/>
  <c r="M82" i="4" s="1"/>
  <c r="L16" i="6" s="1"/>
  <c r="J82" i="4"/>
  <c r="K81" i="4"/>
  <c r="M81" i="4" s="1"/>
  <c r="J81" i="4"/>
  <c r="N81" i="4" s="1"/>
  <c r="K80" i="4"/>
  <c r="M80" i="4" s="1"/>
  <c r="L15" i="6" s="1"/>
  <c r="J80" i="4"/>
  <c r="N80" i="4" s="1"/>
  <c r="K79" i="4"/>
  <c r="M79" i="4" s="1"/>
  <c r="J79" i="4"/>
  <c r="K78" i="4"/>
  <c r="M78" i="4" s="1"/>
  <c r="J78" i="4"/>
  <c r="N78" i="4" s="1"/>
  <c r="K77" i="4"/>
  <c r="M77" i="4" s="1"/>
  <c r="L13" i="6" s="1"/>
  <c r="J77" i="4"/>
  <c r="N77" i="4" s="1"/>
  <c r="K76" i="4"/>
  <c r="M76" i="4" s="1"/>
  <c r="J76" i="4"/>
  <c r="N76" i="4" s="1"/>
  <c r="K75" i="4"/>
  <c r="M75" i="4" s="1"/>
  <c r="J75" i="4"/>
  <c r="N75" i="4" s="1"/>
  <c r="K74" i="4"/>
  <c r="M74" i="4" s="1"/>
  <c r="K16" i="6" s="1"/>
  <c r="J74" i="4"/>
  <c r="N74" i="4" s="1"/>
  <c r="K73" i="4"/>
  <c r="M73" i="4" s="1"/>
  <c r="J73" i="4"/>
  <c r="N73" i="4" s="1"/>
  <c r="K72" i="4"/>
  <c r="M72" i="4" s="1"/>
  <c r="K15" i="6" s="1"/>
  <c r="J72" i="4"/>
  <c r="N72" i="4" s="1"/>
  <c r="K71" i="4"/>
  <c r="M71" i="4" s="1"/>
  <c r="K14" i="6" s="1"/>
  <c r="J71" i="4"/>
  <c r="K70" i="4"/>
  <c r="M70" i="4" s="1"/>
  <c r="J70" i="4"/>
  <c r="N70" i="4" s="1"/>
  <c r="K69" i="4"/>
  <c r="M69" i="4" s="1"/>
  <c r="K13" i="6" s="1"/>
  <c r="J69" i="4"/>
  <c r="N69" i="4" s="1"/>
  <c r="K68" i="4"/>
  <c r="M68" i="4" s="1"/>
  <c r="J68" i="4"/>
  <c r="N68" i="4" s="1"/>
  <c r="K67" i="4"/>
  <c r="M67" i="4" s="1"/>
  <c r="J67" i="4"/>
  <c r="N67" i="4" s="1"/>
  <c r="K66" i="4"/>
  <c r="M66" i="4" s="1"/>
  <c r="J16" i="6" s="1"/>
  <c r="J66" i="4"/>
  <c r="N66" i="4" s="1"/>
  <c r="K65" i="4"/>
  <c r="M65" i="4" s="1"/>
  <c r="J65" i="4"/>
  <c r="N65" i="4" s="1"/>
  <c r="K64" i="4"/>
  <c r="M64" i="4" s="1"/>
  <c r="J15" i="6" s="1"/>
  <c r="J64" i="4"/>
  <c r="N64" i="4" s="1"/>
  <c r="K63" i="4"/>
  <c r="M63" i="4" s="1"/>
  <c r="J14" i="6" s="1"/>
  <c r="J63" i="4"/>
  <c r="K62" i="4"/>
  <c r="M62" i="4" s="1"/>
  <c r="J62" i="4"/>
  <c r="N62" i="4" s="1"/>
  <c r="K61" i="4"/>
  <c r="M61" i="4" s="1"/>
  <c r="J13" i="6" s="1"/>
  <c r="J61" i="4"/>
  <c r="N61" i="4" s="1"/>
  <c r="K60" i="4"/>
  <c r="M60" i="4" s="1"/>
  <c r="J60" i="4"/>
  <c r="N60" i="4" s="1"/>
  <c r="K59" i="4"/>
  <c r="M59" i="4" s="1"/>
  <c r="J59" i="4"/>
  <c r="N59" i="4" s="1"/>
  <c r="K58" i="4"/>
  <c r="M58" i="4" s="1"/>
  <c r="I16" i="6" s="1"/>
  <c r="J58" i="4"/>
  <c r="N58" i="4" s="1"/>
  <c r="K57" i="4"/>
  <c r="M57" i="4" s="1"/>
  <c r="J57" i="4"/>
  <c r="N57" i="4" s="1"/>
  <c r="K56" i="4"/>
  <c r="M56" i="4" s="1"/>
  <c r="I15" i="6" s="1"/>
  <c r="J56" i="4"/>
  <c r="N56" i="4" s="1"/>
  <c r="K55" i="4"/>
  <c r="M55" i="4" s="1"/>
  <c r="I14" i="6" s="1"/>
  <c r="J55" i="4"/>
  <c r="K54" i="4"/>
  <c r="M54" i="4" s="1"/>
  <c r="J54" i="4"/>
  <c r="N54" i="4" s="1"/>
  <c r="K53" i="4"/>
  <c r="M53" i="4" s="1"/>
  <c r="I13" i="6" s="1"/>
  <c r="J53" i="4"/>
  <c r="N53" i="4" s="1"/>
  <c r="K52" i="4"/>
  <c r="M52" i="4" s="1"/>
  <c r="J52" i="4"/>
  <c r="N52" i="4" s="1"/>
  <c r="K51" i="4"/>
  <c r="M51" i="4" s="1"/>
  <c r="J51" i="4"/>
  <c r="N51" i="4" s="1"/>
  <c r="K50" i="4"/>
  <c r="M50" i="4" s="1"/>
  <c r="H16" i="6" s="1"/>
  <c r="J50" i="4"/>
  <c r="N50" i="4" s="1"/>
  <c r="K49" i="4"/>
  <c r="M49" i="4" s="1"/>
  <c r="J49" i="4"/>
  <c r="N49" i="4" s="1"/>
  <c r="K48" i="4"/>
  <c r="M48" i="4" s="1"/>
  <c r="H15" i="6" s="1"/>
  <c r="J48" i="4"/>
  <c r="N48" i="4" s="1"/>
  <c r="K47" i="4"/>
  <c r="M47" i="4" s="1"/>
  <c r="H14" i="6" s="1"/>
  <c r="J47" i="4"/>
  <c r="K46" i="4"/>
  <c r="M46" i="4" s="1"/>
  <c r="J46" i="4"/>
  <c r="N46" i="4" s="1"/>
  <c r="K45" i="4"/>
  <c r="M45" i="4" s="1"/>
  <c r="H13" i="6" s="1"/>
  <c r="J45" i="4"/>
  <c r="N45" i="4" s="1"/>
  <c r="K44" i="4"/>
  <c r="M44" i="4" s="1"/>
  <c r="J44" i="4"/>
  <c r="N44" i="4" s="1"/>
  <c r="K43" i="4"/>
  <c r="M43" i="4" s="1"/>
  <c r="J43" i="4"/>
  <c r="N43" i="4" s="1"/>
  <c r="K42" i="4"/>
  <c r="M42" i="4" s="1"/>
  <c r="G16" i="6" s="1"/>
  <c r="J42" i="4"/>
  <c r="N42" i="4" s="1"/>
  <c r="K41" i="4"/>
  <c r="M41" i="4" s="1"/>
  <c r="J41" i="4"/>
  <c r="N41" i="4" s="1"/>
  <c r="K40" i="4"/>
  <c r="M40" i="4" s="1"/>
  <c r="G15" i="6" s="1"/>
  <c r="J40" i="4"/>
  <c r="N40" i="4" s="1"/>
  <c r="K39" i="4"/>
  <c r="M39" i="4" s="1"/>
  <c r="G14" i="6" s="1"/>
  <c r="J39" i="4"/>
  <c r="K38" i="4"/>
  <c r="M38" i="4" s="1"/>
  <c r="J38" i="4"/>
  <c r="N38" i="4" s="1"/>
  <c r="K37" i="4"/>
  <c r="M37" i="4" s="1"/>
  <c r="G13" i="6" s="1"/>
  <c r="J37" i="4"/>
  <c r="N37" i="4" s="1"/>
  <c r="K36" i="4"/>
  <c r="M36" i="4" s="1"/>
  <c r="J36" i="4"/>
  <c r="N36" i="4" s="1"/>
  <c r="K35" i="4"/>
  <c r="M35" i="4" s="1"/>
  <c r="J35" i="4"/>
  <c r="N35" i="4" s="1"/>
  <c r="K34" i="4"/>
  <c r="M34" i="4" s="1"/>
  <c r="F16" i="6" s="1"/>
  <c r="J34" i="4"/>
  <c r="N34" i="4" s="1"/>
  <c r="K33" i="4"/>
  <c r="M33" i="4" s="1"/>
  <c r="J33" i="4"/>
  <c r="N33" i="4" s="1"/>
  <c r="K32" i="4"/>
  <c r="M32" i="4" s="1"/>
  <c r="F15" i="6" s="1"/>
  <c r="J32" i="4"/>
  <c r="N32" i="4" s="1"/>
  <c r="K31" i="4"/>
  <c r="M31" i="4" s="1"/>
  <c r="F14" i="6" s="1"/>
  <c r="J31" i="4"/>
  <c r="K30" i="4"/>
  <c r="M30" i="4" s="1"/>
  <c r="J30" i="4"/>
  <c r="N30" i="4" s="1"/>
  <c r="K29" i="4"/>
  <c r="M29" i="4" s="1"/>
  <c r="F13" i="6" s="1"/>
  <c r="J29" i="4"/>
  <c r="N29" i="4" s="1"/>
  <c r="K28" i="4"/>
  <c r="M28" i="4" s="1"/>
  <c r="J28" i="4"/>
  <c r="N28" i="4" s="1"/>
  <c r="K27" i="4"/>
  <c r="M27" i="4" s="1"/>
  <c r="J27" i="4"/>
  <c r="N27" i="4" s="1"/>
  <c r="K26" i="4"/>
  <c r="M26" i="4" s="1"/>
  <c r="E16" i="6" s="1"/>
  <c r="J26" i="4"/>
  <c r="N26" i="4" s="1"/>
  <c r="K25" i="4"/>
  <c r="M25" i="4" s="1"/>
  <c r="J25" i="4"/>
  <c r="N25" i="4" s="1"/>
  <c r="K24" i="4"/>
  <c r="M24" i="4" s="1"/>
  <c r="E15" i="6" s="1"/>
  <c r="J24" i="4"/>
  <c r="N24" i="4" s="1"/>
  <c r="K23" i="4"/>
  <c r="M23" i="4" s="1"/>
  <c r="E14" i="6" s="1"/>
  <c r="J23" i="4"/>
  <c r="K22" i="4"/>
  <c r="M22" i="4" s="1"/>
  <c r="J22" i="4"/>
  <c r="N22" i="4" s="1"/>
  <c r="K21" i="4"/>
  <c r="M21" i="4" s="1"/>
  <c r="E13" i="6" s="1"/>
  <c r="J21" i="4"/>
  <c r="N21" i="4" s="1"/>
  <c r="K20" i="4"/>
  <c r="M20" i="4" s="1"/>
  <c r="J20" i="4"/>
  <c r="N20" i="4" s="1"/>
  <c r="K19" i="4"/>
  <c r="M19" i="4" s="1"/>
  <c r="J19" i="4"/>
  <c r="N19" i="4" s="1"/>
  <c r="K18" i="4"/>
  <c r="M18" i="4" s="1"/>
  <c r="D16" i="6" s="1"/>
  <c r="J18" i="4"/>
  <c r="N18" i="4" s="1"/>
  <c r="K17" i="4"/>
  <c r="M17" i="4" s="1"/>
  <c r="J17" i="4"/>
  <c r="N17" i="4" s="1"/>
  <c r="K16" i="4"/>
  <c r="M16" i="4" s="1"/>
  <c r="D15" i="6" s="1"/>
  <c r="J16" i="4"/>
  <c r="N16" i="4" s="1"/>
  <c r="K15" i="4"/>
  <c r="M15" i="4" s="1"/>
  <c r="D14" i="6" s="1"/>
  <c r="J15" i="4"/>
  <c r="K14" i="4"/>
  <c r="M14" i="4" s="1"/>
  <c r="J14" i="4"/>
  <c r="N14" i="4" s="1"/>
  <c r="K13" i="4"/>
  <c r="M13" i="4" s="1"/>
  <c r="D13" i="6" s="1"/>
  <c r="J13" i="4"/>
  <c r="N13" i="4" s="1"/>
  <c r="K12" i="4"/>
  <c r="M12" i="4" s="1"/>
  <c r="J12" i="4"/>
  <c r="N12" i="4" s="1"/>
  <c r="K11" i="4"/>
  <c r="M11" i="4" s="1"/>
  <c r="J11" i="4"/>
  <c r="N11" i="4" s="1"/>
  <c r="K10" i="4"/>
  <c r="M10" i="4" s="1"/>
  <c r="C16" i="6" s="1"/>
  <c r="J10" i="4"/>
  <c r="N10" i="4" s="1"/>
  <c r="K9" i="4"/>
  <c r="M9" i="4" s="1"/>
  <c r="J9" i="4"/>
  <c r="N9" i="4" s="1"/>
  <c r="K8" i="4"/>
  <c r="M8" i="4" s="1"/>
  <c r="C15" i="6" s="1"/>
  <c r="J8" i="4"/>
  <c r="N8" i="4" s="1"/>
  <c r="K7" i="4"/>
  <c r="M7" i="4" s="1"/>
  <c r="C14" i="6" s="1"/>
  <c r="J7" i="4"/>
  <c r="K6" i="4"/>
  <c r="M6" i="4" s="1"/>
  <c r="J6" i="4"/>
  <c r="N6" i="4" s="1"/>
  <c r="K5" i="4"/>
  <c r="M5" i="4" s="1"/>
  <c r="C13" i="6" s="1"/>
  <c r="J5" i="4"/>
  <c r="N5" i="4" s="1"/>
  <c r="N194" i="4" l="1"/>
  <c r="Z14" i="6"/>
  <c r="P15" i="6"/>
  <c r="P14" i="6"/>
  <c r="N85" i="4"/>
  <c r="N126" i="4"/>
  <c r="N122" i="4"/>
  <c r="N207" i="4"/>
  <c r="D38" i="2"/>
  <c r="N199" i="4"/>
  <c r="D37" i="2"/>
  <c r="N191" i="4"/>
  <c r="D36" i="2"/>
  <c r="N183" i="4"/>
  <c r="D35" i="2"/>
  <c r="N175" i="4"/>
  <c r="D34" i="2"/>
  <c r="N167" i="4"/>
  <c r="D33" i="2"/>
  <c r="N159" i="4"/>
  <c r="D32" i="2"/>
  <c r="N151" i="4"/>
  <c r="D31" i="2"/>
  <c r="N143" i="4"/>
  <c r="D30" i="2"/>
  <c r="N135" i="4"/>
  <c r="D29" i="2"/>
  <c r="N127" i="4"/>
  <c r="D28" i="2"/>
  <c r="N119" i="4"/>
  <c r="D27" i="2"/>
  <c r="N111" i="4"/>
  <c r="D26" i="2"/>
  <c r="N103" i="4"/>
  <c r="D25" i="2"/>
  <c r="N95" i="4"/>
  <c r="D24" i="2"/>
  <c r="N87" i="4"/>
  <c r="D23" i="2"/>
  <c r="N79" i="4"/>
  <c r="D22" i="2"/>
  <c r="N71" i="4"/>
  <c r="D21" i="2"/>
  <c r="N63" i="4"/>
  <c r="D20" i="2"/>
  <c r="N55" i="4"/>
  <c r="D19" i="2"/>
  <c r="N47" i="4"/>
  <c r="D18" i="2"/>
  <c r="N39" i="4"/>
  <c r="D17" i="2"/>
  <c r="N31" i="4"/>
  <c r="D16" i="2"/>
  <c r="N23" i="4"/>
  <c r="D15" i="2"/>
  <c r="N15" i="4"/>
  <c r="D14" i="2"/>
  <c r="N7" i="4"/>
  <c r="D13" i="2"/>
  <c r="N187" i="4"/>
  <c r="Y16" i="6"/>
  <c r="Y14" i="6"/>
  <c r="V14" i="6"/>
  <c r="N109" i="4"/>
  <c r="N82" i="4"/>
  <c r="L14" i="6"/>
  <c r="F38" i="2" l="1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20" i="2"/>
  <c r="G20" i="2"/>
  <c r="F19" i="2"/>
  <c r="G19" i="2"/>
  <c r="F18" i="2"/>
  <c r="G18" i="2"/>
  <c r="F17" i="2"/>
  <c r="G17" i="2"/>
  <c r="F16" i="2"/>
  <c r="G16" i="2"/>
  <c r="F15" i="2"/>
  <c r="G15" i="2"/>
  <c r="F14" i="2"/>
  <c r="G14" i="2"/>
  <c r="F13" i="2"/>
  <c r="G13" i="2"/>
  <c r="H9" i="2" l="1"/>
</calcChain>
</file>

<file path=xl/sharedStrings.xml><?xml version="1.0" encoding="utf-8"?>
<sst xmlns="http://schemas.openxmlformats.org/spreadsheetml/2006/main" count="13683" uniqueCount="450">
  <si>
    <t>Pool Point Dashboard</t>
  </si>
  <si>
    <t>Pick a pool point in the yellow cell. Every number and chart below updates.</t>
  </si>
  <si>
    <t>Pool point</t>
  </si>
  <si>
    <t>PP03</t>
  </si>
  <si>
    <t>City</t>
  </si>
  <si>
    <t>Carrier</t>
  </si>
  <si>
    <t>Avg weekly pallets</t>
  </si>
  <si>
    <t>YoY volume growth</t>
  </si>
  <si>
    <t>On-time delivery</t>
  </si>
  <si>
    <t>Trailer fill</t>
  </si>
  <si>
    <t>Cost per pallet</t>
  </si>
  <si>
    <t>Forecast WAPE</t>
  </si>
  <si>
    <t>Peak forecast week</t>
  </si>
  <si>
    <t>Weeks over capacity</t>
  </si>
  <si>
    <t>Next 26 weeks</t>
  </si>
  <si>
    <t>Forecast pallets per week</t>
  </si>
  <si>
    <t>Week ending</t>
  </si>
  <si>
    <t>Forecast pallets</t>
  </si>
  <si>
    <t>High (P80)</t>
  </si>
  <si>
    <t>Trailers needed</t>
  </si>
  <si>
    <t>Contracted</t>
  </si>
  <si>
    <t>Gap (trailers)</t>
  </si>
  <si>
    <t>Capacity status</t>
  </si>
  <si>
    <t>Trailers needed vs. contracted per week</t>
  </si>
  <si>
    <t>Pool Point Network Planner</t>
  </si>
  <si>
    <t>Outbound transportation planning workbook. Built by Nana Afari.</t>
  </si>
  <si>
    <t>What this is</t>
  </si>
  <si>
    <t>A weekly planning pack for an outbound network of one DC, 8 pool points, 4 linehaul carriers, and 136 stores.</t>
  </si>
  <si>
    <t>Demand</t>
  </si>
  <si>
    <t>Seasonality and trend come from real U.S. Census clothing store sales (FRED series MRTSSM448USN).</t>
  </si>
  <si>
    <t>Simulated</t>
  </si>
  <si>
    <t>Stores, carriers, rates, and operations are simulated. Pool point cities and road miles are approximate.</t>
  </si>
  <si>
    <t>As-of date</t>
  </si>
  <si>
    <t>History runs through the week ending Jul 25, 2026. Forecast covers the next 26 weeks.</t>
  </si>
  <si>
    <t>Forecast</t>
  </si>
  <si>
    <t>Holt-Winters won a two-window backtest with 3.5% WAPE at the pool point level.</t>
  </si>
  <si>
    <t>Sheet</t>
  </si>
  <si>
    <t>Use it to</t>
  </si>
  <si>
    <t>Dashboard</t>
  </si>
  <si>
    <t>Pick a pool point to see its KPIs, 26-week forecast, and trailer needs vs. contract.</t>
  </si>
  <si>
    <t>KPI Scorecard</t>
  </si>
  <si>
    <t>Benchmark pool points and carriers against the targets on the Settings sheet.</t>
  </si>
  <si>
    <t>Volume Forecast</t>
  </si>
  <si>
    <t>Weekly forecast by lane. Trailers and capacity status are formulas.</t>
  </si>
  <si>
    <t>Forecast Matrix</t>
  </si>
  <si>
    <t>Pool point by week heatmap of forecast pallets.</t>
  </si>
  <si>
    <t>Carrier Outlook</t>
  </si>
  <si>
    <t>Surge trailers to request from each carrier, plus the outlook notes to send them.</t>
  </si>
  <si>
    <t>Peak Week Schedule</t>
  </si>
  <si>
    <t>Store delivery plan for the peak week after change requests and mitigation.</t>
  </si>
  <si>
    <t>Store Visibility</t>
  </si>
  <si>
    <t>Every store: carrier, schedule, pallet max, next 4 weeks of volume, peak week status.</t>
  </si>
  <si>
    <t>Schedule Changes</t>
  </si>
  <si>
    <t>Change requests, the impact of each one, and the scenario comparison.</t>
  </si>
  <si>
    <t>Backlog</t>
  </si>
  <si>
    <t>Stores that would carry backlog in the peak week and the fix applied.</t>
  </si>
  <si>
    <t>Weekly History</t>
  </si>
  <si>
    <t>208 weeks of lane operations as an Excel Table, ready for pivots.</t>
  </si>
  <si>
    <t>Settings</t>
  </si>
  <si>
    <t>Targets and constants used by every formula. Yellow cells are inputs.</t>
  </si>
  <si>
    <t>KPI Scorecard, trailing 52 weeks</t>
  </si>
  <si>
    <t>Status columns are formulas against the targets on the Settings sheet.</t>
  </si>
  <si>
    <t>Targets:</t>
  </si>
  <si>
    <t>On-time %</t>
  </si>
  <si>
    <t>On-time status</t>
  </si>
  <si>
    <t>Trailer fill %</t>
  </si>
  <si>
    <t>Fill status</t>
  </si>
  <si>
    <t>Cost vs network</t>
  </si>
  <si>
    <t>Cost status</t>
  </si>
  <si>
    <t>Avg backlog pallets</t>
  </si>
  <si>
    <t>PP01</t>
  </si>
  <si>
    <t>Albany</t>
  </si>
  <si>
    <t>CARR-A</t>
  </si>
  <si>
    <t>PP02</t>
  </si>
  <si>
    <t>Hartford</t>
  </si>
  <si>
    <t>Worcester</t>
  </si>
  <si>
    <t>CARR-B</t>
  </si>
  <si>
    <t>PP04</t>
  </si>
  <si>
    <t>Harrisburg</t>
  </si>
  <si>
    <t>CARR-C</t>
  </si>
  <si>
    <t>PP05</t>
  </si>
  <si>
    <t>Pittsburgh</t>
  </si>
  <si>
    <t>PP06</t>
  </si>
  <si>
    <t>Baltimore</t>
  </si>
  <si>
    <t>CARR-D</t>
  </si>
  <si>
    <t>PP07</t>
  </si>
  <si>
    <t>Richmond</t>
  </si>
  <si>
    <t>PP08</t>
  </si>
  <si>
    <t>Syracuse</t>
  </si>
  <si>
    <t>Carrier scorecard</t>
  </si>
  <si>
    <t>Name</t>
  </si>
  <si>
    <t>Lanes</t>
  </si>
  <si>
    <t>Carrier A</t>
  </si>
  <si>
    <t>Carrier B</t>
  </si>
  <si>
    <t>Carrier C</t>
  </si>
  <si>
    <t>Carrier D</t>
  </si>
  <si>
    <t>Volume Forecast by Lane</t>
  </si>
  <si>
    <t>Columns I to N are formulas: trailers = pallets / (pallets per trailer x lane fill rate), rounded up.</t>
  </si>
  <si>
    <t>Low (P10)</t>
  </si>
  <si>
    <t>New store pallets</t>
  </si>
  <si>
    <t>Lane fill rate</t>
  </si>
  <si>
    <t>Trailers (forecast)</t>
  </si>
  <si>
    <t>Trailers (high)</t>
  </si>
  <si>
    <t>Contracted trailers</t>
  </si>
  <si>
    <t>Extra trailers needed</t>
  </si>
  <si>
    <t>Forecast pallets by pool point and week (SUMIFS over the Volume Forecast sheet).</t>
  </si>
  <si>
    <t>Network</t>
  </si>
  <si>
    <t>Surge trailers to request from each carrier (high case vs. contract). Formulas sum the Volume Forecast sheet.</t>
  </si>
  <si>
    <t>Summary</t>
  </si>
  <si>
    <t>Carrier ID</t>
  </si>
  <si>
    <t>Carrier name</t>
  </si>
  <si>
    <t>Avg forecast trailers</t>
  </si>
  <si>
    <t>Peak trailers high</t>
  </si>
  <si>
    <t>Surge weeks</t>
  </si>
  <si>
    <t>Max extra trailers</t>
  </si>
  <si>
    <t>Peak week</t>
  </si>
  <si>
    <t>Extra trailers needed by week (high case)</t>
  </si>
  <si>
    <t>Outlook notes to send carriers</t>
  </si>
  <si>
    <t>Forecast window: weeks ending Aug 01, 2026 to Jan 23, 2027.</t>
  </si>
  <si>
    <t>Trailer counts use each lane's trailing 52-week fill rate. The high case is the 80th percentile of backtest error.</t>
  </si>
  <si>
    <t>Carrier A (Albany, Hartford)</t>
  </si>
  <si>
    <t>Contracted capacity: 30 trailers per week across these lanes.</t>
  </si>
  <si>
    <t>Average forecast: 27 trailers per week, 514 pallets per week.</t>
  </si>
  <si>
    <t>Peak week: Dec 05, with 37 trailers forecast and up to 39 in the high case.</t>
  </si>
  <si>
    <t>Surge capacity needed in 6 weeks, from Nov 14 to Dec 19. Largest request: 9 extra trailers in one week.</t>
  </si>
  <si>
    <t>Carrier B (Worcester, Syracuse)</t>
  </si>
  <si>
    <t>Contracted capacity: 31 trailers per week across these lanes.</t>
  </si>
  <si>
    <t>Average forecast: 30 trailers per week, 578 pallets per week.</t>
  </si>
  <si>
    <t>Peak week: Dec 05, with 42 trailers forecast and up to 43 in the high case.</t>
  </si>
  <si>
    <t>Surge capacity needed in 10 weeks, from Oct 24 to Dec 26. Largest request: 12 extra trailers in one week.</t>
  </si>
  <si>
    <t>Carrier C (Harrisburg, Pittsburgh)</t>
  </si>
  <si>
    <t>Contracted capacity: 32 trailers per week across these lanes.</t>
  </si>
  <si>
    <t>Average forecast: 30 trailers per week, 579 pallets per week.</t>
  </si>
  <si>
    <t>Peak week: Dec 05, with 43 trailers forecast and up to 43 in the high case.</t>
  </si>
  <si>
    <t>Surge capacity needed in 8 weeks, from Nov 07 to Dec 26. Largest request: 11 extra trailers in one week.</t>
  </si>
  <si>
    <t>Carrier D (Baltimore, Richmond)</t>
  </si>
  <si>
    <t>Average forecast: 29 trailers per week, 555 pallets per week.</t>
  </si>
  <si>
    <t>Peak week: Dec 05, with 40 trailers forecast and up to 42 in the high case.</t>
  </si>
  <si>
    <t>Store Visibility Report</t>
  </si>
  <si>
    <t>One row per store. Carrier, next-4-week volume, and status are formulas.</t>
  </si>
  <si>
    <t>Week ending:</t>
  </si>
  <si>
    <t>Store</t>
  </si>
  <si>
    <t>Market</t>
  </si>
  <si>
    <t>Size</t>
  </si>
  <si>
    <t>Delivery days</t>
  </si>
  <si>
    <t>Pallet max</t>
  </si>
  <si>
    <t>Open date</t>
  </si>
  <si>
    <t>Wk Aug 01</t>
  </si>
  <si>
    <t>Wk Aug 08</t>
  </si>
  <si>
    <t>Wk Aug 15</t>
  </si>
  <si>
    <t>Wk Aug 22</t>
  </si>
  <si>
    <t>Peak wk forecast</t>
  </si>
  <si>
    <t>Peak wk planned</t>
  </si>
  <si>
    <t>Peak wk backlog</t>
  </si>
  <si>
    <t>Status</t>
  </si>
  <si>
    <t>S1001</t>
  </si>
  <si>
    <t>Large</t>
  </si>
  <si>
    <t>Tue/Thu/Fri/Sat</t>
  </si>
  <si>
    <t>S1002</t>
  </si>
  <si>
    <t>S1003</t>
  </si>
  <si>
    <t>Medium</t>
  </si>
  <si>
    <t>Wed/Fri/Sat</t>
  </si>
  <si>
    <t>S1004</t>
  </si>
  <si>
    <t>Mon/Wed/Fri/Sat</t>
  </si>
  <si>
    <t>S1005</t>
  </si>
  <si>
    <t>Small</t>
  </si>
  <si>
    <t>Mon/Thu/Sat</t>
  </si>
  <si>
    <t>S1006</t>
  </si>
  <si>
    <t>Tue/Fri/Sat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</si>
  <si>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</si>
  <si>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</si>
  <si>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</si>
  <si>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</si>
  <si>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</si>
  <si>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</si>
  <si>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</si>
  <si>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</si>
  <si>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</si>
  <si>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</si>
  <si>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</si>
  <si>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</si>
  <si>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</si>
  <si>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</si>
  <si>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</si>
  <si>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</si>
  <si>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</si>
  <si>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</si>
  <si>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</si>
  <si>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Tue/Fri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</si>
  <si>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</si>
  <si>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</si>
  <si>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</si>
  <si>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</si>
  <si>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</si>
  <si>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</si>
  <si>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</si>
  <si>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</si>
  <si>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</si>
  <si>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</si>
  <si>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</si>
  <si>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</si>
  <si>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</si>
  <si>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</si>
  <si>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</si>
  <si>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</si>
  <si>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</si>
  <si>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</si>
  <si>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</si>
  <si>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</si>
  <si>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</si>
  <si>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</si>
  <si>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</si>
  <si>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</si>
  <si>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</si>
  <si>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</si>
  <si>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</si>
  <si>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</si>
  <si>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</si>
  <si>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</si>
  <si>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</si>
  <si>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</si>
  <si>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</si>
  <si>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</si>
  <si>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</si>
  <si>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</si>
  <si>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</si>
  <si>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</si>
  <si>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</si>
  <si>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</si>
  <si>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</si>
  <si>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</si>
  <si>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</si>
  <si>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</si>
  <si>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</si>
  <si>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</si>
  <si>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</si>
  <si>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</si>
  <si>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</si>
  <si>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</si>
  <si>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</si>
  <si>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</si>
  <si>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</si>
  <si>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</si>
  <si>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</si>
  <si>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</si>
  <si>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</si>
  <si>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</si>
  <si>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</si>
  <si>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</si>
  <si>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</si>
  <si>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</si>
  <si>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</si>
  <si>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</si>
  <si>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</si>
  <si>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</si>
  <si>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</si>
  <si>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</si>
  <si>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</si>
  <si>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</si>
  <si>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</si>
  <si>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</si>
  <si>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</si>
  <si>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</si>
  <si>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</si>
  <si>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</si>
  <si>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</si>
  <si>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</si>
  <si>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</si>
  <si>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</si>
  <si>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</si>
  <si>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</si>
  <si>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</si>
  <si>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</si>
  <si>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</si>
  <si>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</si>
  <si>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</si>
  <si>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</si>
  <si>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</si>
  <si>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</si>
  <si>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</si>
  <si>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</si>
  <si>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</si>
  <si>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</si>
  <si>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</si>
  <si>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</si>
  <si>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</si>
  <si>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</si>
  <si>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</si>
  <si>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</si>
  <si>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</si>
  <si>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</si>
  <si>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</si>
  <si>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</si>
  <si>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</si>
  <si>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</si>
  <si>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</si>
  <si>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</si>
  <si>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</si>
  <si>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</si>
  <si>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</si>
  <si>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Wed/Sat</t>
  </si>
  <si>
    <t>S1137</t>
  </si>
  <si>
    <t>Peak Week Delivery Schedule, week ending Dec 05, 2026</t>
  </si>
  <si>
    <t>Pallets per delivery after change requests and mitigation. Orange cells are at the store's pallet max.</t>
  </si>
  <si>
    <t>Mon</t>
  </si>
  <si>
    <t>Tue</t>
  </si>
  <si>
    <t>Wed</t>
  </si>
  <si>
    <t>Thu</t>
  </si>
  <si>
    <t>Fri</t>
  </si>
  <si>
    <t>Sat</t>
  </si>
  <si>
    <t>Planned total</t>
  </si>
  <si>
    <t>Total</t>
  </si>
  <si>
    <t>Schedule Changes, peak week ending Dec 05, 2026</t>
  </si>
  <si>
    <t>Change requests received, the impact of each one alone, and the combined scenarios.</t>
  </si>
  <si>
    <t>Change log</t>
  </si>
  <si>
    <t>Change ID</t>
  </si>
  <si>
    <t>Change type</t>
  </si>
  <si>
    <t>Pool point ID</t>
  </si>
  <si>
    <t>Store ID</t>
  </si>
  <si>
    <t>Day</t>
  </si>
  <si>
    <t>Old value</t>
  </si>
  <si>
    <t>New value</t>
  </si>
  <si>
    <t>Requested by</t>
  </si>
  <si>
    <t>Reason</t>
  </si>
  <si>
    <t>CHG-001</t>
  </si>
  <si>
    <t>CANCEL_POOL_POINT_DAY</t>
  </si>
  <si>
    <t>Pool point PP03</t>
  </si>
  <si>
    <t>Winter storm closes the Worcester pool point for Tuesday</t>
  </si>
  <si>
    <t>CHG-002</t>
  </si>
  <si>
    <t>CANCEL_STORE_DELIVERY</t>
  </si>
  <si>
    <t>Store operations</t>
  </si>
  <si>
    <t>Store running a physical inventory count on Thursday</t>
  </si>
  <si>
    <t>CHG-003</t>
  </si>
  <si>
    <t>PALLET_MAX_CHANGE</t>
  </si>
  <si>
    <t>11</t>
  </si>
  <si>
    <t>7</t>
  </si>
  <si>
    <t>Backroom at capacity; store asks for smaller drops</t>
  </si>
  <si>
    <t>CHG-004</t>
  </si>
  <si>
    <t>NEW_STORE</t>
  </si>
  <si>
    <t>10</t>
  </si>
  <si>
    <t>Store planning</t>
  </si>
  <si>
    <t>New store added to the network with grand-opening fill</t>
  </si>
  <si>
    <t>CHG-005</t>
  </si>
  <si>
    <t>CARRIER_CHANGE</t>
  </si>
  <si>
    <t>Transportation procurement</t>
  </si>
  <si>
    <t>Syracuse lane awarded to a new carrier</t>
  </si>
  <si>
    <t>Impact of each change on its own (vs. baseline plan)</t>
  </si>
  <si>
    <t>Backlog change</t>
  </si>
  <si>
    <t>Deliveries change</t>
  </si>
  <si>
    <t>Trailers change</t>
  </si>
  <si>
    <t>Cost change</t>
  </si>
  <si>
    <t>Notes</t>
  </si>
  <si>
    <t>All Tue deliveries at PP03 cancelled; pallets roll to each store's next delivery.</t>
  </si>
  <si>
    <t>S1096 skips Thu; its pallets roll to the next delivery.</t>
  </si>
  <si>
    <t>S1001 pallet max 11 to 7 per delivery.</t>
  </si>
  <si>
    <t>S1137 added to PP04 on Tue/Fri with 26 opening pallets.</t>
  </si>
  <si>
    <t>Lane cost $962 to $998 per trailer; carrier on-time 92.2% vs 95.1% over the last 52 weeks.</t>
  </si>
  <si>
    <t>Scenario comparison</t>
  </si>
  <si>
    <t>Scenario</t>
  </si>
  <si>
    <t>Deliveries</t>
  </si>
  <si>
    <t>Pallets delivered</t>
  </si>
  <si>
    <t>Backlog pallets</t>
  </si>
  <si>
    <t>Stores with backlog</t>
  </si>
  <si>
    <t>Trailers</t>
  </si>
  <si>
    <t>Linehaul cost</t>
  </si>
  <si>
    <t>Total cost</t>
  </si>
  <si>
    <t>1. Baseline plan</t>
  </si>
  <si>
    <t>2. With change requests</t>
  </si>
  <si>
    <t>3. With peak mitigation</t>
  </si>
  <si>
    <t>Peak Week Backlog Report</t>
  </si>
  <si>
    <t>Stores whose pallets exceed delivery capacity after change requests, and the mitigation applied.</t>
  </si>
  <si>
    <t>Backlog before</t>
  </si>
  <si>
    <t>Added delivery day</t>
  </si>
  <si>
    <t>Pallet max before</t>
  </si>
  <si>
    <t>Pallet max after</t>
  </si>
  <si>
    <t>Backlog after</t>
  </si>
  <si>
    <t>Weekly Lane History</t>
  </si>
  <si>
    <t>208 weeks of simulated lane operations. Insert &gt; PivotTable on tblWeekly to slice it.</t>
  </si>
  <si>
    <t>week_ending</t>
  </si>
  <si>
    <t>year</t>
  </si>
  <si>
    <t>month</t>
  </si>
  <si>
    <t>pool_point_id</t>
  </si>
  <si>
    <t>carrier_id</t>
  </si>
  <si>
    <t>demand_pallets</t>
  </si>
  <si>
    <t>pallets_shipped</t>
  </si>
  <si>
    <t>backlog_pallets</t>
  </si>
  <si>
    <t>trailers</t>
  </si>
  <si>
    <t>trailer_fill_pct</t>
  </si>
  <si>
    <t>stops</t>
  </si>
  <si>
    <t>on_time_stops</t>
  </si>
  <si>
    <t>on_time_pct</t>
  </si>
  <si>
    <t>linehaul_cost</t>
  </si>
  <si>
    <t>handling_cost</t>
  </si>
  <si>
    <t>final_mile_cost</t>
  </si>
  <si>
    <t>total_cost</t>
  </si>
  <si>
    <t>cost_per_pallet</t>
  </si>
  <si>
    <t>Store Forecast</t>
  </si>
  <si>
    <t>Weekly forecast pallets by store (pool point forecast split by each store's recent share).</t>
  </si>
  <si>
    <t>Pool Points</t>
  </si>
  <si>
    <t>Lane master data. Linehaul cost per trailer is a formula: carrier fixed charge + miles x rate.</t>
  </si>
  <si>
    <t>State</t>
  </si>
  <si>
    <t>Miles from dc</t>
  </si>
  <si>
    <t>Handling per pallet</t>
  </si>
  <si>
    <t>Cost per stop</t>
  </si>
  <si>
    <t>Linehaul cost per trailer</t>
  </si>
  <si>
    <t>Contracted trailers per week</t>
  </si>
  <si>
    <t>Trailing fill %</t>
  </si>
  <si>
    <t>Winter exposed</t>
  </si>
  <si>
    <t>NY</t>
  </si>
  <si>
    <t>Yes</t>
  </si>
  <si>
    <t>CT</t>
  </si>
  <si>
    <t>MA</t>
  </si>
  <si>
    <t>PA</t>
  </si>
  <si>
    <t>No</t>
  </si>
  <si>
    <t>MD</t>
  </si>
  <si>
    <t>VA</t>
  </si>
  <si>
    <t>Carriers</t>
  </si>
  <si>
    <t>Linehaul carriers and contract rates (fictional).</t>
  </si>
  <si>
    <t>Fixed charge</t>
  </si>
  <si>
    <t>Rate per mile</t>
  </si>
  <si>
    <t>Base on time</t>
  </si>
  <si>
    <t>Stores</t>
  </si>
  <si>
    <t>Store master data, including stores opening in the forecast window.</t>
  </si>
  <si>
    <t>Size tier</t>
  </si>
  <si>
    <t>Base weekly pallets</t>
  </si>
  <si>
    <t>Deliveries per week</t>
  </si>
  <si>
    <t>Tue/Thu/Sat</t>
  </si>
  <si>
    <t>Mon/Wed/Fri</t>
  </si>
  <si>
    <t>Mon/Thu</t>
  </si>
  <si>
    <t>Named inputs used by formulas across the workbook. Change a yellow cell and everything recalculates.</t>
  </si>
  <si>
    <t>Setting</t>
  </si>
  <si>
    <t>Value</t>
  </si>
  <si>
    <t>As-of week ending</t>
  </si>
  <si>
    <t>Peak plan week ending</t>
  </si>
  <si>
    <t>Pallets per trailer</t>
  </si>
  <si>
    <t>On-time delivery target</t>
  </si>
  <si>
    <t>Trailer fill target</t>
  </si>
  <si>
    <t>Cost per pallet alert (x network)</t>
  </si>
  <si>
    <t>Forecast method</t>
  </si>
  <si>
    <t>Holt-Winters</t>
  </si>
  <si>
    <t>Backtest WAPE (pool point)</t>
  </si>
  <si>
    <t>Pallets shipped by pool point and year</t>
  </si>
  <si>
    <t>PivotTable on tblWeekly. Drag fields to slice by carrier or month.</t>
  </si>
  <si>
    <t>Row Labels</t>
  </si>
  <si>
    <t>Grand Total</t>
  </si>
  <si>
    <t>Column Labels</t>
  </si>
  <si>
    <t xml:space="preserve">Pallets shipped </t>
  </si>
  <si>
    <t>On-time delivery rate by carrier and year</t>
  </si>
  <si>
    <t>Calculated field OnTimeRate = on_time_stops / stops, so each rate is weighted by deliveries.</t>
  </si>
  <si>
    <t xml:space="preserve">On-time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</si>
</sst>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mmm\ d\,\ yyyy"/>
    <numFmt numFmtId="166" formatCode="0.0%"/>
    <numFmt numFmtId="167" formatCode="\$#,##0"/>
    <numFmt numFmtId="168" formatCode="\$#,##0.00"/>
    <numFmt numFmtId="169" formatCode="#,##0.0"/>
    <numFmt numFmtId="170" formatCode="mmm\ d"/>
    <numFmt numFmtId="171" formatCode="\+#,##0;\-#,##0;0"/>
    <numFmt numFmtId="172" formatCode="\+\$#,##0;\-\$#,##0;\$0"/>
  </numFmts>
  <fonts count="10" x14ac:knownFonts="1">
    <font>
      <sz val="11"/>
      <color theme="1"/>
      <name val="Calibri"/>
      <family val="2"/>
      <scheme val="minor"/>
    </font>
    <font>
      <b/>
      <sz val="16"/>
      <color rgb="FF0B0B0B"/>
      <name val="Calibri"/>
    </font>
    <font>
      <i/>
      <sz val="10"/>
      <color rgb="FF52514E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184F95"/>
      <name val="Calibri"/>
    </font>
    <font>
      <b/>
      <sz val="12"/>
      <name val="Calibri"/>
    </font>
    <font>
      <sz val="9"/>
      <color rgb="FF52514E"/>
      <name val="Calibri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F95"/>
      </patternFill>
    </fill>
    <fill>
      <patternFill patternType="solid">
        <fgColor rgb="FFFFF4CC"/>
      </patternFill>
    </fill>
    <fill>
      <patternFill patternType="solid">
        <fgColor rgb="FF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6" fillId="3" borderId="0" xfId="0" applyFont="1" applyFill="1"/>
    <xf numFmtId="0" fontId="7" fillId="4" borderId="0" xfId="0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168" fontId="1" fillId="4" borderId="0" xfId="0" applyNumberFormat="1" applyFont="1" applyFill="1" applyAlignment="1">
      <alignment horizontal="center"/>
    </xf>
    <xf numFmtId="170" fontId="1" fillId="4" borderId="0" xfId="0" applyNumberFormat="1" applyFont="1" applyFill="1" applyAlignment="1">
      <alignment horizontal="center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165" fontId="0" fillId="0" borderId="0" xfId="0" applyNumberFormat="1"/>
    <xf numFmtId="169" fontId="0" fillId="0" borderId="0" xfId="0" applyNumberFormat="1"/>
    <xf numFmtId="3" fontId="0" fillId="0" borderId="0" xfId="0" applyNumberFormat="1"/>
    <xf numFmtId="171" fontId="0" fillId="0" borderId="0" xfId="0" applyNumberFormat="1"/>
    <xf numFmtId="166" fontId="0" fillId="0" borderId="0" xfId="0" applyNumberFormat="1"/>
    <xf numFmtId="168" fontId="0" fillId="0" borderId="0" xfId="0" applyNumberFormat="1"/>
    <xf numFmtId="2" fontId="0" fillId="0" borderId="0" xfId="0" applyNumberFormat="1"/>
    <xf numFmtId="170" fontId="4" fillId="2" borderId="0" xfId="0" applyNumberFormat="1" applyFont="1" applyFill="1" applyAlignment="1">
      <alignment horizontal="center"/>
    </xf>
    <xf numFmtId="3" fontId="3" fillId="0" borderId="0" xfId="0" applyNumberFormat="1" applyFont="1"/>
    <xf numFmtId="170" fontId="4" fillId="2" borderId="0" xfId="0" applyNumberFormat="1" applyFont="1" applyFill="1"/>
    <xf numFmtId="170" fontId="0" fillId="0" borderId="0" xfId="0" applyNumberFormat="1"/>
    <xf numFmtId="172" fontId="0" fillId="0" borderId="0" xfId="0" applyNumberFormat="1"/>
    <xf numFmtId="167" fontId="0" fillId="0" borderId="0" xfId="0" applyNumberFormat="1"/>
    <xf numFmtId="165" fontId="0" fillId="3" borderId="0" xfId="0" applyNumberFormat="1" applyFill="1"/>
    <xf numFmtId="3" fontId="0" fillId="3" borderId="0" xfId="0" applyNumberFormat="1" applyFill="1"/>
    <xf numFmtId="9" fontId="0" fillId="3" borderId="0" xfId="0" applyNumberFormat="1" applyFill="1"/>
    <xf numFmtId="2" fontId="0" fillId="3" borderId="0" xfId="0" applyNumberFormat="1" applyFill="1"/>
    <xf numFmtId="49" fontId="0" fillId="0" borderId="0" xfId="0" applyNumberFormat="1"/>
    <xf numFmtId="0" fontId="8" fillId="0" borderId="0" xfId="0" applyFont="1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font>
        <color rgb="FF9C1C1C"/>
      </font>
      <fill>
        <patternFill patternType="solid">
          <fgColor rgb="FFF8D7D7"/>
        </patternFill>
      </fill>
    </dxf>
    <dxf>
      <font>
        <color rgb="FF8A5300"/>
      </font>
      <fill>
        <patternFill patternType="solid">
          <fgColor rgb="FFFDEBC8"/>
        </patternFill>
      </fill>
    </dxf>
    <dxf>
      <font>
        <color rgb="FF8A5300"/>
      </font>
      <fill>
        <patternFill patternType="solid">
          <fgColor rgb="FFFDEBC8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8A5300"/>
      </font>
      <fill>
        <patternFill patternType="solid">
          <fgColor rgb="FFFDEBC8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1E6B1E"/>
      </font>
      <fill>
        <patternFill patternType="solid">
          <fgColor rgb="FFDAF2DA"/>
        </patternFill>
      </fill>
    </dxf>
    <dxf>
      <font>
        <color rgb="FF8A5300"/>
      </font>
      <fill>
        <patternFill patternType="solid">
          <fgColor rgb="FFFDEBC8"/>
        </patternFill>
      </fill>
    </dxf>
    <dxf>
      <font>
        <color rgb="FF9C1C1C"/>
      </font>
      <fill>
        <patternFill patternType="solid">
          <fgColor rgb="FFF8D7D7"/>
        </patternFill>
      </fill>
    </dxf>
    <dxf>
      <font>
        <b/>
        <sz val="16"/>
        <color rgb="FF9C1C1C"/>
      </font>
    </dxf>
    <dxf>
      <font>
        <b/>
        <sz val="16"/>
        <color rgb="FF9C1C1C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Forecast pallets</c:v>
                </c:pt>
              </c:strCache>
            </c:strRef>
          </c:tx>
          <c:spPr>
            <a:ln w="28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Dashboard!$A$13:$A$38</c:f>
              <c:numCache>
                <c:formatCode>mmm\ d\,\ yyyy</c:formatCode>
                <c:ptCount val="26"/>
                <c:pt idx="0">
                  <c:v>46235</c:v>
                </c:pt>
                <c:pt idx="1">
                  <c:v>46242</c:v>
                </c:pt>
                <c:pt idx="2">
                  <c:v>46249</c:v>
                </c:pt>
                <c:pt idx="3">
                  <c:v>46256</c:v>
                </c:pt>
                <c:pt idx="4">
                  <c:v>46263</c:v>
                </c:pt>
                <c:pt idx="5">
                  <c:v>46270</c:v>
                </c:pt>
                <c:pt idx="6">
                  <c:v>46277</c:v>
                </c:pt>
                <c:pt idx="7">
                  <c:v>46284</c:v>
                </c:pt>
                <c:pt idx="8">
                  <c:v>46291</c:v>
                </c:pt>
                <c:pt idx="9">
                  <c:v>46298</c:v>
                </c:pt>
                <c:pt idx="10">
                  <c:v>46305</c:v>
                </c:pt>
                <c:pt idx="11">
                  <c:v>46312</c:v>
                </c:pt>
                <c:pt idx="12">
                  <c:v>46319</c:v>
                </c:pt>
                <c:pt idx="13">
                  <c:v>46326</c:v>
                </c:pt>
                <c:pt idx="14">
                  <c:v>46333</c:v>
                </c:pt>
                <c:pt idx="15">
                  <c:v>46340</c:v>
                </c:pt>
                <c:pt idx="16">
                  <c:v>46347</c:v>
                </c:pt>
                <c:pt idx="17">
                  <c:v>46354</c:v>
                </c:pt>
                <c:pt idx="18">
                  <c:v>46361</c:v>
                </c:pt>
                <c:pt idx="19">
                  <c:v>46368</c:v>
                </c:pt>
                <c:pt idx="20">
                  <c:v>46375</c:v>
                </c:pt>
                <c:pt idx="21">
                  <c:v>46382</c:v>
                </c:pt>
                <c:pt idx="22">
                  <c:v>46389</c:v>
                </c:pt>
                <c:pt idx="23">
                  <c:v>46396</c:v>
                </c:pt>
                <c:pt idx="24">
                  <c:v>46403</c:v>
                </c:pt>
                <c:pt idx="25">
                  <c:v>46410</c:v>
                </c:pt>
              </c:numCache>
            </c:numRef>
          </c:cat>
          <c:val>
            <c:numRef>
              <c:f>Dashboard!$B$13:$B$38</c:f>
              <c:numCache>
                <c:formatCode>#,##0.0</c:formatCode>
                <c:ptCount val="26"/>
                <c:pt idx="0">
                  <c:v>329.3</c:v>
                </c:pt>
                <c:pt idx="1">
                  <c:v>331.1</c:v>
                </c:pt>
                <c:pt idx="2">
                  <c:v>328.7</c:v>
                </c:pt>
                <c:pt idx="3">
                  <c:v>321.2</c:v>
                </c:pt>
                <c:pt idx="4">
                  <c:v>313.60000000000002</c:v>
                </c:pt>
                <c:pt idx="5">
                  <c:v>296</c:v>
                </c:pt>
                <c:pt idx="6">
                  <c:v>287.89999999999998</c:v>
                </c:pt>
                <c:pt idx="7">
                  <c:v>305.39999999999998</c:v>
                </c:pt>
                <c:pt idx="8">
                  <c:v>303.5</c:v>
                </c:pt>
                <c:pt idx="9">
                  <c:v>298.5</c:v>
                </c:pt>
                <c:pt idx="10">
                  <c:v>311.10000000000002</c:v>
                </c:pt>
                <c:pt idx="11">
                  <c:v>319.3</c:v>
                </c:pt>
                <c:pt idx="12">
                  <c:v>340.9</c:v>
                </c:pt>
                <c:pt idx="13">
                  <c:v>358.1</c:v>
                </c:pt>
                <c:pt idx="14">
                  <c:v>364.1</c:v>
                </c:pt>
                <c:pt idx="15">
                  <c:v>398.8</c:v>
                </c:pt>
                <c:pt idx="16">
                  <c:v>415.7</c:v>
                </c:pt>
                <c:pt idx="17">
                  <c:v>445.8</c:v>
                </c:pt>
                <c:pt idx="18">
                  <c:v>479.2</c:v>
                </c:pt>
                <c:pt idx="19">
                  <c:v>479.6</c:v>
                </c:pt>
                <c:pt idx="20">
                  <c:v>422.1</c:v>
                </c:pt>
                <c:pt idx="21">
                  <c:v>366.6</c:v>
                </c:pt>
                <c:pt idx="22">
                  <c:v>310.60000000000002</c:v>
                </c:pt>
                <c:pt idx="23">
                  <c:v>250.6</c:v>
                </c:pt>
                <c:pt idx="24">
                  <c:v>250.6</c:v>
                </c:pt>
                <c:pt idx="25">
                  <c:v>262.3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88-4245-9399-FD52E9EE8D3E}"/>
            </c:ext>
          </c:extLst>
        </c:ser>
        <c:ser>
          <c:idx val="1"/>
          <c:order val="1"/>
          <c:tx>
            <c:strRef>
              <c:f>Dashboard!$C$12</c:f>
              <c:strCache>
                <c:ptCount val="1"/>
                <c:pt idx="0">
                  <c:v>High (P80)</c:v>
                </c:pt>
              </c:strCache>
            </c:strRef>
          </c:tx>
          <c:spPr>
            <a:ln>
              <a:solidFill>
                <a:srgbClr val="EB6834"/>
              </a:solidFill>
              <a:prstDash val="dash"/>
            </a:ln>
          </c:spPr>
          <c:marker>
            <c:symbol val="none"/>
          </c:marker>
          <c:cat>
            <c:numRef>
              <c:f>Dashboard!$A$13:$A$38</c:f>
              <c:numCache>
                <c:formatCode>mmm\ d\,\ yyyy</c:formatCode>
                <c:ptCount val="26"/>
                <c:pt idx="0">
                  <c:v>46235</c:v>
                </c:pt>
                <c:pt idx="1">
                  <c:v>46242</c:v>
                </c:pt>
                <c:pt idx="2">
                  <c:v>46249</c:v>
                </c:pt>
                <c:pt idx="3">
                  <c:v>46256</c:v>
                </c:pt>
                <c:pt idx="4">
                  <c:v>46263</c:v>
                </c:pt>
                <c:pt idx="5">
                  <c:v>46270</c:v>
                </c:pt>
                <c:pt idx="6">
                  <c:v>46277</c:v>
                </c:pt>
                <c:pt idx="7">
                  <c:v>46284</c:v>
                </c:pt>
                <c:pt idx="8">
                  <c:v>46291</c:v>
                </c:pt>
                <c:pt idx="9">
                  <c:v>46298</c:v>
                </c:pt>
                <c:pt idx="10">
                  <c:v>46305</c:v>
                </c:pt>
                <c:pt idx="11">
                  <c:v>46312</c:v>
                </c:pt>
                <c:pt idx="12">
                  <c:v>46319</c:v>
                </c:pt>
                <c:pt idx="13">
                  <c:v>46326</c:v>
                </c:pt>
                <c:pt idx="14">
                  <c:v>46333</c:v>
                </c:pt>
                <c:pt idx="15">
                  <c:v>46340</c:v>
                </c:pt>
                <c:pt idx="16">
                  <c:v>46347</c:v>
                </c:pt>
                <c:pt idx="17">
                  <c:v>46354</c:v>
                </c:pt>
                <c:pt idx="18">
                  <c:v>46361</c:v>
                </c:pt>
                <c:pt idx="19">
                  <c:v>46368</c:v>
                </c:pt>
                <c:pt idx="20">
                  <c:v>46375</c:v>
                </c:pt>
                <c:pt idx="21">
                  <c:v>46382</c:v>
                </c:pt>
                <c:pt idx="22">
                  <c:v>46389</c:v>
                </c:pt>
                <c:pt idx="23">
                  <c:v>46396</c:v>
                </c:pt>
                <c:pt idx="24">
                  <c:v>46403</c:v>
                </c:pt>
                <c:pt idx="25">
                  <c:v>46410</c:v>
                </c:pt>
              </c:numCache>
            </c:numRef>
          </c:cat>
          <c:val>
            <c:numRef>
              <c:f>Dashboard!$C$13:$C$38</c:f>
              <c:numCache>
                <c:formatCode>#,##0.0</c:formatCode>
                <c:ptCount val="26"/>
                <c:pt idx="0">
                  <c:v>337.4</c:v>
                </c:pt>
                <c:pt idx="1">
                  <c:v>339.2</c:v>
                </c:pt>
                <c:pt idx="2">
                  <c:v>336.8</c:v>
                </c:pt>
                <c:pt idx="3">
                  <c:v>329.1</c:v>
                </c:pt>
                <c:pt idx="4">
                  <c:v>321.3</c:v>
                </c:pt>
                <c:pt idx="5">
                  <c:v>303.3</c:v>
                </c:pt>
                <c:pt idx="6">
                  <c:v>295</c:v>
                </c:pt>
                <c:pt idx="7">
                  <c:v>312.89999999999998</c:v>
                </c:pt>
                <c:pt idx="8">
                  <c:v>311</c:v>
                </c:pt>
                <c:pt idx="9">
                  <c:v>305.8</c:v>
                </c:pt>
                <c:pt idx="10">
                  <c:v>318.8</c:v>
                </c:pt>
                <c:pt idx="11">
                  <c:v>327.10000000000002</c:v>
                </c:pt>
                <c:pt idx="12">
                  <c:v>349.3</c:v>
                </c:pt>
                <c:pt idx="13">
                  <c:v>366.9</c:v>
                </c:pt>
                <c:pt idx="14">
                  <c:v>373.1</c:v>
                </c:pt>
                <c:pt idx="15">
                  <c:v>408.7</c:v>
                </c:pt>
                <c:pt idx="16">
                  <c:v>426</c:v>
                </c:pt>
                <c:pt idx="17">
                  <c:v>456.7</c:v>
                </c:pt>
                <c:pt idx="18">
                  <c:v>491.1</c:v>
                </c:pt>
                <c:pt idx="19">
                  <c:v>491.5</c:v>
                </c:pt>
                <c:pt idx="20">
                  <c:v>432.5</c:v>
                </c:pt>
                <c:pt idx="21">
                  <c:v>375.6</c:v>
                </c:pt>
                <c:pt idx="22">
                  <c:v>318.2</c:v>
                </c:pt>
                <c:pt idx="23">
                  <c:v>256.8</c:v>
                </c:pt>
                <c:pt idx="24">
                  <c:v>256.8</c:v>
                </c:pt>
                <c:pt idx="25">
                  <c:v>268.8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88-4245-9399-FD52E9EE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 d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tickLblSkip val="4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Dashboard!$D$12</c:f>
              <c:strCache>
                <c:ptCount val="1"/>
                <c:pt idx="0">
                  <c:v>Trailers needed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numRef>
              <c:f>Dashboard!$A$13:$A$38</c:f>
              <c:numCache>
                <c:formatCode>mmm\ d\,\ yyyy</c:formatCode>
                <c:ptCount val="26"/>
                <c:pt idx="0">
                  <c:v>46235</c:v>
                </c:pt>
                <c:pt idx="1">
                  <c:v>46242</c:v>
                </c:pt>
                <c:pt idx="2">
                  <c:v>46249</c:v>
                </c:pt>
                <c:pt idx="3">
                  <c:v>46256</c:v>
                </c:pt>
                <c:pt idx="4">
                  <c:v>46263</c:v>
                </c:pt>
                <c:pt idx="5">
                  <c:v>46270</c:v>
                </c:pt>
                <c:pt idx="6">
                  <c:v>46277</c:v>
                </c:pt>
                <c:pt idx="7">
                  <c:v>46284</c:v>
                </c:pt>
                <c:pt idx="8">
                  <c:v>46291</c:v>
                </c:pt>
                <c:pt idx="9">
                  <c:v>46298</c:v>
                </c:pt>
                <c:pt idx="10">
                  <c:v>46305</c:v>
                </c:pt>
                <c:pt idx="11">
                  <c:v>46312</c:v>
                </c:pt>
                <c:pt idx="12">
                  <c:v>46319</c:v>
                </c:pt>
                <c:pt idx="13">
                  <c:v>46326</c:v>
                </c:pt>
                <c:pt idx="14">
                  <c:v>46333</c:v>
                </c:pt>
                <c:pt idx="15">
                  <c:v>46340</c:v>
                </c:pt>
                <c:pt idx="16">
                  <c:v>46347</c:v>
                </c:pt>
                <c:pt idx="17">
                  <c:v>46354</c:v>
                </c:pt>
                <c:pt idx="18">
                  <c:v>46361</c:v>
                </c:pt>
                <c:pt idx="19">
                  <c:v>46368</c:v>
                </c:pt>
                <c:pt idx="20">
                  <c:v>46375</c:v>
                </c:pt>
                <c:pt idx="21">
                  <c:v>46382</c:v>
                </c:pt>
                <c:pt idx="22">
                  <c:v>46389</c:v>
                </c:pt>
                <c:pt idx="23">
                  <c:v>46396</c:v>
                </c:pt>
                <c:pt idx="24">
                  <c:v>46403</c:v>
                </c:pt>
                <c:pt idx="25">
                  <c:v>46410</c:v>
                </c:pt>
              </c:numCache>
            </c:numRef>
          </c:cat>
          <c:val>
            <c:numRef>
              <c:f>Dashboard!$D$13:$D$38</c:f>
              <c:numCache>
                <c:formatCode>#,##0</c:formatCode>
                <c:ptCount val="2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18</c:v>
                </c:pt>
                <c:pt idx="15">
                  <c:v>20</c:v>
                </c:pt>
                <c:pt idx="16">
                  <c:v>20</c:v>
                </c:pt>
                <c:pt idx="17">
                  <c:v>22</c:v>
                </c:pt>
                <c:pt idx="18">
                  <c:v>23</c:v>
                </c:pt>
                <c:pt idx="19">
                  <c:v>23</c:v>
                </c:pt>
                <c:pt idx="20">
                  <c:v>21</c:v>
                </c:pt>
                <c:pt idx="21">
                  <c:v>18</c:v>
                </c:pt>
                <c:pt idx="22">
                  <c:v>15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B0-48EF-B6A9-B1E54471941E}"/>
            </c:ext>
          </c:extLst>
        </c:ser>
        <c:ser>
          <c:idx val="1"/>
          <c:order val="1"/>
          <c:tx>
            <c:strRef>
              <c:f>Dashboard!$E$12</c:f>
              <c:strCache>
                <c:ptCount val="1"/>
                <c:pt idx="0">
                  <c:v>Contracted</c:v>
                </c:pt>
              </c:strCache>
            </c:strRef>
          </c:tx>
          <c:spPr>
            <a:solidFill>
              <a:srgbClr val="C3C2B7"/>
            </a:solidFill>
            <a:ln>
              <a:prstDash val="solid"/>
            </a:ln>
          </c:spPr>
          <c:invertIfNegative val="1"/>
          <c:cat>
            <c:numRef>
              <c:f>Dashboard!$A$13:$A$38</c:f>
              <c:numCache>
                <c:formatCode>mmm\ d\,\ yyyy</c:formatCode>
                <c:ptCount val="26"/>
                <c:pt idx="0">
                  <c:v>46235</c:v>
                </c:pt>
                <c:pt idx="1">
                  <c:v>46242</c:v>
                </c:pt>
                <c:pt idx="2">
                  <c:v>46249</c:v>
                </c:pt>
                <c:pt idx="3">
                  <c:v>46256</c:v>
                </c:pt>
                <c:pt idx="4">
                  <c:v>46263</c:v>
                </c:pt>
                <c:pt idx="5">
                  <c:v>46270</c:v>
                </c:pt>
                <c:pt idx="6">
                  <c:v>46277</c:v>
                </c:pt>
                <c:pt idx="7">
                  <c:v>46284</c:v>
                </c:pt>
                <c:pt idx="8">
                  <c:v>46291</c:v>
                </c:pt>
                <c:pt idx="9">
                  <c:v>46298</c:v>
                </c:pt>
                <c:pt idx="10">
                  <c:v>46305</c:v>
                </c:pt>
                <c:pt idx="11">
                  <c:v>46312</c:v>
                </c:pt>
                <c:pt idx="12">
                  <c:v>46319</c:v>
                </c:pt>
                <c:pt idx="13">
                  <c:v>46326</c:v>
                </c:pt>
                <c:pt idx="14">
                  <c:v>46333</c:v>
                </c:pt>
                <c:pt idx="15">
                  <c:v>46340</c:v>
                </c:pt>
                <c:pt idx="16">
                  <c:v>46347</c:v>
                </c:pt>
                <c:pt idx="17">
                  <c:v>46354</c:v>
                </c:pt>
                <c:pt idx="18">
                  <c:v>46361</c:v>
                </c:pt>
                <c:pt idx="19">
                  <c:v>46368</c:v>
                </c:pt>
                <c:pt idx="20">
                  <c:v>46375</c:v>
                </c:pt>
                <c:pt idx="21">
                  <c:v>46382</c:v>
                </c:pt>
                <c:pt idx="22">
                  <c:v>46389</c:v>
                </c:pt>
                <c:pt idx="23">
                  <c:v>46396</c:v>
                </c:pt>
                <c:pt idx="24">
                  <c:v>46403</c:v>
                </c:pt>
                <c:pt idx="25">
                  <c:v>46410</c:v>
                </c:pt>
              </c:numCache>
            </c:numRef>
          </c:cat>
          <c:val>
            <c:numRef>
              <c:f>Dashboard!$E$13:$E$38</c:f>
              <c:numCache>
                <c:formatCode>#,##0</c:formatCode>
                <c:ptCount val="2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9B0-48EF-B6A9-B1E544719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 d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tickLblSkip val="4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11</xdr:row>
      <xdr:rowOff>0</xdr:rowOff>
    </xdr:from>
    <xdr:ext cx="61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27</xdr:row>
      <xdr:rowOff>0</xdr:rowOff>
    </xdr:from>
    <xdr:ext cx="61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ar" refreshedDate="46300.030888194444" createdVersion="8" refreshedVersion="8" minRefreshableVersion="3" recordCount="1664" xr:uid="{51BE5F72-FDD9-4CAA-84E4-BFD243ADB6B6}">
  <cacheSource type="worksheet">
    <worksheetSource name="tblWeekly"/>
  </cacheSource>
  <cacheFields count="19">
    <cacheField name="week_ending" numFmtId="165">
      <sharedItems containsSemiMixedTypes="0" containsNonDate="0" containsDate="1" containsString="0" minDate="2022-08-06T00:00:00" maxDate="2026-07-26T00:00:00"/>
    </cacheField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/>
    </cacheField>
    <cacheField name="pool_point_id" numFmtId="0">
      <sharedItems count="8">
        <s v="PP01"/>
        <s v="PP02"/>
        <s v="PP03"/>
        <s v="PP04"/>
        <s v="PP05"/>
        <s v="PP06"/>
        <s v="PP07"/>
        <s v="PP08"/>
      </sharedItems>
    </cacheField>
    <cacheField name="carrier_id" numFmtId="0">
      <sharedItems count="4">
        <s v="CARR-A"/>
        <s v="CARR-B"/>
        <s v="CARR-C"/>
        <s v="CARR-D"/>
      </sharedItems>
    </cacheField>
    <cacheField name="demand_pallets" numFmtId="0">
      <sharedItems containsSemiMixedTypes="0" containsString="0" containsNumber="1" containsInteger="1" minValue="138" maxValue="484"/>
    </cacheField>
    <cacheField name="pallets_shipped" numFmtId="0">
      <sharedItems containsSemiMixedTypes="0" containsString="0" containsNumber="1" containsInteger="1" minValue="138" maxValue="411"/>
    </cacheField>
    <cacheField name="backlog_pallets" numFmtId="0">
      <sharedItems containsSemiMixedTypes="0" containsString="0" containsNumber="1" containsInteger="1" minValue="0" maxValue="212"/>
    </cacheField>
    <cacheField name="trailers" numFmtId="0">
      <sharedItems containsSemiMixedTypes="0" containsString="0" containsNumber="1" containsInteger="1" minValue="7" maxValue="19"/>
    </cacheField>
    <cacheField name="trailer_fill_pct" numFmtId="166">
      <sharedItems containsSemiMixedTypes="0" containsString="0" containsNumber="1" minValue="0.57692307692307687" maxValue="0.90384615384615385"/>
    </cacheField>
    <cacheField name="stops" numFmtId="0">
      <sharedItems containsSemiMixedTypes="0" containsString="0" containsNumber="1" containsInteger="1" minValue="33" maxValue="48"/>
    </cacheField>
    <cacheField name="on_time_stops" numFmtId="0">
      <sharedItems containsSemiMixedTypes="0" containsString="0" containsNumber="1" containsInteger="1" minValue="26" maxValue="48"/>
    </cacheField>
    <cacheField name="on_time_pct" numFmtId="166">
      <sharedItems containsSemiMixedTypes="0" containsString="0" containsNumber="1" minValue="0.77142857142857146" maxValue="1"/>
    </cacheField>
    <cacheField name="linehaul_cost" numFmtId="167">
      <sharedItems containsSemiMixedTypes="0" containsString="0" containsNumber="1" minValue="5393.25" maxValue="23940"/>
    </cacheField>
    <cacheField name="handling_cost" numFmtId="167">
      <sharedItems containsSemiMixedTypes="0" containsString="0" containsNumber="1" minValue="1173" maxValue="4418.25"/>
    </cacheField>
    <cacheField name="final_mile_cost" numFmtId="167">
      <sharedItems containsSemiMixedTypes="0" containsString="0" containsNumber="1" containsInteger="1" minValue="5250" maxValue="9360"/>
    </cacheField>
    <cacheField name="total_cost" numFmtId="167">
      <sharedItems containsSemiMixedTypes="0" containsString="0" containsNumber="1" minValue="11990.75" maxValue="34792.75"/>
    </cacheField>
    <cacheField name="cost_per_pallet" numFmtId="168">
      <sharedItems containsSemiMixedTypes="0" containsString="0" containsNumber="1" minValue="55.882005899705007" maxValue="115.1"/>
    </cacheField>
    <cacheField name="OnTimeRate" numFmtId="0" formula="on_time_stops/stop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4">
  <r>
    <d v="2022-08-06T00:00:00"/>
    <x v="0"/>
    <n v="8"/>
    <x v="0"/>
    <x v="0"/>
    <n v="194"/>
    <n v="194"/>
    <n v="0"/>
    <n v="11"/>
    <n v="0.67832167832167833"/>
    <n v="33"/>
    <n v="32"/>
    <n v="0.96969696969696972"/>
    <n v="9902.75"/>
    <n v="1843"/>
    <n v="5445"/>
    <n v="17190.75"/>
    <n v="88.612113402061851"/>
  </r>
  <r>
    <d v="2022-08-13T00:00:00"/>
    <x v="0"/>
    <n v="8"/>
    <x v="0"/>
    <x v="0"/>
    <n v="203"/>
    <n v="203"/>
    <n v="0"/>
    <n v="11"/>
    <n v="0.70979020979020979"/>
    <n v="33"/>
    <n v="33"/>
    <n v="1"/>
    <n v="9902.75"/>
    <n v="1928.5"/>
    <n v="5445"/>
    <n v="17276.25"/>
    <n v="85.104679802955658"/>
  </r>
  <r>
    <d v="2022-08-20T00:00:00"/>
    <x v="0"/>
    <n v="8"/>
    <x v="0"/>
    <x v="0"/>
    <n v="184"/>
    <n v="184"/>
    <n v="0"/>
    <n v="10"/>
    <n v="0.70769230769230773"/>
    <n v="33"/>
    <n v="31"/>
    <n v="0.93939393939393945"/>
    <n v="9002.5"/>
    <n v="1748"/>
    <n v="5445"/>
    <n v="16195.5"/>
    <n v="88.019021739130437"/>
  </r>
  <r>
    <d v="2022-08-27T00:00:00"/>
    <x v="0"/>
    <n v="8"/>
    <x v="0"/>
    <x v="0"/>
    <n v="190"/>
    <n v="190"/>
    <n v="0"/>
    <n v="11"/>
    <n v="0.66433566433566438"/>
    <n v="33"/>
    <n v="30"/>
    <n v="0.90909090909090906"/>
    <n v="9902.75"/>
    <n v="1805"/>
    <n v="5445"/>
    <n v="17152.75"/>
    <n v="90.277631578947364"/>
  </r>
  <r>
    <d v="2022-09-03T00:00:00"/>
    <x v="0"/>
    <n v="9"/>
    <x v="0"/>
    <x v="0"/>
    <n v="190"/>
    <n v="190"/>
    <n v="0"/>
    <n v="11"/>
    <n v="0.66433566433566438"/>
    <n v="33"/>
    <n v="33"/>
    <n v="1"/>
    <n v="9902.75"/>
    <n v="1805"/>
    <n v="5445"/>
    <n v="17152.75"/>
    <n v="90.277631578947364"/>
  </r>
  <r>
    <d v="2022-09-10T00:00:00"/>
    <x v="0"/>
    <n v="9"/>
    <x v="0"/>
    <x v="0"/>
    <n v="189"/>
    <n v="189"/>
    <n v="0"/>
    <n v="11"/>
    <n v="0.66083916083916083"/>
    <n v="33"/>
    <n v="33"/>
    <n v="1"/>
    <n v="9902.75"/>
    <n v="1795.5"/>
    <n v="5445"/>
    <n v="17143.25"/>
    <n v="90.705026455026456"/>
  </r>
  <r>
    <d v="2022-09-17T00:00:00"/>
    <x v="0"/>
    <n v="9"/>
    <x v="0"/>
    <x v="0"/>
    <n v="188"/>
    <n v="188"/>
    <n v="0"/>
    <n v="10"/>
    <n v="0.72307692307692306"/>
    <n v="33"/>
    <n v="31"/>
    <n v="0.93939393939393945"/>
    <n v="9002.5"/>
    <n v="1786"/>
    <n v="5445"/>
    <n v="16233.5"/>
    <n v="86.348404255319153"/>
  </r>
  <r>
    <d v="2022-09-24T00:00:00"/>
    <x v="0"/>
    <n v="9"/>
    <x v="0"/>
    <x v="0"/>
    <n v="180"/>
    <n v="180"/>
    <n v="0"/>
    <n v="10"/>
    <n v="0.69230769230769229"/>
    <n v="33"/>
    <n v="33"/>
    <n v="1"/>
    <n v="9002.5"/>
    <n v="1710"/>
    <n v="5445"/>
    <n v="16157.5"/>
    <n v="89.763888888888886"/>
  </r>
  <r>
    <d v="2022-10-01T00:00:00"/>
    <x v="0"/>
    <n v="10"/>
    <x v="0"/>
    <x v="0"/>
    <n v="186"/>
    <n v="186"/>
    <n v="0"/>
    <n v="10"/>
    <n v="0.7153846153846154"/>
    <n v="33"/>
    <n v="30"/>
    <n v="0.90909090909090906"/>
    <n v="9002.5"/>
    <n v="1767"/>
    <n v="5445"/>
    <n v="16214.5"/>
    <n v="87.174731182795696"/>
  </r>
  <r>
    <d v="2022-10-08T00:00:00"/>
    <x v="0"/>
    <n v="10"/>
    <x v="0"/>
    <x v="0"/>
    <n v="184"/>
    <n v="184"/>
    <n v="0"/>
    <n v="11"/>
    <n v="0.64335664335664333"/>
    <n v="33"/>
    <n v="32"/>
    <n v="0.96969696969696972"/>
    <n v="9902.75"/>
    <n v="1748"/>
    <n v="5445"/>
    <n v="17095.75"/>
    <n v="92.911684782608702"/>
  </r>
  <r>
    <d v="2022-10-15T00:00:00"/>
    <x v="0"/>
    <n v="10"/>
    <x v="0"/>
    <x v="0"/>
    <n v="187"/>
    <n v="187"/>
    <n v="0"/>
    <n v="11"/>
    <n v="0.65384615384615385"/>
    <n v="33"/>
    <n v="30"/>
    <n v="0.90909090909090906"/>
    <n v="9902.75"/>
    <n v="1776.5"/>
    <n v="5445"/>
    <n v="17124.25"/>
    <n v="91.57352941176471"/>
  </r>
  <r>
    <d v="2022-10-22T00:00:00"/>
    <x v="0"/>
    <n v="10"/>
    <x v="0"/>
    <x v="0"/>
    <n v="195"/>
    <n v="195"/>
    <n v="0"/>
    <n v="11"/>
    <n v="0.68181818181818177"/>
    <n v="33"/>
    <n v="32"/>
    <n v="0.96969696969696972"/>
    <n v="9902.75"/>
    <n v="1852.5"/>
    <n v="5445"/>
    <n v="17200.25"/>
    <n v="88.206410256410251"/>
  </r>
  <r>
    <d v="2022-10-29T00:00:00"/>
    <x v="0"/>
    <n v="10"/>
    <x v="0"/>
    <x v="0"/>
    <n v="208"/>
    <n v="208"/>
    <n v="0"/>
    <n v="11"/>
    <n v="0.72727272727272729"/>
    <n v="33"/>
    <n v="33"/>
    <n v="1"/>
    <n v="9902.75"/>
    <n v="1976"/>
    <n v="5445"/>
    <n v="17323.75"/>
    <n v="83.287259615384613"/>
  </r>
  <r>
    <d v="2022-11-05T00:00:00"/>
    <x v="0"/>
    <n v="11"/>
    <x v="0"/>
    <x v="0"/>
    <n v="207"/>
    <n v="207"/>
    <n v="0"/>
    <n v="11"/>
    <n v="0.72377622377622375"/>
    <n v="33"/>
    <n v="31"/>
    <n v="0.93939393939393945"/>
    <n v="9902.75"/>
    <n v="1966.5"/>
    <n v="5445"/>
    <n v="17314.25"/>
    <n v="83.643719806763286"/>
  </r>
  <r>
    <d v="2022-11-12T00:00:00"/>
    <x v="0"/>
    <n v="11"/>
    <x v="0"/>
    <x v="0"/>
    <n v="222"/>
    <n v="222"/>
    <n v="0"/>
    <n v="11"/>
    <n v="0.77622377622377625"/>
    <n v="33"/>
    <n v="33"/>
    <n v="1"/>
    <n v="9902.75"/>
    <n v="2109"/>
    <n v="5445"/>
    <n v="17456.75"/>
    <n v="78.634009009009006"/>
  </r>
  <r>
    <d v="2022-11-19T00:00:00"/>
    <x v="0"/>
    <n v="11"/>
    <x v="0"/>
    <x v="0"/>
    <n v="256"/>
    <n v="255"/>
    <n v="1"/>
    <n v="13"/>
    <n v="0.75443786982248517"/>
    <n v="33"/>
    <n v="32"/>
    <n v="0.96969696969696972"/>
    <n v="11703.25"/>
    <n v="2422.5"/>
    <n v="5445"/>
    <n v="19570.75"/>
    <n v="76.748039215686276"/>
  </r>
  <r>
    <d v="2022-11-26T00:00:00"/>
    <x v="0"/>
    <n v="11"/>
    <x v="0"/>
    <x v="0"/>
    <n v="268"/>
    <n v="267"/>
    <n v="2"/>
    <n v="14"/>
    <n v="0.73351648351648346"/>
    <n v="33"/>
    <n v="33"/>
    <n v="1"/>
    <n v="12603.5"/>
    <n v="2536.5"/>
    <n v="5445"/>
    <n v="20585"/>
    <n v="77.097378277153553"/>
  </r>
  <r>
    <d v="2022-12-03T00:00:00"/>
    <x v="0"/>
    <n v="12"/>
    <x v="0"/>
    <x v="0"/>
    <n v="276"/>
    <n v="272"/>
    <n v="6"/>
    <n v="14"/>
    <n v="0.74725274725274726"/>
    <n v="33"/>
    <n v="31"/>
    <n v="0.93939393939393945"/>
    <n v="12603.5"/>
    <n v="2584"/>
    <n v="5445"/>
    <n v="20632.5"/>
    <n v="75.85477941176471"/>
  </r>
  <r>
    <d v="2022-12-10T00:00:00"/>
    <x v="0"/>
    <n v="12"/>
    <x v="0"/>
    <x v="0"/>
    <n v="286"/>
    <n v="282"/>
    <n v="10"/>
    <n v="14"/>
    <n v="0.77472527472527475"/>
    <n v="33"/>
    <n v="32"/>
    <n v="0.96969696969696972"/>
    <n v="12603.5"/>
    <n v="2679"/>
    <n v="5445"/>
    <n v="20727.5"/>
    <n v="73.501773049645394"/>
  </r>
  <r>
    <d v="2022-12-17T00:00:00"/>
    <x v="0"/>
    <n v="12"/>
    <x v="0"/>
    <x v="0"/>
    <n v="265"/>
    <n v="265"/>
    <n v="10"/>
    <n v="13"/>
    <n v="0.78402366863905326"/>
    <n v="33"/>
    <n v="32"/>
    <n v="0.96969696969696972"/>
    <n v="11703.25"/>
    <n v="2517.5"/>
    <n v="5445"/>
    <n v="19665.75"/>
    <n v="74.210377358490561"/>
  </r>
  <r>
    <d v="2022-12-24T00:00:00"/>
    <x v="0"/>
    <n v="12"/>
    <x v="0"/>
    <x v="0"/>
    <n v="233"/>
    <n v="242"/>
    <n v="1"/>
    <n v="13"/>
    <n v="0.71597633136094674"/>
    <n v="33"/>
    <n v="31"/>
    <n v="0.93939393939393945"/>
    <n v="11703.25"/>
    <n v="2299"/>
    <n v="5445"/>
    <n v="19447.25"/>
    <n v="80.360537190082638"/>
  </r>
  <r>
    <d v="2022-12-31T00:00:00"/>
    <x v="0"/>
    <n v="12"/>
    <x v="0"/>
    <x v="0"/>
    <n v="200"/>
    <n v="201"/>
    <n v="0"/>
    <n v="11"/>
    <n v="0.70279720279720281"/>
    <n v="33"/>
    <n v="32"/>
    <n v="0.96969696969696972"/>
    <n v="9902.75"/>
    <n v="1909.5"/>
    <n v="5445"/>
    <n v="17257.25"/>
    <n v="85.856965174129357"/>
  </r>
  <r>
    <d v="2023-01-07T00:00:00"/>
    <x v="1"/>
    <n v="1"/>
    <x v="0"/>
    <x v="0"/>
    <n v="168"/>
    <n v="168"/>
    <n v="0"/>
    <n v="9"/>
    <n v="0.71794871794871795"/>
    <n v="33"/>
    <n v="32"/>
    <n v="0.96969696969696972"/>
    <n v="8102.25"/>
    <n v="1596"/>
    <n v="5445"/>
    <n v="15143.25"/>
    <n v="90.138392857142861"/>
  </r>
  <r>
    <d v="2023-01-14T00:00:00"/>
    <x v="1"/>
    <n v="1"/>
    <x v="0"/>
    <x v="0"/>
    <n v="152"/>
    <n v="152"/>
    <n v="0"/>
    <n v="9"/>
    <n v="0.6495726495726496"/>
    <n v="33"/>
    <n v="32"/>
    <n v="0.96969696969696972"/>
    <n v="8102.25"/>
    <n v="1444"/>
    <n v="5445"/>
    <n v="14991.25"/>
    <n v="98.62664473684211"/>
  </r>
  <r>
    <d v="2023-01-21T00:00:00"/>
    <x v="1"/>
    <n v="1"/>
    <x v="0"/>
    <x v="0"/>
    <n v="149"/>
    <n v="149"/>
    <n v="0"/>
    <n v="8"/>
    <n v="0.71634615384615385"/>
    <n v="33"/>
    <n v="31"/>
    <n v="0.93939393939393945"/>
    <n v="7202"/>
    <n v="1415.5"/>
    <n v="5445"/>
    <n v="14062.5"/>
    <n v="94.37919463087249"/>
  </r>
  <r>
    <d v="2023-01-28T00:00:00"/>
    <x v="1"/>
    <n v="1"/>
    <x v="0"/>
    <x v="0"/>
    <n v="163"/>
    <n v="163"/>
    <n v="0"/>
    <n v="9"/>
    <n v="0.69658119658119655"/>
    <n v="33"/>
    <n v="32"/>
    <n v="0.96969696969696972"/>
    <n v="8102.25"/>
    <n v="1548.5"/>
    <n v="5445"/>
    <n v="15095.75"/>
    <n v="92.611963190184042"/>
  </r>
  <r>
    <d v="2023-02-04T00:00:00"/>
    <x v="1"/>
    <n v="2"/>
    <x v="0"/>
    <x v="0"/>
    <n v="179"/>
    <n v="179"/>
    <n v="0"/>
    <n v="10"/>
    <n v="0.68846153846153846"/>
    <n v="33"/>
    <n v="26"/>
    <n v="0.78787878787878785"/>
    <n v="9002.5"/>
    <n v="1700.5"/>
    <n v="5445"/>
    <n v="16148"/>
    <n v="90.212290502793294"/>
  </r>
  <r>
    <d v="2023-02-11T00:00:00"/>
    <x v="1"/>
    <n v="2"/>
    <x v="0"/>
    <x v="0"/>
    <n v="178"/>
    <n v="178"/>
    <n v="0"/>
    <n v="9"/>
    <n v="0.76068376068376065"/>
    <n v="33"/>
    <n v="31"/>
    <n v="0.93939393939393945"/>
    <n v="8102.25"/>
    <n v="1691"/>
    <n v="5445"/>
    <n v="15238.25"/>
    <n v="85.608146067415731"/>
  </r>
  <r>
    <d v="2023-02-18T00:00:00"/>
    <x v="1"/>
    <n v="2"/>
    <x v="0"/>
    <x v="0"/>
    <n v="187"/>
    <n v="187"/>
    <n v="0"/>
    <n v="11"/>
    <n v="0.65384615384615385"/>
    <n v="33"/>
    <n v="29"/>
    <n v="0.87878787878787878"/>
    <n v="9902.75"/>
    <n v="1776.5"/>
    <n v="5445"/>
    <n v="17124.25"/>
    <n v="91.57352941176471"/>
  </r>
  <r>
    <d v="2023-02-25T00:00:00"/>
    <x v="1"/>
    <n v="2"/>
    <x v="0"/>
    <x v="0"/>
    <n v="183"/>
    <n v="183"/>
    <n v="0"/>
    <n v="9"/>
    <n v="0.78205128205128205"/>
    <n v="33"/>
    <n v="32"/>
    <n v="0.96969696969696972"/>
    <n v="8102.25"/>
    <n v="1738.5"/>
    <n v="5445"/>
    <n v="15285.75"/>
    <n v="83.528688524590166"/>
  </r>
  <r>
    <d v="2023-03-04T00:00:00"/>
    <x v="1"/>
    <n v="3"/>
    <x v="0"/>
    <x v="0"/>
    <n v="182"/>
    <n v="182"/>
    <n v="0"/>
    <n v="10"/>
    <n v="0.7"/>
    <n v="33"/>
    <n v="33"/>
    <n v="1"/>
    <n v="9002.5"/>
    <n v="1729"/>
    <n v="5445"/>
    <n v="16176.5"/>
    <n v="88.881868131868131"/>
  </r>
  <r>
    <d v="2023-03-11T00:00:00"/>
    <x v="1"/>
    <n v="3"/>
    <x v="0"/>
    <x v="0"/>
    <n v="196"/>
    <n v="196"/>
    <n v="0"/>
    <n v="11"/>
    <n v="0.68531468531468531"/>
    <n v="33"/>
    <n v="33"/>
    <n v="1"/>
    <n v="9902.75"/>
    <n v="1862"/>
    <n v="5445"/>
    <n v="17209.75"/>
    <n v="87.804846938775512"/>
  </r>
  <r>
    <d v="2023-03-18T00:00:00"/>
    <x v="1"/>
    <n v="3"/>
    <x v="0"/>
    <x v="0"/>
    <n v="182"/>
    <n v="182"/>
    <n v="0"/>
    <n v="10"/>
    <n v="0.7"/>
    <n v="33"/>
    <n v="33"/>
    <n v="1"/>
    <n v="9002.5"/>
    <n v="1729"/>
    <n v="5445"/>
    <n v="16176.5"/>
    <n v="88.881868131868131"/>
  </r>
  <r>
    <d v="2023-03-25T00:00:00"/>
    <x v="1"/>
    <n v="3"/>
    <x v="0"/>
    <x v="0"/>
    <n v="185"/>
    <n v="185"/>
    <n v="0"/>
    <n v="9"/>
    <n v="0.79059829059829057"/>
    <n v="33"/>
    <n v="31"/>
    <n v="0.93939393939393945"/>
    <n v="8102.25"/>
    <n v="1757.5"/>
    <n v="5445"/>
    <n v="15304.75"/>
    <n v="82.72837837837838"/>
  </r>
  <r>
    <d v="2023-04-01T00:00:00"/>
    <x v="1"/>
    <n v="4"/>
    <x v="0"/>
    <x v="0"/>
    <n v="189"/>
    <n v="189"/>
    <n v="0"/>
    <n v="9"/>
    <n v="0.80769230769230771"/>
    <n v="33"/>
    <n v="31"/>
    <n v="0.93939393939393945"/>
    <n v="8102.25"/>
    <n v="1795.5"/>
    <n v="5445"/>
    <n v="15342.75"/>
    <n v="81.178571428571431"/>
  </r>
  <r>
    <d v="2023-04-08T00:00:00"/>
    <x v="1"/>
    <n v="4"/>
    <x v="0"/>
    <x v="0"/>
    <n v="187"/>
    <n v="187"/>
    <n v="0"/>
    <n v="11"/>
    <n v="0.65384615384615385"/>
    <n v="33"/>
    <n v="33"/>
    <n v="1"/>
    <n v="9902.75"/>
    <n v="1776.5"/>
    <n v="5445"/>
    <n v="17124.25"/>
    <n v="91.57352941176471"/>
  </r>
  <r>
    <d v="2023-04-15T00:00:00"/>
    <x v="1"/>
    <n v="4"/>
    <x v="0"/>
    <x v="0"/>
    <n v="199"/>
    <n v="199"/>
    <n v="0"/>
    <n v="11"/>
    <n v="0.69580419580419584"/>
    <n v="33"/>
    <n v="33"/>
    <n v="1"/>
    <n v="9902.75"/>
    <n v="1890.5"/>
    <n v="5445"/>
    <n v="17238.25"/>
    <n v="86.624371859296488"/>
  </r>
  <r>
    <d v="2023-04-22T00:00:00"/>
    <x v="1"/>
    <n v="4"/>
    <x v="0"/>
    <x v="0"/>
    <n v="200"/>
    <n v="200"/>
    <n v="0"/>
    <n v="11"/>
    <n v="0.69930069930069927"/>
    <n v="33"/>
    <n v="31"/>
    <n v="0.93939393939393945"/>
    <n v="9902.75"/>
    <n v="1900"/>
    <n v="5445"/>
    <n v="17247.75"/>
    <n v="86.238749999999996"/>
  </r>
  <r>
    <d v="2023-04-29T00:00:00"/>
    <x v="1"/>
    <n v="4"/>
    <x v="0"/>
    <x v="0"/>
    <n v="203"/>
    <n v="203"/>
    <n v="0"/>
    <n v="11"/>
    <n v="0.70979020979020979"/>
    <n v="33"/>
    <n v="33"/>
    <n v="1"/>
    <n v="9902.75"/>
    <n v="1928.5"/>
    <n v="5445"/>
    <n v="17276.25"/>
    <n v="85.104679802955658"/>
  </r>
  <r>
    <d v="2023-05-06T00:00:00"/>
    <x v="1"/>
    <n v="5"/>
    <x v="0"/>
    <x v="0"/>
    <n v="198"/>
    <n v="198"/>
    <n v="0"/>
    <n v="11"/>
    <n v="0.69230769230769229"/>
    <n v="33"/>
    <n v="32"/>
    <n v="0.96969696969696972"/>
    <n v="9902.75"/>
    <n v="1881"/>
    <n v="5445"/>
    <n v="17228.75"/>
    <n v="87.013888888888886"/>
  </r>
  <r>
    <d v="2023-05-13T00:00:00"/>
    <x v="1"/>
    <n v="5"/>
    <x v="0"/>
    <x v="0"/>
    <n v="201"/>
    <n v="201"/>
    <n v="0"/>
    <n v="11"/>
    <n v="0.70279720279720281"/>
    <n v="33"/>
    <n v="32"/>
    <n v="0.96969696969696972"/>
    <n v="9902.75"/>
    <n v="1909.5"/>
    <n v="5445"/>
    <n v="17257.25"/>
    <n v="85.856965174129357"/>
  </r>
  <r>
    <d v="2023-05-20T00:00:00"/>
    <x v="1"/>
    <n v="5"/>
    <x v="0"/>
    <x v="0"/>
    <n v="207"/>
    <n v="207"/>
    <n v="0"/>
    <n v="11"/>
    <n v="0.72377622377622375"/>
    <n v="33"/>
    <n v="30"/>
    <n v="0.90909090909090906"/>
    <n v="9902.75"/>
    <n v="1966.5"/>
    <n v="5445"/>
    <n v="17314.25"/>
    <n v="83.643719806763286"/>
  </r>
  <r>
    <d v="2023-05-27T00:00:00"/>
    <x v="1"/>
    <n v="5"/>
    <x v="0"/>
    <x v="0"/>
    <n v="185"/>
    <n v="185"/>
    <n v="0"/>
    <n v="10"/>
    <n v="0.71153846153846156"/>
    <n v="33"/>
    <n v="33"/>
    <n v="1"/>
    <n v="9002.5"/>
    <n v="1757.5"/>
    <n v="5445"/>
    <n v="16205"/>
    <n v="87.594594594594597"/>
  </r>
  <r>
    <d v="2023-06-03T00:00:00"/>
    <x v="1"/>
    <n v="6"/>
    <x v="0"/>
    <x v="0"/>
    <n v="189"/>
    <n v="189"/>
    <n v="0"/>
    <n v="10"/>
    <n v="0.72692307692307689"/>
    <n v="33"/>
    <n v="32"/>
    <n v="0.96969696969696972"/>
    <n v="9002.5"/>
    <n v="1795.5"/>
    <n v="5445"/>
    <n v="16243"/>
    <n v="85.941798941798936"/>
  </r>
  <r>
    <d v="2023-06-10T00:00:00"/>
    <x v="1"/>
    <n v="6"/>
    <x v="0"/>
    <x v="0"/>
    <n v="184"/>
    <n v="184"/>
    <n v="0"/>
    <n v="10"/>
    <n v="0.70769230769230773"/>
    <n v="33"/>
    <n v="31"/>
    <n v="0.93939393939393945"/>
    <n v="9002.5"/>
    <n v="1748"/>
    <n v="5445"/>
    <n v="16195.5"/>
    <n v="88.019021739130437"/>
  </r>
  <r>
    <d v="2023-06-17T00:00:00"/>
    <x v="1"/>
    <n v="6"/>
    <x v="0"/>
    <x v="0"/>
    <n v="186"/>
    <n v="186"/>
    <n v="0"/>
    <n v="11"/>
    <n v="0.65034965034965031"/>
    <n v="33"/>
    <n v="31"/>
    <n v="0.93939393939393945"/>
    <n v="9902.75"/>
    <n v="1767"/>
    <n v="5445"/>
    <n v="17114.75"/>
    <n v="92.01478494623656"/>
  </r>
  <r>
    <d v="2023-06-24T00:00:00"/>
    <x v="1"/>
    <n v="6"/>
    <x v="0"/>
    <x v="0"/>
    <n v="199"/>
    <n v="199"/>
    <n v="0"/>
    <n v="11"/>
    <n v="0.69580419580419584"/>
    <n v="33"/>
    <n v="32"/>
    <n v="0.96969696969696972"/>
    <n v="9902.75"/>
    <n v="1890.5"/>
    <n v="5445"/>
    <n v="17238.25"/>
    <n v="86.624371859296488"/>
  </r>
  <r>
    <d v="2023-07-01T00:00:00"/>
    <x v="1"/>
    <n v="7"/>
    <x v="0"/>
    <x v="0"/>
    <n v="193"/>
    <n v="193"/>
    <n v="0"/>
    <n v="11"/>
    <n v="0.67482517482517479"/>
    <n v="33"/>
    <n v="33"/>
    <n v="1"/>
    <n v="9902.75"/>
    <n v="1833.5"/>
    <n v="5445"/>
    <n v="17181.25"/>
    <n v="89.0220207253886"/>
  </r>
  <r>
    <d v="2023-07-08T00:00:00"/>
    <x v="1"/>
    <n v="7"/>
    <x v="0"/>
    <x v="0"/>
    <n v="183"/>
    <n v="183"/>
    <n v="0"/>
    <n v="10"/>
    <n v="0.7038461538461539"/>
    <n v="33"/>
    <n v="32"/>
    <n v="0.96969696969696972"/>
    <n v="9002.5"/>
    <n v="1738.5"/>
    <n v="5445"/>
    <n v="16186"/>
    <n v="88.448087431693992"/>
  </r>
  <r>
    <d v="2023-07-15T00:00:00"/>
    <x v="1"/>
    <n v="7"/>
    <x v="0"/>
    <x v="0"/>
    <n v="188"/>
    <n v="188"/>
    <n v="0"/>
    <n v="11"/>
    <n v="0.65734265734265729"/>
    <n v="33"/>
    <n v="33"/>
    <n v="1"/>
    <n v="9902.75"/>
    <n v="1786"/>
    <n v="5445"/>
    <n v="17133.75"/>
    <n v="91.136968085106389"/>
  </r>
  <r>
    <d v="2023-07-22T00:00:00"/>
    <x v="1"/>
    <n v="7"/>
    <x v="0"/>
    <x v="0"/>
    <n v="192"/>
    <n v="192"/>
    <n v="0"/>
    <n v="11"/>
    <n v="0.67132867132867136"/>
    <n v="33"/>
    <n v="32"/>
    <n v="0.96969696969696972"/>
    <n v="9902.75"/>
    <n v="1824"/>
    <n v="5445"/>
    <n v="17171.75"/>
    <n v="89.436197916666671"/>
  </r>
  <r>
    <d v="2023-07-29T00:00:00"/>
    <x v="1"/>
    <n v="7"/>
    <x v="0"/>
    <x v="0"/>
    <n v="199"/>
    <n v="199"/>
    <n v="0"/>
    <n v="11"/>
    <n v="0.69580419580419584"/>
    <n v="33"/>
    <n v="33"/>
    <n v="1"/>
    <n v="9902.75"/>
    <n v="1890.5"/>
    <n v="5445"/>
    <n v="17238.25"/>
    <n v="86.624371859296488"/>
  </r>
  <r>
    <d v="2023-08-05T00:00:00"/>
    <x v="1"/>
    <n v="8"/>
    <x v="0"/>
    <x v="0"/>
    <n v="195"/>
    <n v="195"/>
    <n v="0"/>
    <n v="11"/>
    <n v="0.68181818181818177"/>
    <n v="33"/>
    <n v="31"/>
    <n v="0.93939393939393945"/>
    <n v="9902.75"/>
    <n v="1852.5"/>
    <n v="5445"/>
    <n v="17200.25"/>
    <n v="88.206410256410251"/>
  </r>
  <r>
    <d v="2023-08-12T00:00:00"/>
    <x v="1"/>
    <n v="8"/>
    <x v="0"/>
    <x v="0"/>
    <n v="200"/>
    <n v="200"/>
    <n v="0"/>
    <n v="11"/>
    <n v="0.69930069930069927"/>
    <n v="33"/>
    <n v="33"/>
    <n v="1"/>
    <n v="9902.75"/>
    <n v="1900"/>
    <n v="5445"/>
    <n v="17247.75"/>
    <n v="86.238749999999996"/>
  </r>
  <r>
    <d v="2023-08-19T00:00:00"/>
    <x v="1"/>
    <n v="8"/>
    <x v="0"/>
    <x v="0"/>
    <n v="199"/>
    <n v="199"/>
    <n v="0"/>
    <n v="11"/>
    <n v="0.69580419580419584"/>
    <n v="33"/>
    <n v="32"/>
    <n v="0.96969696969696972"/>
    <n v="9902.75"/>
    <n v="1890.5"/>
    <n v="5445"/>
    <n v="17238.25"/>
    <n v="86.624371859296488"/>
  </r>
  <r>
    <d v="2023-08-26T00:00:00"/>
    <x v="1"/>
    <n v="8"/>
    <x v="0"/>
    <x v="0"/>
    <n v="189"/>
    <n v="189"/>
    <n v="0"/>
    <n v="11"/>
    <n v="0.66083916083916083"/>
    <n v="33"/>
    <n v="32"/>
    <n v="0.96969696969696972"/>
    <n v="9902.75"/>
    <n v="1795.5"/>
    <n v="5445"/>
    <n v="17143.25"/>
    <n v="90.705026455026456"/>
  </r>
  <r>
    <d v="2023-09-02T00:00:00"/>
    <x v="1"/>
    <n v="9"/>
    <x v="0"/>
    <x v="0"/>
    <n v="190"/>
    <n v="190"/>
    <n v="0"/>
    <n v="11"/>
    <n v="0.66433566433566438"/>
    <n v="33"/>
    <n v="30"/>
    <n v="0.90909090909090906"/>
    <n v="9902.75"/>
    <n v="1805"/>
    <n v="5445"/>
    <n v="17152.75"/>
    <n v="90.277631578947364"/>
  </r>
  <r>
    <d v="2023-09-09T00:00:00"/>
    <x v="1"/>
    <n v="9"/>
    <x v="0"/>
    <x v="0"/>
    <n v="197"/>
    <n v="197"/>
    <n v="0"/>
    <n v="11"/>
    <n v="0.68881118881118886"/>
    <n v="33"/>
    <n v="32"/>
    <n v="0.96969696969696972"/>
    <n v="9902.75"/>
    <n v="1871.5"/>
    <n v="5445"/>
    <n v="17219.25"/>
    <n v="87.407360406091371"/>
  </r>
  <r>
    <d v="2023-09-16T00:00:00"/>
    <x v="1"/>
    <n v="9"/>
    <x v="0"/>
    <x v="0"/>
    <n v="185"/>
    <n v="185"/>
    <n v="0"/>
    <n v="11"/>
    <n v="0.64685314685314688"/>
    <n v="33"/>
    <n v="33"/>
    <n v="1"/>
    <n v="9902.75"/>
    <n v="1757.5"/>
    <n v="5445"/>
    <n v="17105.25"/>
    <n v="92.460810810810813"/>
  </r>
  <r>
    <d v="2023-09-23T00:00:00"/>
    <x v="1"/>
    <n v="9"/>
    <x v="0"/>
    <x v="0"/>
    <n v="190"/>
    <n v="190"/>
    <n v="0"/>
    <n v="9"/>
    <n v="0.81196581196581197"/>
    <n v="33"/>
    <n v="33"/>
    <n v="1"/>
    <n v="8102.25"/>
    <n v="1805"/>
    <n v="5445"/>
    <n v="15352.25"/>
    <n v="80.801315789473691"/>
  </r>
  <r>
    <d v="2023-09-30T00:00:00"/>
    <x v="1"/>
    <n v="9"/>
    <x v="0"/>
    <x v="0"/>
    <n v="185"/>
    <n v="185"/>
    <n v="0"/>
    <n v="9"/>
    <n v="0.79059829059829057"/>
    <n v="33"/>
    <n v="32"/>
    <n v="0.96969696969696972"/>
    <n v="8102.25"/>
    <n v="1757.5"/>
    <n v="5445"/>
    <n v="15304.75"/>
    <n v="82.72837837837838"/>
  </r>
  <r>
    <d v="2023-10-07T00:00:00"/>
    <x v="1"/>
    <n v="10"/>
    <x v="0"/>
    <x v="0"/>
    <n v="175"/>
    <n v="175"/>
    <n v="0"/>
    <n v="9"/>
    <n v="0.74786324786324787"/>
    <n v="33"/>
    <n v="33"/>
    <n v="1"/>
    <n v="8102.25"/>
    <n v="1662.5"/>
    <n v="5445"/>
    <n v="15209.75"/>
    <n v="86.912857142857149"/>
  </r>
  <r>
    <d v="2023-10-14T00:00:00"/>
    <x v="1"/>
    <n v="10"/>
    <x v="0"/>
    <x v="0"/>
    <n v="188"/>
    <n v="188"/>
    <n v="0"/>
    <n v="11"/>
    <n v="0.65734265734265729"/>
    <n v="33"/>
    <n v="33"/>
    <n v="1"/>
    <n v="9902.75"/>
    <n v="1786"/>
    <n v="5445"/>
    <n v="17133.75"/>
    <n v="91.136968085106389"/>
  </r>
  <r>
    <d v="2023-10-21T00:00:00"/>
    <x v="1"/>
    <n v="10"/>
    <x v="0"/>
    <x v="0"/>
    <n v="195"/>
    <n v="195"/>
    <n v="0"/>
    <n v="11"/>
    <n v="0.68181818181818177"/>
    <n v="33"/>
    <n v="32"/>
    <n v="0.96969696969696972"/>
    <n v="9902.75"/>
    <n v="1852.5"/>
    <n v="5445"/>
    <n v="17200.25"/>
    <n v="88.206410256410251"/>
  </r>
  <r>
    <d v="2023-10-28T00:00:00"/>
    <x v="1"/>
    <n v="10"/>
    <x v="0"/>
    <x v="0"/>
    <n v="208"/>
    <n v="208"/>
    <n v="0"/>
    <n v="11"/>
    <n v="0.72727272727272729"/>
    <n v="33"/>
    <n v="32"/>
    <n v="0.96969696969696972"/>
    <n v="9902.75"/>
    <n v="1976"/>
    <n v="5445"/>
    <n v="17323.75"/>
    <n v="83.287259615384613"/>
  </r>
  <r>
    <d v="2023-11-04T00:00:00"/>
    <x v="1"/>
    <n v="11"/>
    <x v="0"/>
    <x v="0"/>
    <n v="213"/>
    <n v="213"/>
    <n v="0"/>
    <n v="11"/>
    <n v="0.74475524475524479"/>
    <n v="33"/>
    <n v="33"/>
    <n v="1"/>
    <n v="9902.75"/>
    <n v="2023.5"/>
    <n v="5445"/>
    <n v="17371.25"/>
    <n v="81.555164319248831"/>
  </r>
  <r>
    <d v="2023-11-11T00:00:00"/>
    <x v="1"/>
    <n v="11"/>
    <x v="0"/>
    <x v="0"/>
    <n v="212"/>
    <n v="212"/>
    <n v="0"/>
    <n v="11"/>
    <n v="0.74125874125874125"/>
    <n v="33"/>
    <n v="32"/>
    <n v="0.96969696969696972"/>
    <n v="9902.75"/>
    <n v="2014"/>
    <n v="5445"/>
    <n v="17361.75"/>
    <n v="81.89504716981132"/>
  </r>
  <r>
    <d v="2023-11-18T00:00:00"/>
    <x v="1"/>
    <n v="11"/>
    <x v="0"/>
    <x v="0"/>
    <n v="239"/>
    <n v="239"/>
    <n v="0"/>
    <n v="12"/>
    <n v="0.76602564102564108"/>
    <n v="33"/>
    <n v="32"/>
    <n v="0.96969696969696972"/>
    <n v="10803"/>
    <n v="2270.5"/>
    <n v="5445"/>
    <n v="18518.5"/>
    <n v="77.48326359832636"/>
  </r>
  <r>
    <d v="2023-11-25T00:00:00"/>
    <x v="1"/>
    <n v="11"/>
    <x v="0"/>
    <x v="0"/>
    <n v="258"/>
    <n v="258"/>
    <n v="0"/>
    <n v="13"/>
    <n v="0.76331360946745563"/>
    <n v="33"/>
    <n v="33"/>
    <n v="1"/>
    <n v="11703.25"/>
    <n v="2451"/>
    <n v="5445"/>
    <n v="19599.25"/>
    <n v="75.966085271317823"/>
  </r>
  <r>
    <d v="2023-12-02T00:00:00"/>
    <x v="1"/>
    <n v="12"/>
    <x v="0"/>
    <x v="0"/>
    <n v="280"/>
    <n v="274"/>
    <n v="6"/>
    <n v="14"/>
    <n v="0.75274725274725274"/>
    <n v="33"/>
    <n v="32"/>
    <n v="0.96969696969696972"/>
    <n v="12603.5"/>
    <n v="2603"/>
    <n v="5445"/>
    <n v="20651.5"/>
    <n v="75.370437956204384"/>
  </r>
  <r>
    <d v="2023-12-09T00:00:00"/>
    <x v="1"/>
    <n v="12"/>
    <x v="0"/>
    <x v="0"/>
    <n v="295"/>
    <n v="282"/>
    <n v="19"/>
    <n v="14"/>
    <n v="0.77472527472527475"/>
    <n v="33"/>
    <n v="33"/>
    <n v="1"/>
    <n v="12603.5"/>
    <n v="2679"/>
    <n v="5445"/>
    <n v="20727.5"/>
    <n v="73.501773049645394"/>
  </r>
  <r>
    <d v="2023-12-16T00:00:00"/>
    <x v="1"/>
    <n v="12"/>
    <x v="0"/>
    <x v="0"/>
    <n v="290"/>
    <n v="286"/>
    <n v="23"/>
    <n v="15"/>
    <n v="0.73333333333333328"/>
    <n v="33"/>
    <n v="32"/>
    <n v="0.96969696969696972"/>
    <n v="13503.75"/>
    <n v="2717"/>
    <n v="5445"/>
    <n v="21665.75"/>
    <n v="75.754370629370626"/>
  </r>
  <r>
    <d v="2023-12-23T00:00:00"/>
    <x v="1"/>
    <n v="12"/>
    <x v="0"/>
    <x v="0"/>
    <n v="244"/>
    <n v="263"/>
    <n v="4"/>
    <n v="14"/>
    <n v="0.72252747252747251"/>
    <n v="33"/>
    <n v="32"/>
    <n v="0.96969696969696972"/>
    <n v="12603.5"/>
    <n v="2498.5"/>
    <n v="5445"/>
    <n v="20547"/>
    <n v="78.125475285171106"/>
  </r>
  <r>
    <d v="2023-12-30T00:00:00"/>
    <x v="1"/>
    <n v="12"/>
    <x v="0"/>
    <x v="0"/>
    <n v="212"/>
    <n v="216"/>
    <n v="0"/>
    <n v="11"/>
    <n v="0.75524475524475521"/>
    <n v="33"/>
    <n v="31"/>
    <n v="0.93939393939393945"/>
    <n v="9902.75"/>
    <n v="2052"/>
    <n v="5445"/>
    <n v="17399.75"/>
    <n v="80.554398148148152"/>
  </r>
  <r>
    <d v="2024-01-06T00:00:00"/>
    <x v="2"/>
    <n v="1"/>
    <x v="0"/>
    <x v="0"/>
    <n v="171"/>
    <n v="171"/>
    <n v="0"/>
    <n v="10"/>
    <n v="0.65769230769230769"/>
    <n v="33"/>
    <n v="29"/>
    <n v="0.87878787878787878"/>
    <n v="9002.5"/>
    <n v="1624.5"/>
    <n v="5445"/>
    <n v="16072"/>
    <n v="93.988304093567251"/>
  </r>
  <r>
    <d v="2024-01-13T00:00:00"/>
    <x v="2"/>
    <n v="1"/>
    <x v="0"/>
    <x v="0"/>
    <n v="150"/>
    <n v="150"/>
    <n v="0"/>
    <n v="8"/>
    <n v="0.72115384615384615"/>
    <n v="33"/>
    <n v="30"/>
    <n v="0.90909090909090906"/>
    <n v="7202"/>
    <n v="1425"/>
    <n v="5445"/>
    <n v="14072"/>
    <n v="93.813333333333333"/>
  </r>
  <r>
    <d v="2024-01-20T00:00:00"/>
    <x v="2"/>
    <n v="1"/>
    <x v="0"/>
    <x v="0"/>
    <n v="160"/>
    <n v="160"/>
    <n v="0"/>
    <n v="9"/>
    <n v="0.68376068376068377"/>
    <n v="33"/>
    <n v="31"/>
    <n v="0.93939393939393945"/>
    <n v="8102.25"/>
    <n v="1520"/>
    <n v="5445"/>
    <n v="15067.25"/>
    <n v="94.170312499999994"/>
  </r>
  <r>
    <d v="2024-01-27T00:00:00"/>
    <x v="2"/>
    <n v="1"/>
    <x v="0"/>
    <x v="0"/>
    <n v="162"/>
    <n v="162"/>
    <n v="0"/>
    <n v="8"/>
    <n v="0.77884615384615385"/>
    <n v="33"/>
    <n v="32"/>
    <n v="0.96969696969696972"/>
    <n v="7202"/>
    <n v="1539"/>
    <n v="5445"/>
    <n v="14186"/>
    <n v="87.567901234567898"/>
  </r>
  <r>
    <d v="2024-02-03T00:00:00"/>
    <x v="2"/>
    <n v="2"/>
    <x v="0"/>
    <x v="0"/>
    <n v="173"/>
    <n v="173"/>
    <n v="0"/>
    <n v="9"/>
    <n v="0.73931623931623935"/>
    <n v="33"/>
    <n v="32"/>
    <n v="0.96969696969696972"/>
    <n v="8102.25"/>
    <n v="1643.5"/>
    <n v="5445"/>
    <n v="15190.75"/>
    <n v="87.807803468208093"/>
  </r>
  <r>
    <d v="2024-02-10T00:00:00"/>
    <x v="2"/>
    <n v="2"/>
    <x v="0"/>
    <x v="0"/>
    <n v="174"/>
    <n v="174"/>
    <n v="0"/>
    <n v="10"/>
    <n v="0.66923076923076918"/>
    <n v="33"/>
    <n v="32"/>
    <n v="0.96969696969696972"/>
    <n v="9002.5"/>
    <n v="1653"/>
    <n v="5445"/>
    <n v="16100.5"/>
    <n v="92.531609195402297"/>
  </r>
  <r>
    <d v="2024-02-17T00:00:00"/>
    <x v="2"/>
    <n v="2"/>
    <x v="0"/>
    <x v="0"/>
    <n v="188"/>
    <n v="188"/>
    <n v="0"/>
    <n v="10"/>
    <n v="0.72307692307692306"/>
    <n v="33"/>
    <n v="31"/>
    <n v="0.93939393939393945"/>
    <n v="9002.5"/>
    <n v="1786"/>
    <n v="5445"/>
    <n v="16233.5"/>
    <n v="86.348404255319153"/>
  </r>
  <r>
    <d v="2024-02-24T00:00:00"/>
    <x v="2"/>
    <n v="2"/>
    <x v="0"/>
    <x v="0"/>
    <n v="187"/>
    <n v="187"/>
    <n v="0"/>
    <n v="10"/>
    <n v="0.71923076923076923"/>
    <n v="33"/>
    <n v="31"/>
    <n v="0.93939393939393945"/>
    <n v="9002.5"/>
    <n v="1776.5"/>
    <n v="5445"/>
    <n v="16224"/>
    <n v="86.759358288770059"/>
  </r>
  <r>
    <d v="2024-03-02T00:00:00"/>
    <x v="2"/>
    <n v="3"/>
    <x v="0"/>
    <x v="0"/>
    <n v="195"/>
    <n v="195"/>
    <n v="0"/>
    <n v="11"/>
    <n v="0.68181818181818177"/>
    <n v="33"/>
    <n v="32"/>
    <n v="0.96969696969696972"/>
    <n v="9902.75"/>
    <n v="1852.5"/>
    <n v="5445"/>
    <n v="17200.25"/>
    <n v="88.206410256410251"/>
  </r>
  <r>
    <d v="2024-03-09T00:00:00"/>
    <x v="2"/>
    <n v="3"/>
    <x v="0"/>
    <x v="0"/>
    <n v="182"/>
    <n v="182"/>
    <n v="0"/>
    <n v="10"/>
    <n v="0.7"/>
    <n v="33"/>
    <n v="33"/>
    <n v="1"/>
    <n v="9002.5"/>
    <n v="1729"/>
    <n v="5445"/>
    <n v="16176.5"/>
    <n v="88.881868131868131"/>
  </r>
  <r>
    <d v="2024-03-16T00:00:00"/>
    <x v="2"/>
    <n v="3"/>
    <x v="0"/>
    <x v="0"/>
    <n v="197"/>
    <n v="197"/>
    <n v="0"/>
    <n v="11"/>
    <n v="0.68881118881118886"/>
    <n v="33"/>
    <n v="32"/>
    <n v="0.96969696969696972"/>
    <n v="9902.75"/>
    <n v="1871.5"/>
    <n v="5445"/>
    <n v="17219.25"/>
    <n v="87.407360406091371"/>
  </r>
  <r>
    <d v="2024-03-23T00:00:00"/>
    <x v="2"/>
    <n v="3"/>
    <x v="0"/>
    <x v="0"/>
    <n v="201"/>
    <n v="201"/>
    <n v="0"/>
    <n v="11"/>
    <n v="0.70279720279720281"/>
    <n v="33"/>
    <n v="30"/>
    <n v="0.90909090909090906"/>
    <n v="9902.75"/>
    <n v="1909.5"/>
    <n v="5445"/>
    <n v="17257.25"/>
    <n v="85.856965174129357"/>
  </r>
  <r>
    <d v="2024-03-30T00:00:00"/>
    <x v="2"/>
    <n v="3"/>
    <x v="0"/>
    <x v="0"/>
    <n v="192"/>
    <n v="192"/>
    <n v="0"/>
    <n v="11"/>
    <n v="0.67132867132867136"/>
    <n v="33"/>
    <n v="33"/>
    <n v="1"/>
    <n v="9902.75"/>
    <n v="1824"/>
    <n v="5445"/>
    <n v="17171.75"/>
    <n v="89.436197916666671"/>
  </r>
  <r>
    <d v="2024-04-06T00:00:00"/>
    <x v="2"/>
    <n v="4"/>
    <x v="0"/>
    <x v="0"/>
    <n v="176"/>
    <n v="176"/>
    <n v="0"/>
    <n v="11"/>
    <n v="0.61538461538461542"/>
    <n v="33"/>
    <n v="31"/>
    <n v="0.93939393939393945"/>
    <n v="9902.75"/>
    <n v="1672"/>
    <n v="5445"/>
    <n v="17019.75"/>
    <n v="96.703125"/>
  </r>
  <r>
    <d v="2024-04-13T00:00:00"/>
    <x v="2"/>
    <n v="4"/>
    <x v="0"/>
    <x v="0"/>
    <n v="194"/>
    <n v="194"/>
    <n v="0"/>
    <n v="11"/>
    <n v="0.67832167832167833"/>
    <n v="33"/>
    <n v="33"/>
    <n v="1"/>
    <n v="9902.75"/>
    <n v="1843"/>
    <n v="5445"/>
    <n v="17190.75"/>
    <n v="88.612113402061851"/>
  </r>
  <r>
    <d v="2024-04-20T00:00:00"/>
    <x v="2"/>
    <n v="4"/>
    <x v="0"/>
    <x v="0"/>
    <n v="202"/>
    <n v="202"/>
    <n v="0"/>
    <n v="11"/>
    <n v="0.70629370629370625"/>
    <n v="33"/>
    <n v="31"/>
    <n v="0.93939393939393945"/>
    <n v="9902.75"/>
    <n v="1919"/>
    <n v="5445"/>
    <n v="17266.75"/>
    <n v="85.478960396039611"/>
  </r>
  <r>
    <d v="2024-04-27T00:00:00"/>
    <x v="2"/>
    <n v="4"/>
    <x v="0"/>
    <x v="0"/>
    <n v="200"/>
    <n v="200"/>
    <n v="0"/>
    <n v="11"/>
    <n v="0.69930069930069927"/>
    <n v="33"/>
    <n v="33"/>
    <n v="1"/>
    <n v="9902.75"/>
    <n v="1900"/>
    <n v="5445"/>
    <n v="17247.75"/>
    <n v="86.238749999999996"/>
  </r>
  <r>
    <d v="2024-05-04T00:00:00"/>
    <x v="2"/>
    <n v="5"/>
    <x v="0"/>
    <x v="0"/>
    <n v="206"/>
    <n v="206"/>
    <n v="0"/>
    <n v="11"/>
    <n v="0.72027972027972031"/>
    <n v="33"/>
    <n v="31"/>
    <n v="0.93939393939393945"/>
    <n v="9902.75"/>
    <n v="1957"/>
    <n v="5445"/>
    <n v="17304.75"/>
    <n v="84.003640776699029"/>
  </r>
  <r>
    <d v="2024-05-11T00:00:00"/>
    <x v="2"/>
    <n v="5"/>
    <x v="0"/>
    <x v="0"/>
    <n v="216"/>
    <n v="216"/>
    <n v="0"/>
    <n v="11"/>
    <n v="0.75524475524475521"/>
    <n v="33"/>
    <n v="33"/>
    <n v="1"/>
    <n v="9902.75"/>
    <n v="2052"/>
    <n v="5445"/>
    <n v="17399.75"/>
    <n v="80.554398148148152"/>
  </r>
  <r>
    <d v="2024-05-18T00:00:00"/>
    <x v="2"/>
    <n v="5"/>
    <x v="0"/>
    <x v="0"/>
    <n v="215"/>
    <n v="215"/>
    <n v="0"/>
    <n v="11"/>
    <n v="0.75174825174825177"/>
    <n v="33"/>
    <n v="29"/>
    <n v="0.87878787878787878"/>
    <n v="9902.75"/>
    <n v="2042.5"/>
    <n v="5445"/>
    <n v="17390.25"/>
    <n v="80.884883720930233"/>
  </r>
  <r>
    <d v="2024-05-25T00:00:00"/>
    <x v="2"/>
    <n v="5"/>
    <x v="0"/>
    <x v="0"/>
    <n v="213"/>
    <n v="213"/>
    <n v="0"/>
    <n v="11"/>
    <n v="0.74475524475524479"/>
    <n v="33"/>
    <n v="33"/>
    <n v="1"/>
    <n v="9902.75"/>
    <n v="2023.5"/>
    <n v="5445"/>
    <n v="17371.25"/>
    <n v="81.555164319248831"/>
  </r>
  <r>
    <d v="2024-06-01T00:00:00"/>
    <x v="2"/>
    <n v="6"/>
    <x v="0"/>
    <x v="0"/>
    <n v="200"/>
    <n v="200"/>
    <n v="0"/>
    <n v="11"/>
    <n v="0.69930069930069927"/>
    <n v="33"/>
    <n v="32"/>
    <n v="0.96969696969696972"/>
    <n v="9902.75"/>
    <n v="1900"/>
    <n v="5445"/>
    <n v="17247.75"/>
    <n v="86.238749999999996"/>
  </r>
  <r>
    <d v="2024-06-08T00:00:00"/>
    <x v="2"/>
    <n v="6"/>
    <x v="0"/>
    <x v="0"/>
    <n v="203"/>
    <n v="203"/>
    <n v="0"/>
    <n v="11"/>
    <n v="0.70979020979020979"/>
    <n v="33"/>
    <n v="32"/>
    <n v="0.96969696969696972"/>
    <n v="9902.75"/>
    <n v="1928.5"/>
    <n v="5445"/>
    <n v="17276.25"/>
    <n v="85.104679802955658"/>
  </r>
  <r>
    <d v="2024-06-15T00:00:00"/>
    <x v="2"/>
    <n v="6"/>
    <x v="0"/>
    <x v="0"/>
    <n v="188"/>
    <n v="188"/>
    <n v="0"/>
    <n v="10"/>
    <n v="0.72307692307692306"/>
    <n v="33"/>
    <n v="32"/>
    <n v="0.96969696969696972"/>
    <n v="9002.5"/>
    <n v="1786"/>
    <n v="5445"/>
    <n v="16233.5"/>
    <n v="86.348404255319153"/>
  </r>
  <r>
    <d v="2024-06-22T00:00:00"/>
    <x v="2"/>
    <n v="6"/>
    <x v="0"/>
    <x v="0"/>
    <n v="196"/>
    <n v="196"/>
    <n v="0"/>
    <n v="11"/>
    <n v="0.68531468531468531"/>
    <n v="33"/>
    <n v="33"/>
    <n v="1"/>
    <n v="9902.75"/>
    <n v="1862"/>
    <n v="5445"/>
    <n v="17209.75"/>
    <n v="87.804846938775512"/>
  </r>
  <r>
    <d v="2024-06-29T00:00:00"/>
    <x v="2"/>
    <n v="6"/>
    <x v="0"/>
    <x v="0"/>
    <n v="196"/>
    <n v="196"/>
    <n v="0"/>
    <n v="11"/>
    <n v="0.68531468531468531"/>
    <n v="33"/>
    <n v="33"/>
    <n v="1"/>
    <n v="9902.75"/>
    <n v="1862"/>
    <n v="5445"/>
    <n v="17209.75"/>
    <n v="87.804846938775512"/>
  </r>
  <r>
    <d v="2024-07-06T00:00:00"/>
    <x v="2"/>
    <n v="7"/>
    <x v="0"/>
    <x v="0"/>
    <n v="203"/>
    <n v="203"/>
    <n v="0"/>
    <n v="11"/>
    <n v="0.70979020979020979"/>
    <n v="33"/>
    <n v="30"/>
    <n v="0.90909090909090906"/>
    <n v="9902.75"/>
    <n v="1928.5"/>
    <n v="5445"/>
    <n v="17276.25"/>
    <n v="85.104679802955658"/>
  </r>
  <r>
    <d v="2024-07-13T00:00:00"/>
    <x v="2"/>
    <n v="7"/>
    <x v="0"/>
    <x v="0"/>
    <n v="199"/>
    <n v="199"/>
    <n v="0"/>
    <n v="11"/>
    <n v="0.69580419580419584"/>
    <n v="33"/>
    <n v="32"/>
    <n v="0.96969696969696972"/>
    <n v="9902.75"/>
    <n v="1890.5"/>
    <n v="5445"/>
    <n v="17238.25"/>
    <n v="86.624371859296488"/>
  </r>
  <r>
    <d v="2024-07-20T00:00:00"/>
    <x v="2"/>
    <n v="7"/>
    <x v="0"/>
    <x v="0"/>
    <n v="188"/>
    <n v="188"/>
    <n v="0"/>
    <n v="11"/>
    <n v="0.65734265734265729"/>
    <n v="33"/>
    <n v="32"/>
    <n v="0.96969696969696972"/>
    <n v="9902.75"/>
    <n v="1786"/>
    <n v="5445"/>
    <n v="17133.75"/>
    <n v="91.136968085106389"/>
  </r>
  <r>
    <d v="2024-07-27T00:00:00"/>
    <x v="2"/>
    <n v="7"/>
    <x v="0"/>
    <x v="0"/>
    <n v="205"/>
    <n v="205"/>
    <n v="0"/>
    <n v="10"/>
    <n v="0.78846153846153844"/>
    <n v="33"/>
    <n v="32"/>
    <n v="0.96969696969696972"/>
    <n v="9002.5"/>
    <n v="1947.5"/>
    <n v="5445"/>
    <n v="16395"/>
    <n v="79.975609756097555"/>
  </r>
  <r>
    <d v="2024-08-03T00:00:00"/>
    <x v="2"/>
    <n v="8"/>
    <x v="0"/>
    <x v="0"/>
    <n v="207"/>
    <n v="207"/>
    <n v="0"/>
    <n v="11"/>
    <n v="0.72377622377622375"/>
    <n v="33"/>
    <n v="31"/>
    <n v="0.93939393939393945"/>
    <n v="9902.75"/>
    <n v="1966.5"/>
    <n v="5445"/>
    <n v="17314.25"/>
    <n v="83.643719806763286"/>
  </r>
  <r>
    <d v="2024-08-10T00:00:00"/>
    <x v="2"/>
    <n v="8"/>
    <x v="0"/>
    <x v="0"/>
    <n v="213"/>
    <n v="213"/>
    <n v="0"/>
    <n v="11"/>
    <n v="0.74475524475524479"/>
    <n v="33"/>
    <n v="31"/>
    <n v="0.93939393939393945"/>
    <n v="9902.75"/>
    <n v="2023.5"/>
    <n v="5445"/>
    <n v="17371.25"/>
    <n v="81.555164319248831"/>
  </r>
  <r>
    <d v="2024-08-17T00:00:00"/>
    <x v="2"/>
    <n v="8"/>
    <x v="0"/>
    <x v="0"/>
    <n v="211"/>
    <n v="211"/>
    <n v="0"/>
    <n v="11"/>
    <n v="0.73776223776223782"/>
    <n v="33"/>
    <n v="33"/>
    <n v="1"/>
    <n v="9902.75"/>
    <n v="2004.5"/>
    <n v="5445"/>
    <n v="17352.25"/>
    <n v="82.238151658767777"/>
  </r>
  <r>
    <d v="2024-08-24T00:00:00"/>
    <x v="2"/>
    <n v="8"/>
    <x v="0"/>
    <x v="0"/>
    <n v="208"/>
    <n v="208"/>
    <n v="0"/>
    <n v="11"/>
    <n v="0.72727272727272729"/>
    <n v="33"/>
    <n v="32"/>
    <n v="0.96969696969696972"/>
    <n v="9902.75"/>
    <n v="1976"/>
    <n v="5445"/>
    <n v="17323.75"/>
    <n v="83.287259615384613"/>
  </r>
  <r>
    <d v="2024-08-31T00:00:00"/>
    <x v="2"/>
    <n v="8"/>
    <x v="0"/>
    <x v="0"/>
    <n v="192"/>
    <n v="192"/>
    <n v="0"/>
    <n v="10"/>
    <n v="0.7384615384615385"/>
    <n v="33"/>
    <n v="31"/>
    <n v="0.93939393939393945"/>
    <n v="9002.5"/>
    <n v="1824"/>
    <n v="5445"/>
    <n v="16271.5"/>
    <n v="84.747395833333329"/>
  </r>
  <r>
    <d v="2024-09-07T00:00:00"/>
    <x v="2"/>
    <n v="9"/>
    <x v="0"/>
    <x v="0"/>
    <n v="184"/>
    <n v="184"/>
    <n v="0"/>
    <n v="10"/>
    <n v="0.70769230769230773"/>
    <n v="33"/>
    <n v="31"/>
    <n v="0.93939393939393945"/>
    <n v="9002.5"/>
    <n v="1748"/>
    <n v="5445"/>
    <n v="16195.5"/>
    <n v="88.019021739130437"/>
  </r>
  <r>
    <d v="2024-09-14T00:00:00"/>
    <x v="2"/>
    <n v="9"/>
    <x v="0"/>
    <x v="0"/>
    <n v="184"/>
    <n v="184"/>
    <n v="0"/>
    <n v="11"/>
    <n v="0.64335664335664333"/>
    <n v="33"/>
    <n v="31"/>
    <n v="0.93939393939393945"/>
    <n v="9902.75"/>
    <n v="1748"/>
    <n v="5445"/>
    <n v="17095.75"/>
    <n v="92.911684782608702"/>
  </r>
  <r>
    <d v="2024-09-21T00:00:00"/>
    <x v="2"/>
    <n v="9"/>
    <x v="0"/>
    <x v="0"/>
    <n v="199"/>
    <n v="199"/>
    <n v="0"/>
    <n v="11"/>
    <n v="0.69580419580419584"/>
    <n v="35"/>
    <n v="35"/>
    <n v="1"/>
    <n v="9902.75"/>
    <n v="1890.5"/>
    <n v="5775"/>
    <n v="17568.25"/>
    <n v="88.282663316582912"/>
  </r>
  <r>
    <d v="2024-09-28T00:00:00"/>
    <x v="2"/>
    <n v="9"/>
    <x v="0"/>
    <x v="0"/>
    <n v="195"/>
    <n v="195"/>
    <n v="0"/>
    <n v="11"/>
    <n v="0.68181818181818177"/>
    <n v="35"/>
    <n v="34"/>
    <n v="0.97142857142857142"/>
    <n v="9902.75"/>
    <n v="1852.5"/>
    <n v="5775"/>
    <n v="17530.25"/>
    <n v="89.898717948717945"/>
  </r>
  <r>
    <d v="2024-10-05T00:00:00"/>
    <x v="2"/>
    <n v="10"/>
    <x v="0"/>
    <x v="0"/>
    <n v="194"/>
    <n v="194"/>
    <n v="0"/>
    <n v="11"/>
    <n v="0.67832167832167833"/>
    <n v="35"/>
    <n v="35"/>
    <n v="1"/>
    <n v="9902.75"/>
    <n v="1843"/>
    <n v="5775"/>
    <n v="17520.75"/>
    <n v="90.3131443298969"/>
  </r>
  <r>
    <d v="2024-10-12T00:00:00"/>
    <x v="2"/>
    <n v="10"/>
    <x v="0"/>
    <x v="0"/>
    <n v="216"/>
    <n v="216"/>
    <n v="0"/>
    <n v="11"/>
    <n v="0.75524475524475521"/>
    <n v="35"/>
    <n v="33"/>
    <n v="0.94285714285714284"/>
    <n v="9902.75"/>
    <n v="2052"/>
    <n v="5775"/>
    <n v="17729.75"/>
    <n v="82.082175925925924"/>
  </r>
  <r>
    <d v="2024-10-19T00:00:00"/>
    <x v="2"/>
    <n v="10"/>
    <x v="0"/>
    <x v="0"/>
    <n v="217"/>
    <n v="217"/>
    <n v="0"/>
    <n v="12"/>
    <n v="0.69551282051282048"/>
    <n v="35"/>
    <n v="35"/>
    <n v="1"/>
    <n v="10803"/>
    <n v="2061.5"/>
    <n v="5775"/>
    <n v="18639.5"/>
    <n v="85.896313364055302"/>
  </r>
  <r>
    <d v="2024-10-26T00:00:00"/>
    <x v="2"/>
    <n v="10"/>
    <x v="0"/>
    <x v="0"/>
    <n v="233"/>
    <n v="233"/>
    <n v="0"/>
    <n v="14"/>
    <n v="0.64010989010989006"/>
    <n v="35"/>
    <n v="34"/>
    <n v="0.97142857142857142"/>
    <n v="12603.5"/>
    <n v="2213.5"/>
    <n v="5775"/>
    <n v="20592"/>
    <n v="88.377682403433482"/>
  </r>
  <r>
    <d v="2024-11-02T00:00:00"/>
    <x v="2"/>
    <n v="11"/>
    <x v="0"/>
    <x v="0"/>
    <n v="234"/>
    <n v="234"/>
    <n v="0"/>
    <n v="12"/>
    <n v="0.75"/>
    <n v="35"/>
    <n v="34"/>
    <n v="0.97142857142857142"/>
    <n v="10803"/>
    <n v="2223"/>
    <n v="5775"/>
    <n v="18801"/>
    <n v="80.34615384615384"/>
  </r>
  <r>
    <d v="2024-11-09T00:00:00"/>
    <x v="2"/>
    <n v="11"/>
    <x v="0"/>
    <x v="0"/>
    <n v="251"/>
    <n v="251"/>
    <n v="0"/>
    <n v="14"/>
    <n v="0.68956043956043955"/>
    <n v="35"/>
    <n v="34"/>
    <n v="0.97142857142857142"/>
    <n v="12603.5"/>
    <n v="2384.5"/>
    <n v="5775"/>
    <n v="20763"/>
    <n v="82.721115537848604"/>
  </r>
  <r>
    <d v="2024-11-16T00:00:00"/>
    <x v="2"/>
    <n v="11"/>
    <x v="0"/>
    <x v="0"/>
    <n v="264"/>
    <n v="263"/>
    <n v="1"/>
    <n v="14"/>
    <n v="0.72252747252747251"/>
    <n v="35"/>
    <n v="34"/>
    <n v="0.97142857142857142"/>
    <n v="12603.5"/>
    <n v="2498.5"/>
    <n v="5775"/>
    <n v="20877"/>
    <n v="79.380228136882124"/>
  </r>
  <r>
    <d v="2024-11-23T00:00:00"/>
    <x v="2"/>
    <n v="11"/>
    <x v="0"/>
    <x v="0"/>
    <n v="295"/>
    <n v="286"/>
    <n v="10"/>
    <n v="14"/>
    <n v="0.7857142857142857"/>
    <n v="35"/>
    <n v="35"/>
    <n v="1"/>
    <n v="12603.5"/>
    <n v="2717"/>
    <n v="5775"/>
    <n v="21095.5"/>
    <n v="73.760489510489506"/>
  </r>
  <r>
    <d v="2024-11-30T00:00:00"/>
    <x v="2"/>
    <n v="11"/>
    <x v="0"/>
    <x v="0"/>
    <n v="312"/>
    <n v="306"/>
    <n v="16"/>
    <n v="15"/>
    <n v="0.7846153846153846"/>
    <n v="35"/>
    <n v="35"/>
    <n v="1"/>
    <n v="13503.75"/>
    <n v="2907"/>
    <n v="5775"/>
    <n v="22185.75"/>
    <n v="72.502450980392155"/>
  </r>
  <r>
    <d v="2024-12-07T00:00:00"/>
    <x v="2"/>
    <n v="12"/>
    <x v="0"/>
    <x v="0"/>
    <n v="326"/>
    <n v="306"/>
    <n v="36"/>
    <n v="14"/>
    <n v="0.84065934065934067"/>
    <n v="35"/>
    <n v="33"/>
    <n v="0.94285714285714284"/>
    <n v="12603.5"/>
    <n v="2907"/>
    <n v="5775"/>
    <n v="21285.5"/>
    <n v="69.560457516339866"/>
  </r>
  <r>
    <d v="2024-12-14T00:00:00"/>
    <x v="2"/>
    <n v="12"/>
    <x v="0"/>
    <x v="0"/>
    <n v="346"/>
    <n v="313"/>
    <n v="69"/>
    <n v="15"/>
    <n v="0.8025641025641026"/>
    <n v="35"/>
    <n v="33"/>
    <n v="0.94285714285714284"/>
    <n v="13503.75"/>
    <n v="2973.5"/>
    <n v="5775"/>
    <n v="22252.25"/>
    <n v="71.093450479233226"/>
  </r>
  <r>
    <d v="2024-12-21T00:00:00"/>
    <x v="2"/>
    <n v="12"/>
    <x v="0"/>
    <x v="0"/>
    <n v="278"/>
    <n v="306"/>
    <n v="41"/>
    <n v="14"/>
    <n v="0.84065934065934067"/>
    <n v="35"/>
    <n v="35"/>
    <n v="1"/>
    <n v="12603.5"/>
    <n v="2907"/>
    <n v="5775"/>
    <n v="21285.5"/>
    <n v="69.560457516339866"/>
  </r>
  <r>
    <d v="2024-12-28T00:00:00"/>
    <x v="2"/>
    <n v="12"/>
    <x v="0"/>
    <x v="0"/>
    <n v="251"/>
    <n v="274"/>
    <n v="18"/>
    <n v="14"/>
    <n v="0.75274725274725274"/>
    <n v="35"/>
    <n v="35"/>
    <n v="1"/>
    <n v="12603.5"/>
    <n v="2603"/>
    <n v="5775"/>
    <n v="20981.5"/>
    <n v="76.574817518248182"/>
  </r>
  <r>
    <d v="2025-01-04T00:00:00"/>
    <x v="3"/>
    <n v="1"/>
    <x v="0"/>
    <x v="0"/>
    <n v="224"/>
    <n v="238"/>
    <n v="4"/>
    <n v="12"/>
    <n v="0.76282051282051277"/>
    <n v="35"/>
    <n v="33"/>
    <n v="0.94285714285714284"/>
    <n v="10803"/>
    <n v="2261"/>
    <n v="5775"/>
    <n v="18839"/>
    <n v="79.155462184873954"/>
  </r>
  <r>
    <d v="2025-01-11T00:00:00"/>
    <x v="3"/>
    <n v="1"/>
    <x v="0"/>
    <x v="0"/>
    <n v="172"/>
    <n v="176"/>
    <n v="0"/>
    <n v="10"/>
    <n v="0.67692307692307696"/>
    <n v="35"/>
    <n v="34"/>
    <n v="0.97142857142857142"/>
    <n v="9002.5"/>
    <n v="1672"/>
    <n v="5775"/>
    <n v="16449.5"/>
    <n v="93.463068181818187"/>
  </r>
  <r>
    <d v="2025-01-18T00:00:00"/>
    <x v="3"/>
    <n v="1"/>
    <x v="0"/>
    <x v="0"/>
    <n v="167"/>
    <n v="167"/>
    <n v="0"/>
    <n v="9"/>
    <n v="0.71367521367521369"/>
    <n v="35"/>
    <n v="32"/>
    <n v="0.91428571428571426"/>
    <n v="8102.25"/>
    <n v="1586.5"/>
    <n v="5775"/>
    <n v="15463.75"/>
    <n v="92.59730538922156"/>
  </r>
  <r>
    <d v="2025-01-25T00:00:00"/>
    <x v="3"/>
    <n v="1"/>
    <x v="0"/>
    <x v="0"/>
    <n v="170"/>
    <n v="170"/>
    <n v="0"/>
    <n v="10"/>
    <n v="0.65384615384615385"/>
    <n v="35"/>
    <n v="31"/>
    <n v="0.88571428571428568"/>
    <n v="9002.5"/>
    <n v="1615"/>
    <n v="5775"/>
    <n v="16392.5"/>
    <n v="96.42647058823529"/>
  </r>
  <r>
    <d v="2025-02-01T00:00:00"/>
    <x v="3"/>
    <n v="2"/>
    <x v="0"/>
    <x v="0"/>
    <n v="186"/>
    <n v="186"/>
    <n v="0"/>
    <n v="10"/>
    <n v="0.7153846153846154"/>
    <n v="35"/>
    <n v="34"/>
    <n v="0.97142857142857142"/>
    <n v="9002.5"/>
    <n v="1767"/>
    <n v="5775"/>
    <n v="16544.5"/>
    <n v="88.9489247311828"/>
  </r>
  <r>
    <d v="2025-02-08T00:00:00"/>
    <x v="3"/>
    <n v="2"/>
    <x v="0"/>
    <x v="0"/>
    <n v="187"/>
    <n v="187"/>
    <n v="0"/>
    <n v="10"/>
    <n v="0.71923076923076923"/>
    <n v="35"/>
    <n v="29"/>
    <n v="0.82857142857142863"/>
    <n v="9002.5"/>
    <n v="1776.5"/>
    <n v="5775"/>
    <n v="16554"/>
    <n v="88.524064171123001"/>
  </r>
  <r>
    <d v="2025-02-15T00:00:00"/>
    <x v="3"/>
    <n v="2"/>
    <x v="0"/>
    <x v="0"/>
    <n v="202"/>
    <n v="202"/>
    <n v="0"/>
    <n v="11"/>
    <n v="0.70629370629370625"/>
    <n v="35"/>
    <n v="34"/>
    <n v="0.97142857142857142"/>
    <n v="9902.75"/>
    <n v="1919"/>
    <n v="5775"/>
    <n v="17596.75"/>
    <n v="87.112623762376231"/>
  </r>
  <r>
    <d v="2025-02-22T00:00:00"/>
    <x v="3"/>
    <n v="2"/>
    <x v="0"/>
    <x v="0"/>
    <n v="203"/>
    <n v="203"/>
    <n v="0"/>
    <n v="11"/>
    <n v="0.70979020979020979"/>
    <n v="35"/>
    <n v="33"/>
    <n v="0.94285714285714284"/>
    <n v="9902.75"/>
    <n v="1928.5"/>
    <n v="5775"/>
    <n v="17606.25"/>
    <n v="86.730295566502463"/>
  </r>
  <r>
    <d v="2025-03-01T00:00:00"/>
    <x v="3"/>
    <n v="3"/>
    <x v="0"/>
    <x v="0"/>
    <n v="205"/>
    <n v="205"/>
    <n v="0"/>
    <n v="11"/>
    <n v="0.71678321678321677"/>
    <n v="35"/>
    <n v="34"/>
    <n v="0.97142857142857142"/>
    <n v="9902.75"/>
    <n v="1947.5"/>
    <n v="5775"/>
    <n v="17625.25"/>
    <n v="85.97682926829269"/>
  </r>
  <r>
    <d v="2025-03-08T00:00:00"/>
    <x v="3"/>
    <n v="3"/>
    <x v="0"/>
    <x v="0"/>
    <n v="213"/>
    <n v="213"/>
    <n v="0"/>
    <n v="11"/>
    <n v="0.74475524475524479"/>
    <n v="35"/>
    <n v="34"/>
    <n v="0.97142857142857142"/>
    <n v="9902.75"/>
    <n v="2023.5"/>
    <n v="5775"/>
    <n v="17701.25"/>
    <n v="83.104460093896719"/>
  </r>
  <r>
    <d v="2025-03-15T00:00:00"/>
    <x v="3"/>
    <n v="3"/>
    <x v="0"/>
    <x v="0"/>
    <n v="212"/>
    <n v="212"/>
    <n v="0"/>
    <n v="11"/>
    <n v="0.74125874125874125"/>
    <n v="35"/>
    <n v="35"/>
    <n v="1"/>
    <n v="9902.75"/>
    <n v="2014"/>
    <n v="5775"/>
    <n v="17691.75"/>
    <n v="83.451650943396231"/>
  </r>
  <r>
    <d v="2025-03-22T00:00:00"/>
    <x v="3"/>
    <n v="3"/>
    <x v="0"/>
    <x v="0"/>
    <n v="220"/>
    <n v="220"/>
    <n v="0"/>
    <n v="12"/>
    <n v="0.70512820512820518"/>
    <n v="35"/>
    <n v="34"/>
    <n v="0.97142857142857142"/>
    <n v="10803"/>
    <n v="2090"/>
    <n v="5775"/>
    <n v="18668"/>
    <n v="84.854545454545459"/>
  </r>
  <r>
    <d v="2025-03-29T00:00:00"/>
    <x v="3"/>
    <n v="3"/>
    <x v="0"/>
    <x v="0"/>
    <n v="229"/>
    <n v="229"/>
    <n v="0"/>
    <n v="12"/>
    <n v="0.73397435897435892"/>
    <n v="35"/>
    <n v="33"/>
    <n v="0.94285714285714284"/>
    <n v="10803"/>
    <n v="2175.5"/>
    <n v="5775"/>
    <n v="18753.5"/>
    <n v="81.893013100436676"/>
  </r>
  <r>
    <d v="2025-04-05T00:00:00"/>
    <x v="3"/>
    <n v="4"/>
    <x v="0"/>
    <x v="0"/>
    <n v="214"/>
    <n v="214"/>
    <n v="0"/>
    <n v="12"/>
    <n v="0.6858974358974359"/>
    <n v="35"/>
    <n v="35"/>
    <n v="1"/>
    <n v="10803"/>
    <n v="2033"/>
    <n v="5775"/>
    <n v="18611"/>
    <n v="86.967289719626166"/>
  </r>
  <r>
    <d v="2025-04-12T00:00:00"/>
    <x v="3"/>
    <n v="4"/>
    <x v="0"/>
    <x v="0"/>
    <n v="227"/>
    <n v="227"/>
    <n v="0"/>
    <n v="11"/>
    <n v="0.79370629370629375"/>
    <n v="35"/>
    <n v="35"/>
    <n v="1"/>
    <n v="9902.75"/>
    <n v="2156.5"/>
    <n v="5775"/>
    <n v="17834.25"/>
    <n v="78.564977973568276"/>
  </r>
  <r>
    <d v="2025-04-19T00:00:00"/>
    <x v="3"/>
    <n v="4"/>
    <x v="0"/>
    <x v="0"/>
    <n v="222"/>
    <n v="222"/>
    <n v="0"/>
    <n v="12"/>
    <n v="0.71153846153846156"/>
    <n v="35"/>
    <n v="34"/>
    <n v="0.97142857142857142"/>
    <n v="10803"/>
    <n v="2109"/>
    <n v="5775"/>
    <n v="18687"/>
    <n v="84.175675675675677"/>
  </r>
  <r>
    <d v="2025-04-26T00:00:00"/>
    <x v="3"/>
    <n v="4"/>
    <x v="0"/>
    <x v="0"/>
    <n v="239"/>
    <n v="239"/>
    <n v="0"/>
    <n v="11"/>
    <n v="0.83566433566433562"/>
    <n v="35"/>
    <n v="34"/>
    <n v="0.97142857142857142"/>
    <n v="9902.75"/>
    <n v="2270.5"/>
    <n v="5775"/>
    <n v="17948.25"/>
    <n v="75.09728033472804"/>
  </r>
  <r>
    <d v="2025-05-03T00:00:00"/>
    <x v="3"/>
    <n v="5"/>
    <x v="0"/>
    <x v="0"/>
    <n v="221"/>
    <n v="221"/>
    <n v="0"/>
    <n v="12"/>
    <n v="0.70833333333333337"/>
    <n v="35"/>
    <n v="34"/>
    <n v="0.97142857142857142"/>
    <n v="10803"/>
    <n v="2099.5"/>
    <n v="5775"/>
    <n v="18677.5"/>
    <n v="84.513574660633481"/>
  </r>
  <r>
    <d v="2025-05-10T00:00:00"/>
    <x v="3"/>
    <n v="5"/>
    <x v="0"/>
    <x v="0"/>
    <n v="241"/>
    <n v="241"/>
    <n v="0"/>
    <n v="13"/>
    <n v="0.71301775147928992"/>
    <n v="35"/>
    <n v="34"/>
    <n v="0.97142857142857142"/>
    <n v="11703.25"/>
    <n v="2289.5"/>
    <n v="5775"/>
    <n v="19767.75"/>
    <n v="82.023858921161832"/>
  </r>
  <r>
    <d v="2025-05-17T00:00:00"/>
    <x v="3"/>
    <n v="5"/>
    <x v="0"/>
    <x v="0"/>
    <n v="245"/>
    <n v="245"/>
    <n v="0"/>
    <n v="13"/>
    <n v="0.7248520710059172"/>
    <n v="35"/>
    <n v="35"/>
    <n v="1"/>
    <n v="11703.25"/>
    <n v="2327.5"/>
    <n v="5775"/>
    <n v="19805.75"/>
    <n v="80.839795918367344"/>
  </r>
  <r>
    <d v="2025-05-24T00:00:00"/>
    <x v="3"/>
    <n v="5"/>
    <x v="0"/>
    <x v="0"/>
    <n v="225"/>
    <n v="225"/>
    <n v="0"/>
    <n v="12"/>
    <n v="0.72115384615384615"/>
    <n v="35"/>
    <n v="34"/>
    <n v="0.97142857142857142"/>
    <n v="10803"/>
    <n v="2137.5"/>
    <n v="5775"/>
    <n v="18715.5"/>
    <n v="83.18"/>
  </r>
  <r>
    <d v="2025-05-31T00:00:00"/>
    <x v="3"/>
    <n v="5"/>
    <x v="0"/>
    <x v="0"/>
    <n v="228"/>
    <n v="228"/>
    <n v="0"/>
    <n v="12"/>
    <n v="0.73076923076923073"/>
    <n v="35"/>
    <n v="35"/>
    <n v="1"/>
    <n v="10803"/>
    <n v="2166"/>
    <n v="5775"/>
    <n v="18744"/>
    <n v="82.21052631578948"/>
  </r>
  <r>
    <d v="2025-06-07T00:00:00"/>
    <x v="3"/>
    <n v="6"/>
    <x v="0"/>
    <x v="0"/>
    <n v="226"/>
    <n v="226"/>
    <n v="0"/>
    <n v="12"/>
    <n v="0.72435897435897434"/>
    <n v="35"/>
    <n v="35"/>
    <n v="1"/>
    <n v="10803"/>
    <n v="2147"/>
    <n v="5775"/>
    <n v="18725"/>
    <n v="82.853982300884951"/>
  </r>
  <r>
    <d v="2025-06-14T00:00:00"/>
    <x v="3"/>
    <n v="6"/>
    <x v="0"/>
    <x v="0"/>
    <n v="237"/>
    <n v="237"/>
    <n v="0"/>
    <n v="12"/>
    <n v="0.75961538461538458"/>
    <n v="35"/>
    <n v="34"/>
    <n v="0.97142857142857142"/>
    <n v="10803"/>
    <n v="2251.5"/>
    <n v="5775"/>
    <n v="18829.5"/>
    <n v="79.449367088607602"/>
  </r>
  <r>
    <d v="2025-06-21T00:00:00"/>
    <x v="3"/>
    <n v="6"/>
    <x v="0"/>
    <x v="0"/>
    <n v="217"/>
    <n v="217"/>
    <n v="0"/>
    <n v="11"/>
    <n v="0.75874125874125875"/>
    <n v="35"/>
    <n v="34"/>
    <n v="0.97142857142857142"/>
    <n v="9902.75"/>
    <n v="2061.5"/>
    <n v="5775"/>
    <n v="17739.25"/>
    <n v="81.747695852534562"/>
  </r>
  <r>
    <d v="2025-06-28T00:00:00"/>
    <x v="3"/>
    <n v="6"/>
    <x v="0"/>
    <x v="0"/>
    <n v="221"/>
    <n v="221"/>
    <n v="0"/>
    <n v="11"/>
    <n v="0.77272727272727271"/>
    <n v="35"/>
    <n v="35"/>
    <n v="1"/>
    <n v="9902.75"/>
    <n v="2099.5"/>
    <n v="5775"/>
    <n v="17777.25"/>
    <n v="80.440045248868785"/>
  </r>
  <r>
    <d v="2025-07-05T00:00:00"/>
    <x v="3"/>
    <n v="7"/>
    <x v="0"/>
    <x v="0"/>
    <n v="226"/>
    <n v="226"/>
    <n v="0"/>
    <n v="12"/>
    <n v="0.72435897435897434"/>
    <n v="35"/>
    <n v="35"/>
    <n v="1"/>
    <n v="10803"/>
    <n v="2147"/>
    <n v="5775"/>
    <n v="18725"/>
    <n v="82.853982300884951"/>
  </r>
  <r>
    <d v="2025-07-12T00:00:00"/>
    <x v="3"/>
    <n v="7"/>
    <x v="0"/>
    <x v="0"/>
    <n v="237"/>
    <n v="237"/>
    <n v="0"/>
    <n v="13"/>
    <n v="0.70118343195266275"/>
    <n v="35"/>
    <n v="35"/>
    <n v="1"/>
    <n v="11703.25"/>
    <n v="2251.5"/>
    <n v="5775"/>
    <n v="19729.75"/>
    <n v="83.247890295358644"/>
  </r>
  <r>
    <d v="2025-07-19T00:00:00"/>
    <x v="3"/>
    <n v="7"/>
    <x v="0"/>
    <x v="0"/>
    <n v="235"/>
    <n v="235"/>
    <n v="0"/>
    <n v="13"/>
    <n v="0.69526627218934911"/>
    <n v="35"/>
    <n v="35"/>
    <n v="1"/>
    <n v="11703.25"/>
    <n v="2232.5"/>
    <n v="5775"/>
    <n v="19710.75"/>
    <n v="83.875531914893614"/>
  </r>
  <r>
    <d v="2025-07-26T00:00:00"/>
    <x v="3"/>
    <n v="7"/>
    <x v="0"/>
    <x v="0"/>
    <n v="232"/>
    <n v="232"/>
    <n v="0"/>
    <n v="12"/>
    <n v="0.74358974358974361"/>
    <n v="35"/>
    <n v="35"/>
    <n v="1"/>
    <n v="10803"/>
    <n v="2204"/>
    <n v="5775"/>
    <n v="18782"/>
    <n v="80.956896551724142"/>
  </r>
  <r>
    <d v="2025-08-02T00:00:00"/>
    <x v="3"/>
    <n v="8"/>
    <x v="0"/>
    <x v="0"/>
    <n v="233"/>
    <n v="233"/>
    <n v="0"/>
    <n v="13"/>
    <n v="0.68934911242603547"/>
    <n v="35"/>
    <n v="35"/>
    <n v="1"/>
    <n v="11703.25"/>
    <n v="2213.5"/>
    <n v="5775"/>
    <n v="19691.75"/>
    <n v="84.513948497854074"/>
  </r>
  <r>
    <d v="2025-08-09T00:00:00"/>
    <x v="3"/>
    <n v="8"/>
    <x v="0"/>
    <x v="0"/>
    <n v="255"/>
    <n v="254"/>
    <n v="1"/>
    <n v="13"/>
    <n v="0.75147928994082835"/>
    <n v="35"/>
    <n v="33"/>
    <n v="0.94285714285714284"/>
    <n v="11703.25"/>
    <n v="2413"/>
    <n v="5775"/>
    <n v="19891.25"/>
    <n v="78.312007874015748"/>
  </r>
  <r>
    <d v="2025-08-16T00:00:00"/>
    <x v="3"/>
    <n v="8"/>
    <x v="0"/>
    <x v="0"/>
    <n v="223"/>
    <n v="224"/>
    <n v="0"/>
    <n v="11"/>
    <n v="0.78321678321678323"/>
    <n v="35"/>
    <n v="33"/>
    <n v="0.94285714285714284"/>
    <n v="9902.75"/>
    <n v="2128"/>
    <n v="5775"/>
    <n v="17805.75"/>
    <n v="79.489955357142861"/>
  </r>
  <r>
    <d v="2025-08-23T00:00:00"/>
    <x v="3"/>
    <n v="8"/>
    <x v="0"/>
    <x v="0"/>
    <n v="227"/>
    <n v="227"/>
    <n v="0"/>
    <n v="12"/>
    <n v="0.72756410256410253"/>
    <n v="35"/>
    <n v="34"/>
    <n v="0.97142857142857142"/>
    <n v="10803"/>
    <n v="2156.5"/>
    <n v="5775"/>
    <n v="18734.5"/>
    <n v="82.530837004405285"/>
  </r>
  <r>
    <d v="2025-08-30T00:00:00"/>
    <x v="3"/>
    <n v="8"/>
    <x v="0"/>
    <x v="0"/>
    <n v="224"/>
    <n v="224"/>
    <n v="0"/>
    <n v="11"/>
    <n v="0.78321678321678323"/>
    <n v="35"/>
    <n v="34"/>
    <n v="0.97142857142857142"/>
    <n v="9902.75"/>
    <n v="2128"/>
    <n v="5775"/>
    <n v="17805.75"/>
    <n v="79.489955357142861"/>
  </r>
  <r>
    <d v="2025-09-06T00:00:00"/>
    <x v="3"/>
    <n v="9"/>
    <x v="0"/>
    <x v="0"/>
    <n v="220"/>
    <n v="220"/>
    <n v="0"/>
    <n v="12"/>
    <n v="0.70512820512820518"/>
    <n v="35"/>
    <n v="33"/>
    <n v="0.94285714285714284"/>
    <n v="10803"/>
    <n v="2090"/>
    <n v="5775"/>
    <n v="18668"/>
    <n v="84.854545454545459"/>
  </r>
  <r>
    <d v="2025-09-13T00:00:00"/>
    <x v="3"/>
    <n v="9"/>
    <x v="0"/>
    <x v="0"/>
    <n v="225"/>
    <n v="225"/>
    <n v="0"/>
    <n v="12"/>
    <n v="0.72115384615384615"/>
    <n v="35"/>
    <n v="35"/>
    <n v="1"/>
    <n v="10803"/>
    <n v="2137.5"/>
    <n v="5775"/>
    <n v="18715.5"/>
    <n v="83.18"/>
  </r>
  <r>
    <d v="2025-09-20T00:00:00"/>
    <x v="3"/>
    <n v="9"/>
    <x v="0"/>
    <x v="0"/>
    <n v="220"/>
    <n v="220"/>
    <n v="0"/>
    <n v="12"/>
    <n v="0.70512820512820518"/>
    <n v="35"/>
    <n v="32"/>
    <n v="0.91428571428571426"/>
    <n v="10803"/>
    <n v="2090"/>
    <n v="5775"/>
    <n v="18668"/>
    <n v="84.854545454545459"/>
  </r>
  <r>
    <d v="2025-09-27T00:00:00"/>
    <x v="3"/>
    <n v="9"/>
    <x v="0"/>
    <x v="0"/>
    <n v="228"/>
    <n v="228"/>
    <n v="0"/>
    <n v="12"/>
    <n v="0.73076923076923073"/>
    <n v="35"/>
    <n v="35"/>
    <n v="1"/>
    <n v="10803"/>
    <n v="2166"/>
    <n v="5775"/>
    <n v="18744"/>
    <n v="82.21052631578948"/>
  </r>
  <r>
    <d v="2025-10-04T00:00:00"/>
    <x v="3"/>
    <n v="10"/>
    <x v="0"/>
    <x v="0"/>
    <n v="223"/>
    <n v="223"/>
    <n v="0"/>
    <n v="12"/>
    <n v="0.71474358974358976"/>
    <n v="35"/>
    <n v="34"/>
    <n v="0.97142857142857142"/>
    <n v="10803"/>
    <n v="2118.5"/>
    <n v="5775"/>
    <n v="18696.5"/>
    <n v="83.840807174887885"/>
  </r>
  <r>
    <d v="2025-10-11T00:00:00"/>
    <x v="3"/>
    <n v="10"/>
    <x v="0"/>
    <x v="0"/>
    <n v="227"/>
    <n v="227"/>
    <n v="0"/>
    <n v="13"/>
    <n v="0.67159763313609466"/>
    <n v="35"/>
    <n v="34"/>
    <n v="0.97142857142857142"/>
    <n v="11703.25"/>
    <n v="2156.5"/>
    <n v="5775"/>
    <n v="19634.75"/>
    <n v="86.496696035242294"/>
  </r>
  <r>
    <d v="2025-10-18T00:00:00"/>
    <x v="3"/>
    <n v="10"/>
    <x v="0"/>
    <x v="0"/>
    <n v="235"/>
    <n v="235"/>
    <n v="0"/>
    <n v="13"/>
    <n v="0.69526627218934911"/>
    <n v="35"/>
    <n v="35"/>
    <n v="1"/>
    <n v="11703.25"/>
    <n v="2232.5"/>
    <n v="5775"/>
    <n v="19710.75"/>
    <n v="83.875531914893614"/>
  </r>
  <r>
    <d v="2025-10-25T00:00:00"/>
    <x v="3"/>
    <n v="10"/>
    <x v="0"/>
    <x v="0"/>
    <n v="237"/>
    <n v="237"/>
    <n v="0"/>
    <n v="12"/>
    <n v="0.75961538461538458"/>
    <n v="35"/>
    <n v="32"/>
    <n v="0.91428571428571426"/>
    <n v="10803"/>
    <n v="2251.5"/>
    <n v="5775"/>
    <n v="18829.5"/>
    <n v="79.449367088607602"/>
  </r>
  <r>
    <d v="2025-11-01T00:00:00"/>
    <x v="3"/>
    <n v="11"/>
    <x v="0"/>
    <x v="0"/>
    <n v="260"/>
    <n v="260"/>
    <n v="0"/>
    <n v="14"/>
    <n v="0.7142857142857143"/>
    <n v="35"/>
    <n v="35"/>
    <n v="1"/>
    <n v="12603.5"/>
    <n v="2470"/>
    <n v="5775"/>
    <n v="20848.5"/>
    <n v="80.186538461538461"/>
  </r>
  <r>
    <d v="2025-11-08T00:00:00"/>
    <x v="3"/>
    <n v="11"/>
    <x v="0"/>
    <x v="0"/>
    <n v="271"/>
    <n v="271"/>
    <n v="0"/>
    <n v="13"/>
    <n v="0.80177514792899407"/>
    <n v="35"/>
    <n v="35"/>
    <n v="1"/>
    <n v="11703.25"/>
    <n v="2574.5"/>
    <n v="5775"/>
    <n v="20052.75"/>
    <n v="73.995387453874542"/>
  </r>
  <r>
    <d v="2025-11-15T00:00:00"/>
    <x v="3"/>
    <n v="11"/>
    <x v="0"/>
    <x v="0"/>
    <n v="301"/>
    <n v="294"/>
    <n v="7"/>
    <n v="15"/>
    <n v="0.75384615384615383"/>
    <n v="35"/>
    <n v="34"/>
    <n v="0.97142857142857142"/>
    <n v="13503.75"/>
    <n v="2793"/>
    <n v="5775"/>
    <n v="22071.75"/>
    <n v="75.073979591836732"/>
  </r>
  <r>
    <d v="2025-11-22T00:00:00"/>
    <x v="3"/>
    <n v="11"/>
    <x v="0"/>
    <x v="0"/>
    <n v="325"/>
    <n v="305"/>
    <n v="27"/>
    <n v="14"/>
    <n v="0.83791208791208793"/>
    <n v="35"/>
    <n v="32"/>
    <n v="0.91428571428571426"/>
    <n v="12603.5"/>
    <n v="2897.5"/>
    <n v="5775"/>
    <n v="21276"/>
    <n v="69.757377049180334"/>
  </r>
  <r>
    <d v="2025-11-29T00:00:00"/>
    <x v="3"/>
    <n v="11"/>
    <x v="0"/>
    <x v="0"/>
    <n v="316"/>
    <n v="306"/>
    <n v="37"/>
    <n v="15"/>
    <n v="0.7846153846153846"/>
    <n v="35"/>
    <n v="34"/>
    <n v="0.97142857142857142"/>
    <n v="13503.75"/>
    <n v="2907"/>
    <n v="5775"/>
    <n v="22185.75"/>
    <n v="72.502450980392155"/>
  </r>
  <r>
    <d v="2025-12-06T00:00:00"/>
    <x v="3"/>
    <n v="12"/>
    <x v="0"/>
    <x v="0"/>
    <n v="347"/>
    <n v="313"/>
    <n v="71"/>
    <n v="15"/>
    <n v="0.8025641025641026"/>
    <n v="35"/>
    <n v="33"/>
    <n v="0.94285714285714284"/>
    <n v="13503.75"/>
    <n v="2973.5"/>
    <n v="5775"/>
    <n v="22252.25"/>
    <n v="71.093450479233226"/>
  </r>
  <r>
    <d v="2025-12-13T00:00:00"/>
    <x v="3"/>
    <n v="12"/>
    <x v="0"/>
    <x v="0"/>
    <n v="348"/>
    <n v="313"/>
    <n v="106"/>
    <n v="15"/>
    <n v="0.8025641025641026"/>
    <n v="35"/>
    <n v="33"/>
    <n v="0.94285714285714284"/>
    <n v="13503.75"/>
    <n v="2973.5"/>
    <n v="5775"/>
    <n v="22252.25"/>
    <n v="71.093450479233226"/>
  </r>
  <r>
    <d v="2025-12-20T00:00:00"/>
    <x v="3"/>
    <n v="12"/>
    <x v="0"/>
    <x v="0"/>
    <n v="328"/>
    <n v="313"/>
    <n v="121"/>
    <n v="14"/>
    <n v="0.85989010989010994"/>
    <n v="35"/>
    <n v="33"/>
    <n v="0.94285714285714284"/>
    <n v="12603.5"/>
    <n v="2973.5"/>
    <n v="5775"/>
    <n v="21352"/>
    <n v="68.217252396166131"/>
  </r>
  <r>
    <d v="2025-12-27T00:00:00"/>
    <x v="3"/>
    <n v="12"/>
    <x v="0"/>
    <x v="0"/>
    <n v="264"/>
    <n v="306"/>
    <n v="79"/>
    <n v="15"/>
    <n v="0.7846153846153846"/>
    <n v="35"/>
    <n v="33"/>
    <n v="0.94285714285714284"/>
    <n v="13503.75"/>
    <n v="2907"/>
    <n v="5775"/>
    <n v="22185.75"/>
    <n v="72.502450980392155"/>
  </r>
  <r>
    <d v="2026-01-03T00:00:00"/>
    <x v="4"/>
    <n v="1"/>
    <x v="0"/>
    <x v="0"/>
    <n v="224"/>
    <n v="266"/>
    <n v="37"/>
    <n v="14"/>
    <n v="0.73076923076923073"/>
    <n v="35"/>
    <n v="31"/>
    <n v="0.88571428571428568"/>
    <n v="12603.5"/>
    <n v="2527"/>
    <n v="5775"/>
    <n v="20905.5"/>
    <n v="78.59210526315789"/>
  </r>
  <r>
    <d v="2026-01-10T00:00:00"/>
    <x v="4"/>
    <n v="1"/>
    <x v="0"/>
    <x v="0"/>
    <n v="198"/>
    <n v="221"/>
    <n v="14"/>
    <n v="11"/>
    <n v="0.77272727272727271"/>
    <n v="35"/>
    <n v="31"/>
    <n v="0.88571428571428568"/>
    <n v="9902.75"/>
    <n v="2099.5"/>
    <n v="5775"/>
    <n v="17777.25"/>
    <n v="80.440045248868785"/>
  </r>
  <r>
    <d v="2026-01-17T00:00:00"/>
    <x v="4"/>
    <n v="1"/>
    <x v="0"/>
    <x v="0"/>
    <n v="178"/>
    <n v="189"/>
    <n v="3"/>
    <n v="11"/>
    <n v="0.66083916083916083"/>
    <n v="35"/>
    <n v="32"/>
    <n v="0.91428571428571426"/>
    <n v="9902.75"/>
    <n v="1795.5"/>
    <n v="5775"/>
    <n v="17473.25"/>
    <n v="92.451058201058203"/>
  </r>
  <r>
    <d v="2026-01-24T00:00:00"/>
    <x v="4"/>
    <n v="1"/>
    <x v="0"/>
    <x v="0"/>
    <n v="192"/>
    <n v="195"/>
    <n v="0"/>
    <n v="10"/>
    <n v="0.75"/>
    <n v="35"/>
    <n v="32"/>
    <n v="0.91428571428571426"/>
    <n v="9002.5"/>
    <n v="1852.5"/>
    <n v="5775"/>
    <n v="16630"/>
    <n v="85.282051282051285"/>
  </r>
  <r>
    <d v="2026-01-31T00:00:00"/>
    <x v="4"/>
    <n v="1"/>
    <x v="0"/>
    <x v="0"/>
    <n v="198"/>
    <n v="198"/>
    <n v="0"/>
    <n v="11"/>
    <n v="0.69230769230769229"/>
    <n v="35"/>
    <n v="33"/>
    <n v="0.94285714285714284"/>
    <n v="9902.75"/>
    <n v="1881"/>
    <n v="5775"/>
    <n v="17558.75"/>
    <n v="88.680555555555557"/>
  </r>
  <r>
    <d v="2026-02-07T00:00:00"/>
    <x v="4"/>
    <n v="2"/>
    <x v="0"/>
    <x v="0"/>
    <n v="223"/>
    <n v="223"/>
    <n v="0"/>
    <n v="11"/>
    <n v="0.77972027972027969"/>
    <n v="35"/>
    <n v="33"/>
    <n v="0.94285714285714284"/>
    <n v="9902.75"/>
    <n v="2118.5"/>
    <n v="5775"/>
    <n v="17796.25"/>
    <n v="79.803811659192831"/>
  </r>
  <r>
    <d v="2026-02-14T00:00:00"/>
    <x v="4"/>
    <n v="2"/>
    <x v="0"/>
    <x v="0"/>
    <n v="216"/>
    <n v="216"/>
    <n v="0"/>
    <n v="12"/>
    <n v="0.69230769230769229"/>
    <n v="35"/>
    <n v="33"/>
    <n v="0.94285714285714284"/>
    <n v="10803"/>
    <n v="2052"/>
    <n v="5775"/>
    <n v="18630"/>
    <n v="86.25"/>
  </r>
  <r>
    <d v="2026-02-21T00:00:00"/>
    <x v="4"/>
    <n v="2"/>
    <x v="0"/>
    <x v="0"/>
    <n v="214"/>
    <n v="214"/>
    <n v="0"/>
    <n v="11"/>
    <n v="0.74825174825174823"/>
    <n v="35"/>
    <n v="33"/>
    <n v="0.94285714285714284"/>
    <n v="9902.75"/>
    <n v="2033"/>
    <n v="5775"/>
    <n v="17710.75"/>
    <n v="82.760514018691595"/>
  </r>
  <r>
    <d v="2026-02-28T00:00:00"/>
    <x v="4"/>
    <n v="2"/>
    <x v="0"/>
    <x v="0"/>
    <n v="237"/>
    <n v="237"/>
    <n v="0"/>
    <n v="13"/>
    <n v="0.70118343195266275"/>
    <n v="35"/>
    <n v="31"/>
    <n v="0.88571428571428568"/>
    <n v="11703.25"/>
    <n v="2251.5"/>
    <n v="5775"/>
    <n v="19729.75"/>
    <n v="83.247890295358644"/>
  </r>
  <r>
    <d v="2026-03-07T00:00:00"/>
    <x v="4"/>
    <n v="3"/>
    <x v="0"/>
    <x v="0"/>
    <n v="236"/>
    <n v="236"/>
    <n v="0"/>
    <n v="13"/>
    <n v="0.69822485207100593"/>
    <n v="35"/>
    <n v="34"/>
    <n v="0.97142857142857142"/>
    <n v="11703.25"/>
    <n v="2242"/>
    <n v="5775"/>
    <n v="19720.25"/>
    <n v="83.560381355932208"/>
  </r>
  <r>
    <d v="2026-03-14T00:00:00"/>
    <x v="4"/>
    <n v="3"/>
    <x v="0"/>
    <x v="0"/>
    <n v="218"/>
    <n v="218"/>
    <n v="0"/>
    <n v="12"/>
    <n v="0.69871794871794868"/>
    <n v="35"/>
    <n v="34"/>
    <n v="0.97142857142857142"/>
    <n v="10803"/>
    <n v="2071"/>
    <n v="5775"/>
    <n v="18649"/>
    <n v="85.545871559633028"/>
  </r>
  <r>
    <d v="2026-03-21T00:00:00"/>
    <x v="4"/>
    <n v="3"/>
    <x v="0"/>
    <x v="0"/>
    <n v="231"/>
    <n v="231"/>
    <n v="0"/>
    <n v="11"/>
    <n v="0.80769230769230771"/>
    <n v="35"/>
    <n v="32"/>
    <n v="0.91428571428571426"/>
    <n v="9902.75"/>
    <n v="2194.5"/>
    <n v="5775"/>
    <n v="17872.25"/>
    <n v="77.36904761904762"/>
  </r>
  <r>
    <d v="2026-03-28T00:00:00"/>
    <x v="4"/>
    <n v="3"/>
    <x v="0"/>
    <x v="0"/>
    <n v="211"/>
    <n v="211"/>
    <n v="0"/>
    <n v="11"/>
    <n v="0.73776223776223782"/>
    <n v="35"/>
    <n v="34"/>
    <n v="0.97142857142857142"/>
    <n v="9902.75"/>
    <n v="2004.5"/>
    <n v="5775"/>
    <n v="17682.25"/>
    <n v="83.802132701421797"/>
  </r>
  <r>
    <d v="2026-04-04T00:00:00"/>
    <x v="4"/>
    <n v="4"/>
    <x v="0"/>
    <x v="0"/>
    <n v="237"/>
    <n v="237"/>
    <n v="0"/>
    <n v="12"/>
    <n v="0.75961538461538458"/>
    <n v="35"/>
    <n v="35"/>
    <n v="1"/>
    <n v="10803"/>
    <n v="2251.5"/>
    <n v="5775"/>
    <n v="18829.5"/>
    <n v="79.449367088607602"/>
  </r>
  <r>
    <d v="2026-04-11T00:00:00"/>
    <x v="4"/>
    <n v="4"/>
    <x v="0"/>
    <x v="0"/>
    <n v="235"/>
    <n v="235"/>
    <n v="0"/>
    <n v="13"/>
    <n v="0.69526627218934911"/>
    <n v="35"/>
    <n v="34"/>
    <n v="0.97142857142857142"/>
    <n v="11703.25"/>
    <n v="2232.5"/>
    <n v="5775"/>
    <n v="19710.75"/>
    <n v="83.875531914893614"/>
  </r>
  <r>
    <d v="2026-04-18T00:00:00"/>
    <x v="4"/>
    <n v="4"/>
    <x v="0"/>
    <x v="0"/>
    <n v="231"/>
    <n v="231"/>
    <n v="0"/>
    <n v="13"/>
    <n v="0.68343195266272194"/>
    <n v="35"/>
    <n v="31"/>
    <n v="0.88571428571428568"/>
    <n v="11703.25"/>
    <n v="2194.5"/>
    <n v="5775"/>
    <n v="19672.75"/>
    <n v="85.163419913419915"/>
  </r>
  <r>
    <d v="2026-04-25T00:00:00"/>
    <x v="4"/>
    <n v="4"/>
    <x v="0"/>
    <x v="0"/>
    <n v="243"/>
    <n v="243"/>
    <n v="0"/>
    <n v="12"/>
    <n v="0.77884615384615385"/>
    <n v="35"/>
    <n v="30"/>
    <n v="0.8571428571428571"/>
    <n v="10803"/>
    <n v="2308.5"/>
    <n v="5775"/>
    <n v="18886.5"/>
    <n v="77.722222222222229"/>
  </r>
  <r>
    <d v="2026-05-02T00:00:00"/>
    <x v="4"/>
    <n v="5"/>
    <x v="0"/>
    <x v="0"/>
    <n v="248"/>
    <n v="248"/>
    <n v="0"/>
    <n v="14"/>
    <n v="0.68131868131868134"/>
    <n v="35"/>
    <n v="34"/>
    <n v="0.97142857142857142"/>
    <n v="12603.5"/>
    <n v="2356"/>
    <n v="5775"/>
    <n v="20734.5"/>
    <n v="83.60685483870968"/>
  </r>
  <r>
    <d v="2026-05-09T00:00:00"/>
    <x v="4"/>
    <n v="5"/>
    <x v="0"/>
    <x v="0"/>
    <n v="253"/>
    <n v="253"/>
    <n v="0"/>
    <n v="13"/>
    <n v="0.74852071005917165"/>
    <n v="35"/>
    <n v="33"/>
    <n v="0.94285714285714284"/>
    <n v="11703.25"/>
    <n v="2403.5"/>
    <n v="5775"/>
    <n v="19881.75"/>
    <n v="78.583992094861657"/>
  </r>
  <r>
    <d v="2026-05-16T00:00:00"/>
    <x v="4"/>
    <n v="5"/>
    <x v="0"/>
    <x v="0"/>
    <n v="257"/>
    <n v="257"/>
    <n v="0"/>
    <n v="14"/>
    <n v="0.70604395604395609"/>
    <n v="35"/>
    <n v="34"/>
    <n v="0.97142857142857142"/>
    <n v="12603.5"/>
    <n v="2441.5"/>
    <n v="5775"/>
    <n v="20820"/>
    <n v="81.011673151750969"/>
  </r>
  <r>
    <d v="2026-05-23T00:00:00"/>
    <x v="4"/>
    <n v="5"/>
    <x v="0"/>
    <x v="0"/>
    <n v="244"/>
    <n v="244"/>
    <n v="0"/>
    <n v="13"/>
    <n v="0.72189349112426038"/>
    <n v="35"/>
    <n v="33"/>
    <n v="0.94285714285714284"/>
    <n v="11703.25"/>
    <n v="2318"/>
    <n v="5775"/>
    <n v="19796.25"/>
    <n v="81.132172131147541"/>
  </r>
  <r>
    <d v="2026-05-30T00:00:00"/>
    <x v="4"/>
    <n v="5"/>
    <x v="0"/>
    <x v="0"/>
    <n v="245"/>
    <n v="245"/>
    <n v="0"/>
    <n v="13"/>
    <n v="0.7248520710059172"/>
    <n v="35"/>
    <n v="35"/>
    <n v="1"/>
    <n v="11703.25"/>
    <n v="2327.5"/>
    <n v="5775"/>
    <n v="19805.75"/>
    <n v="80.839795918367344"/>
  </r>
  <r>
    <d v="2026-06-06T00:00:00"/>
    <x v="4"/>
    <n v="6"/>
    <x v="0"/>
    <x v="0"/>
    <n v="234"/>
    <n v="234"/>
    <n v="0"/>
    <n v="13"/>
    <n v="0.69230769230769229"/>
    <n v="35"/>
    <n v="34"/>
    <n v="0.97142857142857142"/>
    <n v="11703.25"/>
    <n v="2223"/>
    <n v="5775"/>
    <n v="19701.25"/>
    <n v="84.193376068376068"/>
  </r>
  <r>
    <d v="2026-06-13T00:00:00"/>
    <x v="4"/>
    <n v="6"/>
    <x v="0"/>
    <x v="0"/>
    <n v="223"/>
    <n v="223"/>
    <n v="0"/>
    <n v="12"/>
    <n v="0.71474358974358976"/>
    <n v="35"/>
    <n v="30"/>
    <n v="0.8571428571428571"/>
    <n v="10803"/>
    <n v="2118.5"/>
    <n v="5775"/>
    <n v="18696.5"/>
    <n v="83.840807174887885"/>
  </r>
  <r>
    <d v="2026-06-20T00:00:00"/>
    <x v="4"/>
    <n v="6"/>
    <x v="0"/>
    <x v="0"/>
    <n v="237"/>
    <n v="237"/>
    <n v="0"/>
    <n v="12"/>
    <n v="0.75961538461538458"/>
    <n v="35"/>
    <n v="35"/>
    <n v="1"/>
    <n v="10803"/>
    <n v="2251.5"/>
    <n v="5775"/>
    <n v="18829.5"/>
    <n v="79.449367088607602"/>
  </r>
  <r>
    <d v="2026-06-27T00:00:00"/>
    <x v="4"/>
    <n v="6"/>
    <x v="0"/>
    <x v="0"/>
    <n v="235"/>
    <n v="235"/>
    <n v="0"/>
    <n v="13"/>
    <n v="0.69526627218934911"/>
    <n v="35"/>
    <n v="34"/>
    <n v="0.97142857142857142"/>
    <n v="11703.25"/>
    <n v="2232.5"/>
    <n v="5775"/>
    <n v="19710.75"/>
    <n v="83.875531914893614"/>
  </r>
  <r>
    <d v="2026-07-04T00:00:00"/>
    <x v="4"/>
    <n v="7"/>
    <x v="0"/>
    <x v="0"/>
    <n v="222"/>
    <n v="222"/>
    <n v="0"/>
    <n v="11"/>
    <n v="0.77622377622377625"/>
    <n v="35"/>
    <n v="35"/>
    <n v="1"/>
    <n v="9902.75"/>
    <n v="2109"/>
    <n v="5775"/>
    <n v="17786.75"/>
    <n v="80.12049549549549"/>
  </r>
  <r>
    <d v="2026-07-11T00:00:00"/>
    <x v="4"/>
    <n v="7"/>
    <x v="0"/>
    <x v="0"/>
    <n v="233"/>
    <n v="233"/>
    <n v="0"/>
    <n v="12"/>
    <n v="0.74679487179487181"/>
    <n v="35"/>
    <n v="34"/>
    <n v="0.97142857142857142"/>
    <n v="10803"/>
    <n v="2213.5"/>
    <n v="5775"/>
    <n v="18791.5"/>
    <n v="80.650214592274679"/>
  </r>
  <r>
    <d v="2026-07-18T00:00:00"/>
    <x v="4"/>
    <n v="7"/>
    <x v="0"/>
    <x v="0"/>
    <n v="239"/>
    <n v="239"/>
    <n v="0"/>
    <n v="13"/>
    <n v="0.70710059171597628"/>
    <n v="35"/>
    <n v="34"/>
    <n v="0.97142857142857142"/>
    <n v="11703.25"/>
    <n v="2270.5"/>
    <n v="5775"/>
    <n v="19748.75"/>
    <n v="82.63075313807532"/>
  </r>
  <r>
    <d v="2026-07-25T00:00:00"/>
    <x v="4"/>
    <n v="7"/>
    <x v="0"/>
    <x v="0"/>
    <n v="245"/>
    <n v="245"/>
    <n v="0"/>
    <n v="13"/>
    <n v="0.7248520710059172"/>
    <n v="35"/>
    <n v="35"/>
    <n v="1"/>
    <n v="11703.25"/>
    <n v="2327.5"/>
    <n v="5775"/>
    <n v="19805.75"/>
    <n v="80.839795918367344"/>
  </r>
  <r>
    <d v="2022-08-06T00:00:00"/>
    <x v="0"/>
    <n v="8"/>
    <x v="1"/>
    <x v="0"/>
    <n v="194"/>
    <n v="194"/>
    <n v="0"/>
    <n v="10"/>
    <n v="0.74615384615384617"/>
    <n v="40"/>
    <n v="40"/>
    <n v="1"/>
    <n v="8545"/>
    <n v="1988.5"/>
    <n v="7200"/>
    <n v="17733.5"/>
    <n v="91.409793814432987"/>
  </r>
  <r>
    <d v="2022-08-13T00:00:00"/>
    <x v="0"/>
    <n v="8"/>
    <x v="1"/>
    <x v="0"/>
    <n v="206"/>
    <n v="206"/>
    <n v="0"/>
    <n v="10"/>
    <n v="0.79230769230769227"/>
    <n v="40"/>
    <n v="40"/>
    <n v="1"/>
    <n v="8545"/>
    <n v="2111.5"/>
    <n v="7200"/>
    <n v="17856.5"/>
    <n v="86.682038834951456"/>
  </r>
  <r>
    <d v="2022-08-20T00:00:00"/>
    <x v="0"/>
    <n v="8"/>
    <x v="1"/>
    <x v="0"/>
    <n v="197"/>
    <n v="197"/>
    <n v="0"/>
    <n v="10"/>
    <n v="0.75769230769230766"/>
    <n v="40"/>
    <n v="38"/>
    <n v="0.95"/>
    <n v="8545"/>
    <n v="2019.25"/>
    <n v="7200"/>
    <n v="17764.25"/>
    <n v="90.173857868020306"/>
  </r>
  <r>
    <d v="2022-08-27T00:00:00"/>
    <x v="0"/>
    <n v="8"/>
    <x v="1"/>
    <x v="0"/>
    <n v="194"/>
    <n v="194"/>
    <n v="0"/>
    <n v="10"/>
    <n v="0.74615384615384617"/>
    <n v="40"/>
    <n v="40"/>
    <n v="1"/>
    <n v="8545"/>
    <n v="1988.5"/>
    <n v="7200"/>
    <n v="17733.5"/>
    <n v="91.409793814432987"/>
  </r>
  <r>
    <d v="2022-09-03T00:00:00"/>
    <x v="0"/>
    <n v="9"/>
    <x v="1"/>
    <x v="0"/>
    <n v="181"/>
    <n v="181"/>
    <n v="0"/>
    <n v="10"/>
    <n v="0.69615384615384612"/>
    <n v="40"/>
    <n v="37"/>
    <n v="0.92500000000000004"/>
    <n v="8545"/>
    <n v="1855.25"/>
    <n v="7200"/>
    <n v="17600.25"/>
    <n v="97.238950276243088"/>
  </r>
  <r>
    <d v="2022-09-10T00:00:00"/>
    <x v="0"/>
    <n v="9"/>
    <x v="1"/>
    <x v="0"/>
    <n v="183"/>
    <n v="183"/>
    <n v="0"/>
    <n v="10"/>
    <n v="0.7038461538461539"/>
    <n v="40"/>
    <n v="39"/>
    <n v="0.97499999999999998"/>
    <n v="8545"/>
    <n v="1875.75"/>
    <n v="7200"/>
    <n v="17620.75"/>
    <n v="96.288251366120221"/>
  </r>
  <r>
    <d v="2022-09-17T00:00:00"/>
    <x v="0"/>
    <n v="9"/>
    <x v="1"/>
    <x v="0"/>
    <n v="183"/>
    <n v="183"/>
    <n v="0"/>
    <n v="10"/>
    <n v="0.7038461538461539"/>
    <n v="40"/>
    <n v="39"/>
    <n v="0.97499999999999998"/>
    <n v="8545"/>
    <n v="1875.75"/>
    <n v="7200"/>
    <n v="17620.75"/>
    <n v="96.288251366120221"/>
  </r>
  <r>
    <d v="2022-09-24T00:00:00"/>
    <x v="0"/>
    <n v="9"/>
    <x v="1"/>
    <x v="0"/>
    <n v="175"/>
    <n v="175"/>
    <n v="0"/>
    <n v="10"/>
    <n v="0.67307692307692313"/>
    <n v="40"/>
    <n v="38"/>
    <n v="0.95"/>
    <n v="8545"/>
    <n v="1793.75"/>
    <n v="7200"/>
    <n v="17538.75"/>
    <n v="100.2214285714286"/>
  </r>
  <r>
    <d v="2022-10-01T00:00:00"/>
    <x v="0"/>
    <n v="10"/>
    <x v="1"/>
    <x v="0"/>
    <n v="181"/>
    <n v="181"/>
    <n v="0"/>
    <n v="10"/>
    <n v="0.69615384615384612"/>
    <n v="40"/>
    <n v="36"/>
    <n v="0.9"/>
    <n v="8545"/>
    <n v="1855.25"/>
    <n v="7200"/>
    <n v="17600.25"/>
    <n v="97.238950276243088"/>
  </r>
  <r>
    <d v="2022-10-08T00:00:00"/>
    <x v="0"/>
    <n v="10"/>
    <x v="1"/>
    <x v="0"/>
    <n v="184"/>
    <n v="184"/>
    <n v="0"/>
    <n v="10"/>
    <n v="0.70769230769230773"/>
    <n v="40"/>
    <n v="36"/>
    <n v="0.9"/>
    <n v="8545"/>
    <n v="1886"/>
    <n v="7200"/>
    <n v="17631"/>
    <n v="95.820652173913047"/>
  </r>
  <r>
    <d v="2022-10-15T00:00:00"/>
    <x v="0"/>
    <n v="10"/>
    <x v="1"/>
    <x v="0"/>
    <n v="177"/>
    <n v="177"/>
    <n v="0"/>
    <n v="10"/>
    <n v="0.68076923076923079"/>
    <n v="40"/>
    <n v="38"/>
    <n v="0.95"/>
    <n v="8545"/>
    <n v="1814.25"/>
    <n v="7200"/>
    <n v="17559.25"/>
    <n v="99.204802259887003"/>
  </r>
  <r>
    <d v="2022-10-22T00:00:00"/>
    <x v="0"/>
    <n v="10"/>
    <x v="1"/>
    <x v="0"/>
    <n v="201"/>
    <n v="201"/>
    <n v="0"/>
    <n v="10"/>
    <n v="0.77307692307692311"/>
    <n v="40"/>
    <n v="40"/>
    <n v="1"/>
    <n v="8545"/>
    <n v="2060.25"/>
    <n v="7200"/>
    <n v="17805.25"/>
    <n v="88.583333333333329"/>
  </r>
  <r>
    <d v="2022-10-29T00:00:00"/>
    <x v="0"/>
    <n v="10"/>
    <x v="1"/>
    <x v="0"/>
    <n v="204"/>
    <n v="204"/>
    <n v="0"/>
    <n v="10"/>
    <n v="0.7846153846153846"/>
    <n v="40"/>
    <n v="39"/>
    <n v="0.97499999999999998"/>
    <n v="8545"/>
    <n v="2091"/>
    <n v="7200"/>
    <n v="17836"/>
    <n v="87.431372549019613"/>
  </r>
  <r>
    <d v="2022-11-05T00:00:00"/>
    <x v="0"/>
    <n v="11"/>
    <x v="1"/>
    <x v="0"/>
    <n v="212"/>
    <n v="212"/>
    <n v="0"/>
    <n v="10"/>
    <n v="0.81538461538461537"/>
    <n v="40"/>
    <n v="39"/>
    <n v="0.97499999999999998"/>
    <n v="8545"/>
    <n v="2173"/>
    <n v="7200"/>
    <n v="17918"/>
    <n v="84.518867924528308"/>
  </r>
  <r>
    <d v="2022-11-12T00:00:00"/>
    <x v="0"/>
    <n v="11"/>
    <x v="1"/>
    <x v="0"/>
    <n v="220"/>
    <n v="220"/>
    <n v="0"/>
    <n v="10"/>
    <n v="0.84615384615384615"/>
    <n v="40"/>
    <n v="38"/>
    <n v="0.95"/>
    <n v="8545"/>
    <n v="2255"/>
    <n v="7200"/>
    <n v="18000"/>
    <n v="81.818181818181813"/>
  </r>
  <r>
    <d v="2022-11-19T00:00:00"/>
    <x v="0"/>
    <n v="11"/>
    <x v="1"/>
    <x v="0"/>
    <n v="246"/>
    <n v="246"/>
    <n v="0"/>
    <n v="13"/>
    <n v="0.72781065088757402"/>
    <n v="40"/>
    <n v="39"/>
    <n v="0.97499999999999998"/>
    <n v="11108.5"/>
    <n v="2521.5"/>
    <n v="7200"/>
    <n v="20830"/>
    <n v="84.674796747967477"/>
  </r>
  <r>
    <d v="2022-11-26T00:00:00"/>
    <x v="0"/>
    <n v="11"/>
    <x v="1"/>
    <x v="0"/>
    <n v="267"/>
    <n v="265"/>
    <n v="2"/>
    <n v="12"/>
    <n v="0.84935897435897434"/>
    <n v="40"/>
    <n v="39"/>
    <n v="0.97499999999999998"/>
    <n v="10254"/>
    <n v="2716.25"/>
    <n v="7200"/>
    <n v="20170.25"/>
    <n v="76.114150943396226"/>
  </r>
  <r>
    <d v="2022-12-03T00:00:00"/>
    <x v="0"/>
    <n v="12"/>
    <x v="1"/>
    <x v="0"/>
    <n v="285"/>
    <n v="273"/>
    <n v="14"/>
    <n v="14"/>
    <n v="0.75"/>
    <n v="40"/>
    <n v="40"/>
    <n v="1"/>
    <n v="11963"/>
    <n v="2798.25"/>
    <n v="7200"/>
    <n v="21961.25"/>
    <n v="80.444139194139197"/>
  </r>
  <r>
    <d v="2022-12-10T00:00:00"/>
    <x v="0"/>
    <n v="12"/>
    <x v="1"/>
    <x v="0"/>
    <n v="292"/>
    <n v="285"/>
    <n v="21"/>
    <n v="14"/>
    <n v="0.78296703296703296"/>
    <n v="40"/>
    <n v="38"/>
    <n v="0.95"/>
    <n v="11963"/>
    <n v="2921.25"/>
    <n v="7200"/>
    <n v="22084.25"/>
    <n v="77.488596491228066"/>
  </r>
  <r>
    <d v="2022-12-17T00:00:00"/>
    <x v="0"/>
    <n v="12"/>
    <x v="1"/>
    <x v="0"/>
    <n v="275"/>
    <n v="278"/>
    <n v="18"/>
    <n v="13"/>
    <n v="0.8224852071005917"/>
    <n v="40"/>
    <n v="39"/>
    <n v="0.97499999999999998"/>
    <n v="11108.5"/>
    <n v="2849.5"/>
    <n v="7200"/>
    <n v="21158"/>
    <n v="76.107913669064743"/>
  </r>
  <r>
    <d v="2022-12-24T00:00:00"/>
    <x v="0"/>
    <n v="12"/>
    <x v="1"/>
    <x v="0"/>
    <n v="235"/>
    <n v="249"/>
    <n v="4"/>
    <n v="12"/>
    <n v="0.79807692307692313"/>
    <n v="40"/>
    <n v="39"/>
    <n v="0.97499999999999998"/>
    <n v="10254"/>
    <n v="2552.25"/>
    <n v="7200"/>
    <n v="20006.25"/>
    <n v="80.346385542168676"/>
  </r>
  <r>
    <d v="2022-12-31T00:00:00"/>
    <x v="0"/>
    <n v="12"/>
    <x v="1"/>
    <x v="0"/>
    <n v="198"/>
    <n v="202"/>
    <n v="0"/>
    <n v="10"/>
    <n v="0.77692307692307694"/>
    <n v="40"/>
    <n v="40"/>
    <n v="1"/>
    <n v="8545"/>
    <n v="2070.5"/>
    <n v="7200"/>
    <n v="17815.5"/>
    <n v="88.195544554455452"/>
  </r>
  <r>
    <d v="2023-01-07T00:00:00"/>
    <x v="1"/>
    <n v="1"/>
    <x v="1"/>
    <x v="0"/>
    <n v="170"/>
    <n v="170"/>
    <n v="0"/>
    <n v="10"/>
    <n v="0.65384615384615385"/>
    <n v="40"/>
    <n v="36"/>
    <n v="0.9"/>
    <n v="8545"/>
    <n v="1742.5"/>
    <n v="7200"/>
    <n v="17487.5"/>
    <n v="102.86764705882349"/>
  </r>
  <r>
    <d v="2023-01-14T00:00:00"/>
    <x v="1"/>
    <n v="1"/>
    <x v="1"/>
    <x v="0"/>
    <n v="147"/>
    <n v="147"/>
    <n v="0"/>
    <n v="9"/>
    <n v="0.62820512820512819"/>
    <n v="40"/>
    <n v="37"/>
    <n v="0.92500000000000004"/>
    <n v="7690.5"/>
    <n v="1506.75"/>
    <n v="7200"/>
    <n v="16397.25"/>
    <n v="111.5459183673469"/>
  </r>
  <r>
    <d v="2023-01-21T00:00:00"/>
    <x v="1"/>
    <n v="1"/>
    <x v="1"/>
    <x v="0"/>
    <n v="147"/>
    <n v="147"/>
    <n v="0"/>
    <n v="8"/>
    <n v="0.70673076923076927"/>
    <n v="40"/>
    <n v="37"/>
    <n v="0.92500000000000004"/>
    <n v="6836"/>
    <n v="1506.75"/>
    <n v="7200"/>
    <n v="15542.75"/>
    <n v="105.7329931972789"/>
  </r>
  <r>
    <d v="2023-01-28T00:00:00"/>
    <x v="1"/>
    <n v="1"/>
    <x v="1"/>
    <x v="0"/>
    <n v="163"/>
    <n v="163"/>
    <n v="0"/>
    <n v="10"/>
    <n v="0.62692307692307692"/>
    <n v="40"/>
    <n v="36"/>
    <n v="0.9"/>
    <n v="8545"/>
    <n v="1670.75"/>
    <n v="7200"/>
    <n v="17415.75"/>
    <n v="106.84509202453989"/>
  </r>
  <r>
    <d v="2023-02-04T00:00:00"/>
    <x v="1"/>
    <n v="2"/>
    <x v="1"/>
    <x v="0"/>
    <n v="165"/>
    <n v="165"/>
    <n v="0"/>
    <n v="10"/>
    <n v="0.63461538461538458"/>
    <n v="40"/>
    <n v="38"/>
    <n v="0.95"/>
    <n v="8545"/>
    <n v="1691.25"/>
    <n v="7200"/>
    <n v="17436.25"/>
    <n v="105.67424242424239"/>
  </r>
  <r>
    <d v="2023-02-11T00:00:00"/>
    <x v="1"/>
    <n v="2"/>
    <x v="1"/>
    <x v="0"/>
    <n v="170"/>
    <n v="170"/>
    <n v="0"/>
    <n v="10"/>
    <n v="0.65384615384615385"/>
    <n v="40"/>
    <n v="38"/>
    <n v="0.95"/>
    <n v="8545"/>
    <n v="1742.5"/>
    <n v="7200"/>
    <n v="17487.5"/>
    <n v="102.86764705882349"/>
  </r>
  <r>
    <d v="2023-02-18T00:00:00"/>
    <x v="1"/>
    <n v="2"/>
    <x v="1"/>
    <x v="0"/>
    <n v="176"/>
    <n v="176"/>
    <n v="0"/>
    <n v="10"/>
    <n v="0.67692307692307696"/>
    <n v="40"/>
    <n v="39"/>
    <n v="0.97499999999999998"/>
    <n v="8545"/>
    <n v="1804"/>
    <n v="7200"/>
    <n v="17549"/>
    <n v="99.710227272727266"/>
  </r>
  <r>
    <d v="2023-02-25T00:00:00"/>
    <x v="1"/>
    <n v="2"/>
    <x v="1"/>
    <x v="0"/>
    <n v="177"/>
    <n v="177"/>
    <n v="0"/>
    <n v="10"/>
    <n v="0.68076923076923079"/>
    <n v="40"/>
    <n v="38"/>
    <n v="0.95"/>
    <n v="8545"/>
    <n v="1814.25"/>
    <n v="7200"/>
    <n v="17559.25"/>
    <n v="99.204802259887003"/>
  </r>
  <r>
    <d v="2023-03-04T00:00:00"/>
    <x v="1"/>
    <n v="3"/>
    <x v="1"/>
    <x v="0"/>
    <n v="188"/>
    <n v="188"/>
    <n v="0"/>
    <n v="10"/>
    <n v="0.72307692307692306"/>
    <n v="40"/>
    <n v="37"/>
    <n v="0.92500000000000004"/>
    <n v="8545"/>
    <n v="1927"/>
    <n v="7200"/>
    <n v="17672"/>
    <n v="94"/>
  </r>
  <r>
    <d v="2023-03-11T00:00:00"/>
    <x v="1"/>
    <n v="3"/>
    <x v="1"/>
    <x v="0"/>
    <n v="191"/>
    <n v="191"/>
    <n v="0"/>
    <n v="10"/>
    <n v="0.73461538461538467"/>
    <n v="40"/>
    <n v="38"/>
    <n v="0.95"/>
    <n v="8545"/>
    <n v="1957.75"/>
    <n v="7200"/>
    <n v="17702.75"/>
    <n v="92.684554973821989"/>
  </r>
  <r>
    <d v="2023-03-18T00:00:00"/>
    <x v="1"/>
    <n v="3"/>
    <x v="1"/>
    <x v="0"/>
    <n v="189"/>
    <n v="189"/>
    <n v="0"/>
    <n v="10"/>
    <n v="0.72692307692307689"/>
    <n v="40"/>
    <n v="40"/>
    <n v="1"/>
    <n v="8545"/>
    <n v="1937.25"/>
    <n v="7200"/>
    <n v="17682.25"/>
    <n v="93.556878306878303"/>
  </r>
  <r>
    <d v="2023-03-25T00:00:00"/>
    <x v="1"/>
    <n v="3"/>
    <x v="1"/>
    <x v="0"/>
    <n v="192"/>
    <n v="192"/>
    <n v="0"/>
    <n v="10"/>
    <n v="0.7384615384615385"/>
    <n v="40"/>
    <n v="38"/>
    <n v="0.95"/>
    <n v="8545"/>
    <n v="1968"/>
    <n v="7200"/>
    <n v="17713"/>
    <n v="92.255208333333329"/>
  </r>
  <r>
    <d v="2023-04-01T00:00:00"/>
    <x v="1"/>
    <n v="4"/>
    <x v="1"/>
    <x v="0"/>
    <n v="196"/>
    <n v="196"/>
    <n v="0"/>
    <n v="10"/>
    <n v="0.75384615384615383"/>
    <n v="40"/>
    <n v="37"/>
    <n v="0.92500000000000004"/>
    <n v="8545"/>
    <n v="2009"/>
    <n v="7200"/>
    <n v="17754"/>
    <n v="90.58163265306122"/>
  </r>
  <r>
    <d v="2023-04-08T00:00:00"/>
    <x v="1"/>
    <n v="4"/>
    <x v="1"/>
    <x v="0"/>
    <n v="189"/>
    <n v="189"/>
    <n v="0"/>
    <n v="10"/>
    <n v="0.72692307692307689"/>
    <n v="40"/>
    <n v="39"/>
    <n v="0.97499999999999998"/>
    <n v="8545"/>
    <n v="1937.25"/>
    <n v="7200"/>
    <n v="17682.25"/>
    <n v="93.556878306878303"/>
  </r>
  <r>
    <d v="2023-04-15T00:00:00"/>
    <x v="1"/>
    <n v="4"/>
    <x v="1"/>
    <x v="0"/>
    <n v="194"/>
    <n v="194"/>
    <n v="0"/>
    <n v="10"/>
    <n v="0.74615384615384617"/>
    <n v="40"/>
    <n v="39"/>
    <n v="0.97499999999999998"/>
    <n v="8545"/>
    <n v="1988.5"/>
    <n v="7200"/>
    <n v="17733.5"/>
    <n v="91.409793814432987"/>
  </r>
  <r>
    <d v="2023-04-22T00:00:00"/>
    <x v="1"/>
    <n v="4"/>
    <x v="1"/>
    <x v="0"/>
    <n v="207"/>
    <n v="207"/>
    <n v="0"/>
    <n v="10"/>
    <n v="0.7961538461538461"/>
    <n v="43"/>
    <n v="43"/>
    <n v="1"/>
    <n v="8545"/>
    <n v="2121.75"/>
    <n v="7740"/>
    <n v="18406.75"/>
    <n v="88.921497584541058"/>
  </r>
  <r>
    <d v="2023-04-29T00:00:00"/>
    <x v="1"/>
    <n v="4"/>
    <x v="1"/>
    <x v="0"/>
    <n v="195"/>
    <n v="195"/>
    <n v="0"/>
    <n v="10"/>
    <n v="0.75"/>
    <n v="43"/>
    <n v="42"/>
    <n v="0.97674418604651159"/>
    <n v="8545"/>
    <n v="1998.75"/>
    <n v="7740"/>
    <n v="18283.75"/>
    <n v="93.762820512820511"/>
  </r>
  <r>
    <d v="2023-05-06T00:00:00"/>
    <x v="1"/>
    <n v="5"/>
    <x v="1"/>
    <x v="0"/>
    <n v="218"/>
    <n v="218"/>
    <n v="0"/>
    <n v="11"/>
    <n v="0.76223776223776218"/>
    <n v="43"/>
    <n v="43"/>
    <n v="1"/>
    <n v="9399.5"/>
    <n v="2234.5"/>
    <n v="7740"/>
    <n v="19374"/>
    <n v="88.871559633027516"/>
  </r>
  <r>
    <d v="2023-05-13T00:00:00"/>
    <x v="1"/>
    <n v="5"/>
    <x v="1"/>
    <x v="0"/>
    <n v="212"/>
    <n v="212"/>
    <n v="0"/>
    <n v="10"/>
    <n v="0.81538461538461537"/>
    <n v="43"/>
    <n v="41"/>
    <n v="0.95348837209302328"/>
    <n v="8545"/>
    <n v="2173"/>
    <n v="7740"/>
    <n v="18458"/>
    <n v="87.066037735849051"/>
  </r>
  <r>
    <d v="2023-05-20T00:00:00"/>
    <x v="1"/>
    <n v="5"/>
    <x v="1"/>
    <x v="0"/>
    <n v="200"/>
    <n v="200"/>
    <n v="0"/>
    <n v="10"/>
    <n v="0.76923076923076927"/>
    <n v="43"/>
    <n v="42"/>
    <n v="0.97674418604651159"/>
    <n v="8545"/>
    <n v="2050"/>
    <n v="7740"/>
    <n v="18335"/>
    <n v="91.674999999999997"/>
  </r>
  <r>
    <d v="2023-05-27T00:00:00"/>
    <x v="1"/>
    <n v="5"/>
    <x v="1"/>
    <x v="0"/>
    <n v="207"/>
    <n v="207"/>
    <n v="0"/>
    <n v="10"/>
    <n v="0.7961538461538461"/>
    <n v="43"/>
    <n v="40"/>
    <n v="0.93023255813953487"/>
    <n v="8545"/>
    <n v="2121.75"/>
    <n v="7740"/>
    <n v="18406.75"/>
    <n v="88.921497584541058"/>
  </r>
  <r>
    <d v="2023-06-03T00:00:00"/>
    <x v="1"/>
    <n v="6"/>
    <x v="1"/>
    <x v="0"/>
    <n v="208"/>
    <n v="208"/>
    <n v="0"/>
    <n v="10"/>
    <n v="0.8"/>
    <n v="43"/>
    <n v="42"/>
    <n v="0.97674418604651159"/>
    <n v="8545"/>
    <n v="2132"/>
    <n v="7740"/>
    <n v="18417"/>
    <n v="88.543269230769226"/>
  </r>
  <r>
    <d v="2023-06-10T00:00:00"/>
    <x v="1"/>
    <n v="6"/>
    <x v="1"/>
    <x v="0"/>
    <n v="210"/>
    <n v="210"/>
    <n v="0"/>
    <n v="10"/>
    <n v="0.80769230769230771"/>
    <n v="43"/>
    <n v="41"/>
    <n v="0.95348837209302328"/>
    <n v="8545"/>
    <n v="2152.5"/>
    <n v="7740"/>
    <n v="18437.5"/>
    <n v="87.797619047619051"/>
  </r>
  <r>
    <d v="2023-06-17T00:00:00"/>
    <x v="1"/>
    <n v="6"/>
    <x v="1"/>
    <x v="0"/>
    <n v="213"/>
    <n v="213"/>
    <n v="0"/>
    <n v="10"/>
    <n v="0.81923076923076921"/>
    <n v="43"/>
    <n v="37"/>
    <n v="0.86046511627906974"/>
    <n v="8545"/>
    <n v="2183.25"/>
    <n v="7740"/>
    <n v="18468.25"/>
    <n v="86.705399061032864"/>
  </r>
  <r>
    <d v="2023-06-24T00:00:00"/>
    <x v="1"/>
    <n v="6"/>
    <x v="1"/>
    <x v="0"/>
    <n v="209"/>
    <n v="209"/>
    <n v="0"/>
    <n v="10"/>
    <n v="0.80384615384615388"/>
    <n v="43"/>
    <n v="41"/>
    <n v="0.95348837209302328"/>
    <n v="8545"/>
    <n v="2142.25"/>
    <n v="7740"/>
    <n v="18427.25"/>
    <n v="88.168660287081337"/>
  </r>
  <r>
    <d v="2023-07-01T00:00:00"/>
    <x v="1"/>
    <n v="7"/>
    <x v="1"/>
    <x v="0"/>
    <n v="204"/>
    <n v="204"/>
    <n v="0"/>
    <n v="10"/>
    <n v="0.7846153846153846"/>
    <n v="43"/>
    <n v="39"/>
    <n v="0.90697674418604646"/>
    <n v="8545"/>
    <n v="2091"/>
    <n v="7740"/>
    <n v="18376"/>
    <n v="90.078431372549019"/>
  </r>
  <r>
    <d v="2023-07-08T00:00:00"/>
    <x v="1"/>
    <n v="7"/>
    <x v="1"/>
    <x v="0"/>
    <n v="208"/>
    <n v="208"/>
    <n v="0"/>
    <n v="10"/>
    <n v="0.8"/>
    <n v="43"/>
    <n v="42"/>
    <n v="0.97674418604651159"/>
    <n v="8545"/>
    <n v="2132"/>
    <n v="7740"/>
    <n v="18417"/>
    <n v="88.543269230769226"/>
  </r>
  <r>
    <d v="2023-07-15T00:00:00"/>
    <x v="1"/>
    <n v="7"/>
    <x v="1"/>
    <x v="0"/>
    <n v="201"/>
    <n v="201"/>
    <n v="0"/>
    <n v="10"/>
    <n v="0.77307692307692311"/>
    <n v="43"/>
    <n v="43"/>
    <n v="1"/>
    <n v="8545"/>
    <n v="2060.25"/>
    <n v="7740"/>
    <n v="18345.25"/>
    <n v="91.269900497512438"/>
  </r>
  <r>
    <d v="2023-07-22T00:00:00"/>
    <x v="1"/>
    <n v="7"/>
    <x v="1"/>
    <x v="0"/>
    <n v="208"/>
    <n v="208"/>
    <n v="0"/>
    <n v="10"/>
    <n v="0.8"/>
    <n v="43"/>
    <n v="43"/>
    <n v="1"/>
    <n v="8545"/>
    <n v="2132"/>
    <n v="7740"/>
    <n v="18417"/>
    <n v="88.543269230769226"/>
  </r>
  <r>
    <d v="2023-07-29T00:00:00"/>
    <x v="1"/>
    <n v="7"/>
    <x v="1"/>
    <x v="0"/>
    <n v="206"/>
    <n v="206"/>
    <n v="0"/>
    <n v="10"/>
    <n v="0.79230769230769227"/>
    <n v="43"/>
    <n v="42"/>
    <n v="0.97674418604651159"/>
    <n v="8545"/>
    <n v="2111.5"/>
    <n v="7740"/>
    <n v="18396.5"/>
    <n v="89.303398058252426"/>
  </r>
  <r>
    <d v="2023-08-05T00:00:00"/>
    <x v="1"/>
    <n v="8"/>
    <x v="1"/>
    <x v="0"/>
    <n v="226"/>
    <n v="226"/>
    <n v="0"/>
    <n v="11"/>
    <n v="0.79020979020979021"/>
    <n v="43"/>
    <n v="39"/>
    <n v="0.90697674418604646"/>
    <n v="9399.5"/>
    <n v="2316.5"/>
    <n v="7740"/>
    <n v="19456"/>
    <n v="86.088495575221245"/>
  </r>
  <r>
    <d v="2023-08-12T00:00:00"/>
    <x v="1"/>
    <n v="8"/>
    <x v="1"/>
    <x v="0"/>
    <n v="210"/>
    <n v="210"/>
    <n v="0"/>
    <n v="10"/>
    <n v="0.80769230769230771"/>
    <n v="43"/>
    <n v="43"/>
    <n v="1"/>
    <n v="8545"/>
    <n v="2152.5"/>
    <n v="7740"/>
    <n v="18437.5"/>
    <n v="87.797619047619051"/>
  </r>
  <r>
    <d v="2023-08-19T00:00:00"/>
    <x v="1"/>
    <n v="8"/>
    <x v="1"/>
    <x v="0"/>
    <n v="217"/>
    <n v="217"/>
    <n v="0"/>
    <n v="10"/>
    <n v="0.83461538461538465"/>
    <n v="43"/>
    <n v="42"/>
    <n v="0.97674418604651159"/>
    <n v="8545"/>
    <n v="2224.25"/>
    <n v="7740"/>
    <n v="18509.25"/>
    <n v="85.296082949308754"/>
  </r>
  <r>
    <d v="2023-08-26T00:00:00"/>
    <x v="1"/>
    <n v="8"/>
    <x v="1"/>
    <x v="0"/>
    <n v="211"/>
    <n v="211"/>
    <n v="0"/>
    <n v="11"/>
    <n v="0.73776223776223782"/>
    <n v="43"/>
    <n v="41"/>
    <n v="0.95348837209302328"/>
    <n v="9399.5"/>
    <n v="2162.75"/>
    <n v="7740"/>
    <n v="19302.25"/>
    <n v="91.47985781990522"/>
  </r>
  <r>
    <d v="2023-09-02T00:00:00"/>
    <x v="1"/>
    <n v="9"/>
    <x v="1"/>
    <x v="0"/>
    <n v="202"/>
    <n v="202"/>
    <n v="0"/>
    <n v="10"/>
    <n v="0.77692307692307694"/>
    <n v="43"/>
    <n v="40"/>
    <n v="0.93023255813953487"/>
    <n v="8545"/>
    <n v="2070.5"/>
    <n v="7740"/>
    <n v="18355.5"/>
    <n v="90.868811881188122"/>
  </r>
  <r>
    <d v="2023-09-09T00:00:00"/>
    <x v="1"/>
    <n v="9"/>
    <x v="1"/>
    <x v="0"/>
    <n v="206"/>
    <n v="206"/>
    <n v="0"/>
    <n v="10"/>
    <n v="0.79230769230769227"/>
    <n v="43"/>
    <n v="41"/>
    <n v="0.95348837209302328"/>
    <n v="8545"/>
    <n v="2111.5"/>
    <n v="7740"/>
    <n v="18396.5"/>
    <n v="89.303398058252426"/>
  </r>
  <r>
    <d v="2023-09-16T00:00:00"/>
    <x v="1"/>
    <n v="9"/>
    <x v="1"/>
    <x v="0"/>
    <n v="198"/>
    <n v="198"/>
    <n v="0"/>
    <n v="10"/>
    <n v="0.7615384615384615"/>
    <n v="43"/>
    <n v="43"/>
    <n v="1"/>
    <n v="8545"/>
    <n v="2029.5"/>
    <n v="7740"/>
    <n v="18314.5"/>
    <n v="92.497474747474755"/>
  </r>
  <r>
    <d v="2023-09-23T00:00:00"/>
    <x v="1"/>
    <n v="9"/>
    <x v="1"/>
    <x v="0"/>
    <n v="198"/>
    <n v="198"/>
    <n v="0"/>
    <n v="10"/>
    <n v="0.7615384615384615"/>
    <n v="43"/>
    <n v="42"/>
    <n v="0.97674418604651159"/>
    <n v="8545"/>
    <n v="2029.5"/>
    <n v="7740"/>
    <n v="18314.5"/>
    <n v="92.497474747474755"/>
  </r>
  <r>
    <d v="2023-09-30T00:00:00"/>
    <x v="1"/>
    <n v="9"/>
    <x v="1"/>
    <x v="0"/>
    <n v="198"/>
    <n v="198"/>
    <n v="0"/>
    <n v="10"/>
    <n v="0.7615384615384615"/>
    <n v="43"/>
    <n v="43"/>
    <n v="1"/>
    <n v="8545"/>
    <n v="2029.5"/>
    <n v="7740"/>
    <n v="18314.5"/>
    <n v="92.497474747474755"/>
  </r>
  <r>
    <d v="2023-10-07T00:00:00"/>
    <x v="1"/>
    <n v="10"/>
    <x v="1"/>
    <x v="0"/>
    <n v="189"/>
    <n v="189"/>
    <n v="0"/>
    <n v="10"/>
    <n v="0.72692307692307689"/>
    <n v="43"/>
    <n v="43"/>
    <n v="1"/>
    <n v="8545"/>
    <n v="1937.25"/>
    <n v="7740"/>
    <n v="18222.25"/>
    <n v="96.414021164021165"/>
  </r>
  <r>
    <d v="2023-10-14T00:00:00"/>
    <x v="1"/>
    <n v="10"/>
    <x v="1"/>
    <x v="0"/>
    <n v="202"/>
    <n v="202"/>
    <n v="0"/>
    <n v="10"/>
    <n v="0.77692307692307694"/>
    <n v="43"/>
    <n v="42"/>
    <n v="0.97674418604651159"/>
    <n v="8545"/>
    <n v="2070.5"/>
    <n v="7740"/>
    <n v="18355.5"/>
    <n v="90.868811881188122"/>
  </r>
  <r>
    <d v="2023-10-21T00:00:00"/>
    <x v="1"/>
    <n v="10"/>
    <x v="1"/>
    <x v="0"/>
    <n v="220"/>
    <n v="220"/>
    <n v="0"/>
    <n v="12"/>
    <n v="0.70512820512820518"/>
    <n v="43"/>
    <n v="42"/>
    <n v="0.97674418604651159"/>
    <n v="10254"/>
    <n v="2255"/>
    <n v="7740"/>
    <n v="20249"/>
    <n v="92.040909090909096"/>
  </r>
  <r>
    <d v="2023-10-28T00:00:00"/>
    <x v="1"/>
    <n v="10"/>
    <x v="1"/>
    <x v="0"/>
    <n v="222"/>
    <n v="222"/>
    <n v="0"/>
    <n v="11"/>
    <n v="0.77622377622377625"/>
    <n v="43"/>
    <n v="42"/>
    <n v="0.97674418604651159"/>
    <n v="9399.5"/>
    <n v="2275.5"/>
    <n v="7740"/>
    <n v="19415"/>
    <n v="87.454954954954957"/>
  </r>
  <r>
    <d v="2023-11-04T00:00:00"/>
    <x v="1"/>
    <n v="11"/>
    <x v="1"/>
    <x v="0"/>
    <n v="233"/>
    <n v="233"/>
    <n v="0"/>
    <n v="11"/>
    <n v="0.81468531468531469"/>
    <n v="43"/>
    <n v="42"/>
    <n v="0.97674418604651159"/>
    <n v="9399.5"/>
    <n v="2388.25"/>
    <n v="7740"/>
    <n v="19527.75"/>
    <n v="83.810085836909877"/>
  </r>
  <r>
    <d v="2023-11-11T00:00:00"/>
    <x v="1"/>
    <n v="11"/>
    <x v="1"/>
    <x v="0"/>
    <n v="250"/>
    <n v="250"/>
    <n v="0"/>
    <n v="11"/>
    <n v="0.87412587412587417"/>
    <n v="43"/>
    <n v="42"/>
    <n v="0.97674418604651159"/>
    <n v="9399.5"/>
    <n v="2562.5"/>
    <n v="7740"/>
    <n v="19702"/>
    <n v="78.808000000000007"/>
  </r>
  <r>
    <d v="2023-11-18T00:00:00"/>
    <x v="1"/>
    <n v="11"/>
    <x v="1"/>
    <x v="0"/>
    <n v="268"/>
    <n v="266"/>
    <n v="2"/>
    <n v="13"/>
    <n v="0.78698224852071008"/>
    <n v="43"/>
    <n v="42"/>
    <n v="0.97674418604651159"/>
    <n v="11108.5"/>
    <n v="2726.5"/>
    <n v="7740"/>
    <n v="21575"/>
    <n v="81.109022556390983"/>
  </r>
  <r>
    <d v="2023-11-25T00:00:00"/>
    <x v="1"/>
    <n v="11"/>
    <x v="1"/>
    <x v="0"/>
    <n v="283"/>
    <n v="281"/>
    <n v="4"/>
    <n v="15"/>
    <n v="0.72051282051282051"/>
    <n v="43"/>
    <n v="41"/>
    <n v="0.95348837209302328"/>
    <n v="12817.5"/>
    <n v="2880.25"/>
    <n v="7740"/>
    <n v="23437.75"/>
    <n v="83.408362989323848"/>
  </r>
  <r>
    <d v="2023-12-02T00:00:00"/>
    <x v="1"/>
    <n v="12"/>
    <x v="1"/>
    <x v="0"/>
    <n v="299"/>
    <n v="294"/>
    <n v="9"/>
    <n v="16"/>
    <n v="0.70673076923076927"/>
    <n v="43"/>
    <n v="41"/>
    <n v="0.95348837209302328"/>
    <n v="13672"/>
    <n v="3013.5"/>
    <n v="7740"/>
    <n v="24425.5"/>
    <n v="83.079931972789112"/>
  </r>
  <r>
    <d v="2023-12-09T00:00:00"/>
    <x v="1"/>
    <n v="12"/>
    <x v="1"/>
    <x v="0"/>
    <n v="328"/>
    <n v="309"/>
    <n v="28"/>
    <n v="16"/>
    <n v="0.74278846153846156"/>
    <n v="43"/>
    <n v="41"/>
    <n v="0.95348837209302328"/>
    <n v="13672"/>
    <n v="3167.25"/>
    <n v="7740"/>
    <n v="24579.25"/>
    <n v="79.54449838187702"/>
  </r>
  <r>
    <d v="2023-12-16T00:00:00"/>
    <x v="1"/>
    <n v="12"/>
    <x v="1"/>
    <x v="0"/>
    <n v="312"/>
    <n v="309"/>
    <n v="31"/>
    <n v="17"/>
    <n v="0.69909502262443435"/>
    <n v="43"/>
    <n v="40"/>
    <n v="0.93023255813953487"/>
    <n v="14526.5"/>
    <n v="3167.25"/>
    <n v="7740"/>
    <n v="25433.75"/>
    <n v="82.309870550161818"/>
  </r>
  <r>
    <d v="2023-12-23T00:00:00"/>
    <x v="1"/>
    <n v="12"/>
    <x v="1"/>
    <x v="0"/>
    <n v="280"/>
    <n v="294"/>
    <n v="17"/>
    <n v="15"/>
    <n v="0.75384615384615383"/>
    <n v="43"/>
    <n v="41"/>
    <n v="0.95348837209302328"/>
    <n v="12817.5"/>
    <n v="3013.5"/>
    <n v="7740"/>
    <n v="23571"/>
    <n v="80.173469387755105"/>
  </r>
  <r>
    <d v="2023-12-30T00:00:00"/>
    <x v="1"/>
    <n v="12"/>
    <x v="1"/>
    <x v="0"/>
    <n v="230"/>
    <n v="243"/>
    <n v="4"/>
    <n v="12"/>
    <n v="0.77884615384615385"/>
    <n v="43"/>
    <n v="43"/>
    <n v="1"/>
    <n v="10254"/>
    <n v="2490.75"/>
    <n v="7740"/>
    <n v="20484.75"/>
    <n v="84.299382716049379"/>
  </r>
  <r>
    <d v="2024-01-06T00:00:00"/>
    <x v="2"/>
    <n v="1"/>
    <x v="1"/>
    <x v="0"/>
    <n v="197"/>
    <n v="201"/>
    <n v="0"/>
    <n v="10"/>
    <n v="0.77307692307692311"/>
    <n v="43"/>
    <n v="41"/>
    <n v="0.95348837209302328"/>
    <n v="8545"/>
    <n v="2060.25"/>
    <n v="7740"/>
    <n v="18345.25"/>
    <n v="91.269900497512438"/>
  </r>
  <r>
    <d v="2024-01-13T00:00:00"/>
    <x v="2"/>
    <n v="1"/>
    <x v="1"/>
    <x v="0"/>
    <n v="156"/>
    <n v="156"/>
    <n v="0"/>
    <n v="10"/>
    <n v="0.6"/>
    <n v="43"/>
    <n v="37"/>
    <n v="0.86046511627906974"/>
    <n v="8545"/>
    <n v="1599"/>
    <n v="7740"/>
    <n v="17884"/>
    <n v="114.64102564102561"/>
  </r>
  <r>
    <d v="2024-01-20T00:00:00"/>
    <x v="2"/>
    <n v="1"/>
    <x v="1"/>
    <x v="0"/>
    <n v="160"/>
    <n v="160"/>
    <n v="0"/>
    <n v="10"/>
    <n v="0.61538461538461542"/>
    <n v="43"/>
    <n v="38"/>
    <n v="0.88372093023255816"/>
    <n v="8545"/>
    <n v="1640"/>
    <n v="7740"/>
    <n v="17925"/>
    <n v="112.03125"/>
  </r>
  <r>
    <d v="2024-01-27T00:00:00"/>
    <x v="2"/>
    <n v="1"/>
    <x v="1"/>
    <x v="0"/>
    <n v="182"/>
    <n v="182"/>
    <n v="0"/>
    <n v="10"/>
    <n v="0.7"/>
    <n v="43"/>
    <n v="39"/>
    <n v="0.90697674418604646"/>
    <n v="8545"/>
    <n v="1865.5"/>
    <n v="7740"/>
    <n v="18150.5"/>
    <n v="99.728021978021971"/>
  </r>
  <r>
    <d v="2024-02-03T00:00:00"/>
    <x v="2"/>
    <n v="2"/>
    <x v="1"/>
    <x v="0"/>
    <n v="180"/>
    <n v="180"/>
    <n v="0"/>
    <n v="10"/>
    <n v="0.69230769230769229"/>
    <n v="43"/>
    <n v="38"/>
    <n v="0.88372093023255816"/>
    <n v="8545"/>
    <n v="1845"/>
    <n v="7740"/>
    <n v="18130"/>
    <n v="100.7222222222222"/>
  </r>
  <r>
    <d v="2024-02-10T00:00:00"/>
    <x v="2"/>
    <n v="2"/>
    <x v="1"/>
    <x v="0"/>
    <n v="194"/>
    <n v="194"/>
    <n v="0"/>
    <n v="10"/>
    <n v="0.74615384615384617"/>
    <n v="43"/>
    <n v="40"/>
    <n v="0.93023255813953487"/>
    <n v="8545"/>
    <n v="1988.5"/>
    <n v="7740"/>
    <n v="18273.5"/>
    <n v="94.19329896907216"/>
  </r>
  <r>
    <d v="2024-02-17T00:00:00"/>
    <x v="2"/>
    <n v="2"/>
    <x v="1"/>
    <x v="0"/>
    <n v="202"/>
    <n v="202"/>
    <n v="0"/>
    <n v="10"/>
    <n v="0.77692307692307694"/>
    <n v="43"/>
    <n v="42"/>
    <n v="0.97674418604651159"/>
    <n v="8545"/>
    <n v="2070.5"/>
    <n v="7740"/>
    <n v="18355.5"/>
    <n v="90.868811881188122"/>
  </r>
  <r>
    <d v="2024-02-24T00:00:00"/>
    <x v="2"/>
    <n v="2"/>
    <x v="1"/>
    <x v="0"/>
    <n v="192"/>
    <n v="192"/>
    <n v="0"/>
    <n v="10"/>
    <n v="0.7384615384615385"/>
    <n v="43"/>
    <n v="43"/>
    <n v="1"/>
    <n v="8545"/>
    <n v="1968"/>
    <n v="7740"/>
    <n v="18253"/>
    <n v="95.067708333333329"/>
  </r>
  <r>
    <d v="2024-03-02T00:00:00"/>
    <x v="2"/>
    <n v="3"/>
    <x v="1"/>
    <x v="0"/>
    <n v="200"/>
    <n v="200"/>
    <n v="0"/>
    <n v="10"/>
    <n v="0.76923076923076927"/>
    <n v="43"/>
    <n v="41"/>
    <n v="0.95348837209302328"/>
    <n v="8545"/>
    <n v="2050"/>
    <n v="7740"/>
    <n v="18335"/>
    <n v="91.674999999999997"/>
  </r>
  <r>
    <d v="2024-03-09T00:00:00"/>
    <x v="2"/>
    <n v="3"/>
    <x v="1"/>
    <x v="0"/>
    <n v="206"/>
    <n v="206"/>
    <n v="0"/>
    <n v="10"/>
    <n v="0.79230769230769227"/>
    <n v="43"/>
    <n v="42"/>
    <n v="0.97674418604651159"/>
    <n v="8545"/>
    <n v="2111.5"/>
    <n v="7740"/>
    <n v="18396.5"/>
    <n v="89.303398058252426"/>
  </r>
  <r>
    <d v="2024-03-16T00:00:00"/>
    <x v="2"/>
    <n v="3"/>
    <x v="1"/>
    <x v="0"/>
    <n v="201"/>
    <n v="201"/>
    <n v="0"/>
    <n v="10"/>
    <n v="0.77307692307692311"/>
    <n v="43"/>
    <n v="39"/>
    <n v="0.90697674418604646"/>
    <n v="8545"/>
    <n v="2060.25"/>
    <n v="7740"/>
    <n v="18345.25"/>
    <n v="91.269900497512438"/>
  </r>
  <r>
    <d v="2024-03-23T00:00:00"/>
    <x v="2"/>
    <n v="3"/>
    <x v="1"/>
    <x v="0"/>
    <n v="214"/>
    <n v="214"/>
    <n v="0"/>
    <n v="10"/>
    <n v="0.82307692307692304"/>
    <n v="43"/>
    <n v="43"/>
    <n v="1"/>
    <n v="8545"/>
    <n v="2193.5"/>
    <n v="7740"/>
    <n v="18478.5"/>
    <n v="86.348130841121488"/>
  </r>
  <r>
    <d v="2024-03-30T00:00:00"/>
    <x v="2"/>
    <n v="3"/>
    <x v="1"/>
    <x v="0"/>
    <n v="201"/>
    <n v="201"/>
    <n v="0"/>
    <n v="10"/>
    <n v="0.77307692307692311"/>
    <n v="43"/>
    <n v="41"/>
    <n v="0.95348837209302328"/>
    <n v="8545"/>
    <n v="2060.25"/>
    <n v="7740"/>
    <n v="18345.25"/>
    <n v="91.269900497512438"/>
  </r>
  <r>
    <d v="2024-04-06T00:00:00"/>
    <x v="2"/>
    <n v="4"/>
    <x v="1"/>
    <x v="0"/>
    <n v="200"/>
    <n v="200"/>
    <n v="0"/>
    <n v="10"/>
    <n v="0.76923076923076927"/>
    <n v="43"/>
    <n v="43"/>
    <n v="1"/>
    <n v="8545"/>
    <n v="2050"/>
    <n v="7740"/>
    <n v="18335"/>
    <n v="91.674999999999997"/>
  </r>
  <r>
    <d v="2024-04-13T00:00:00"/>
    <x v="2"/>
    <n v="4"/>
    <x v="1"/>
    <x v="0"/>
    <n v="201"/>
    <n v="201"/>
    <n v="0"/>
    <n v="10"/>
    <n v="0.77307692307692311"/>
    <n v="43"/>
    <n v="40"/>
    <n v="0.93023255813953487"/>
    <n v="8545"/>
    <n v="2060.25"/>
    <n v="7740"/>
    <n v="18345.25"/>
    <n v="91.269900497512438"/>
  </r>
  <r>
    <d v="2024-04-20T00:00:00"/>
    <x v="2"/>
    <n v="4"/>
    <x v="1"/>
    <x v="0"/>
    <n v="207"/>
    <n v="207"/>
    <n v="0"/>
    <n v="10"/>
    <n v="0.7961538461538461"/>
    <n v="43"/>
    <n v="41"/>
    <n v="0.95348837209302328"/>
    <n v="8545"/>
    <n v="2121.75"/>
    <n v="7740"/>
    <n v="18406.75"/>
    <n v="88.921497584541058"/>
  </r>
  <r>
    <d v="2024-04-27T00:00:00"/>
    <x v="2"/>
    <n v="4"/>
    <x v="1"/>
    <x v="0"/>
    <n v="215"/>
    <n v="215"/>
    <n v="0"/>
    <n v="10"/>
    <n v="0.82692307692307687"/>
    <n v="43"/>
    <n v="43"/>
    <n v="1"/>
    <n v="8545"/>
    <n v="2203.75"/>
    <n v="7740"/>
    <n v="18488.75"/>
    <n v="85.994186046511629"/>
  </r>
  <r>
    <d v="2024-05-04T00:00:00"/>
    <x v="2"/>
    <n v="5"/>
    <x v="1"/>
    <x v="0"/>
    <n v="234"/>
    <n v="234"/>
    <n v="0"/>
    <n v="11"/>
    <n v="0.81818181818181823"/>
    <n v="43"/>
    <n v="42"/>
    <n v="0.97674418604651159"/>
    <n v="9399.5"/>
    <n v="2398.5"/>
    <n v="7740"/>
    <n v="19538"/>
    <n v="83.495726495726501"/>
  </r>
  <r>
    <d v="2024-05-11T00:00:00"/>
    <x v="2"/>
    <n v="5"/>
    <x v="1"/>
    <x v="0"/>
    <n v="212"/>
    <n v="212"/>
    <n v="0"/>
    <n v="10"/>
    <n v="0.81538461538461537"/>
    <n v="43"/>
    <n v="41"/>
    <n v="0.95348837209302328"/>
    <n v="8545"/>
    <n v="2173"/>
    <n v="7740"/>
    <n v="18458"/>
    <n v="87.066037735849051"/>
  </r>
  <r>
    <d v="2024-05-18T00:00:00"/>
    <x v="2"/>
    <n v="5"/>
    <x v="1"/>
    <x v="0"/>
    <n v="213"/>
    <n v="213"/>
    <n v="0"/>
    <n v="10"/>
    <n v="0.81923076923076921"/>
    <n v="43"/>
    <n v="42"/>
    <n v="0.97674418604651159"/>
    <n v="8545"/>
    <n v="2183.25"/>
    <n v="7740"/>
    <n v="18468.25"/>
    <n v="86.705399061032864"/>
  </r>
  <r>
    <d v="2024-05-25T00:00:00"/>
    <x v="2"/>
    <n v="5"/>
    <x v="1"/>
    <x v="0"/>
    <n v="228"/>
    <n v="228"/>
    <n v="0"/>
    <n v="12"/>
    <n v="0.73076923076923073"/>
    <n v="43"/>
    <n v="41"/>
    <n v="0.95348837209302328"/>
    <n v="10254"/>
    <n v="2337"/>
    <n v="7740"/>
    <n v="20331"/>
    <n v="89.171052631578945"/>
  </r>
  <r>
    <d v="2024-06-01T00:00:00"/>
    <x v="2"/>
    <n v="6"/>
    <x v="1"/>
    <x v="0"/>
    <n v="221"/>
    <n v="221"/>
    <n v="0"/>
    <n v="10"/>
    <n v="0.85"/>
    <n v="43"/>
    <n v="40"/>
    <n v="0.93023255813953487"/>
    <n v="8545"/>
    <n v="2265.25"/>
    <n v="7740"/>
    <n v="18550.25"/>
    <n v="83.937782805429862"/>
  </r>
  <r>
    <d v="2024-06-08T00:00:00"/>
    <x v="2"/>
    <n v="6"/>
    <x v="1"/>
    <x v="0"/>
    <n v="217"/>
    <n v="217"/>
    <n v="0"/>
    <n v="11"/>
    <n v="0.75874125874125875"/>
    <n v="43"/>
    <n v="43"/>
    <n v="1"/>
    <n v="9399.5"/>
    <n v="2224.25"/>
    <n v="7740"/>
    <n v="19363.75"/>
    <n v="89.233870967741936"/>
  </r>
  <r>
    <d v="2024-06-15T00:00:00"/>
    <x v="2"/>
    <n v="6"/>
    <x v="1"/>
    <x v="0"/>
    <n v="212"/>
    <n v="212"/>
    <n v="0"/>
    <n v="10"/>
    <n v="0.81538461538461537"/>
    <n v="43"/>
    <n v="39"/>
    <n v="0.90697674418604646"/>
    <n v="8545"/>
    <n v="2173"/>
    <n v="7740"/>
    <n v="18458"/>
    <n v="87.066037735849051"/>
  </r>
  <r>
    <d v="2024-06-22T00:00:00"/>
    <x v="2"/>
    <n v="6"/>
    <x v="1"/>
    <x v="0"/>
    <n v="216"/>
    <n v="216"/>
    <n v="0"/>
    <n v="11"/>
    <n v="0.75524475524475521"/>
    <n v="43"/>
    <n v="43"/>
    <n v="1"/>
    <n v="9399.5"/>
    <n v="2214"/>
    <n v="7740"/>
    <n v="19353.5"/>
    <n v="89.599537037037038"/>
  </r>
  <r>
    <d v="2024-06-29T00:00:00"/>
    <x v="2"/>
    <n v="6"/>
    <x v="1"/>
    <x v="0"/>
    <n v="206"/>
    <n v="206"/>
    <n v="0"/>
    <n v="10"/>
    <n v="0.79230769230769227"/>
    <n v="43"/>
    <n v="43"/>
    <n v="1"/>
    <n v="8545"/>
    <n v="2111.5"/>
    <n v="7740"/>
    <n v="18396.5"/>
    <n v="89.303398058252426"/>
  </r>
  <r>
    <d v="2024-07-06T00:00:00"/>
    <x v="2"/>
    <n v="7"/>
    <x v="1"/>
    <x v="0"/>
    <n v="204"/>
    <n v="204"/>
    <n v="0"/>
    <n v="10"/>
    <n v="0.7846153846153846"/>
    <n v="43"/>
    <n v="43"/>
    <n v="1"/>
    <n v="8545"/>
    <n v="2091"/>
    <n v="7740"/>
    <n v="18376"/>
    <n v="90.078431372549019"/>
  </r>
  <r>
    <d v="2024-07-13T00:00:00"/>
    <x v="2"/>
    <n v="7"/>
    <x v="1"/>
    <x v="0"/>
    <n v="205"/>
    <n v="205"/>
    <n v="0"/>
    <n v="10"/>
    <n v="0.78846153846153844"/>
    <n v="43"/>
    <n v="41"/>
    <n v="0.95348837209302328"/>
    <n v="8545"/>
    <n v="2101.25"/>
    <n v="7740"/>
    <n v="18386.25"/>
    <n v="89.689024390243901"/>
  </r>
  <r>
    <d v="2024-07-20T00:00:00"/>
    <x v="2"/>
    <n v="7"/>
    <x v="1"/>
    <x v="0"/>
    <n v="207"/>
    <n v="207"/>
    <n v="0"/>
    <n v="10"/>
    <n v="0.7961538461538461"/>
    <n v="43"/>
    <n v="41"/>
    <n v="0.95348837209302328"/>
    <n v="8545"/>
    <n v="2121.75"/>
    <n v="7740"/>
    <n v="18406.75"/>
    <n v="88.921497584541058"/>
  </r>
  <r>
    <d v="2024-07-27T00:00:00"/>
    <x v="2"/>
    <n v="7"/>
    <x v="1"/>
    <x v="0"/>
    <n v="210"/>
    <n v="210"/>
    <n v="0"/>
    <n v="10"/>
    <n v="0.80769230769230771"/>
    <n v="43"/>
    <n v="43"/>
    <n v="1"/>
    <n v="8545"/>
    <n v="2152.5"/>
    <n v="7740"/>
    <n v="18437.5"/>
    <n v="87.797619047619051"/>
  </r>
  <r>
    <d v="2024-08-03T00:00:00"/>
    <x v="2"/>
    <n v="8"/>
    <x v="1"/>
    <x v="0"/>
    <n v="220"/>
    <n v="220"/>
    <n v="0"/>
    <n v="10"/>
    <n v="0.84615384615384615"/>
    <n v="43"/>
    <n v="40"/>
    <n v="0.93023255813953487"/>
    <n v="8545"/>
    <n v="2255"/>
    <n v="7740"/>
    <n v="18540"/>
    <n v="84.272727272727266"/>
  </r>
  <r>
    <d v="2024-08-10T00:00:00"/>
    <x v="2"/>
    <n v="8"/>
    <x v="1"/>
    <x v="0"/>
    <n v="217"/>
    <n v="217"/>
    <n v="0"/>
    <n v="10"/>
    <n v="0.83461538461538465"/>
    <n v="43"/>
    <n v="42"/>
    <n v="0.97674418604651159"/>
    <n v="8545"/>
    <n v="2224.25"/>
    <n v="7740"/>
    <n v="18509.25"/>
    <n v="85.296082949308754"/>
  </r>
  <r>
    <d v="2024-08-17T00:00:00"/>
    <x v="2"/>
    <n v="8"/>
    <x v="1"/>
    <x v="0"/>
    <n v="221"/>
    <n v="221"/>
    <n v="0"/>
    <n v="11"/>
    <n v="0.77272727272727271"/>
    <n v="43"/>
    <n v="42"/>
    <n v="0.97674418604651159"/>
    <n v="9399.5"/>
    <n v="2265.25"/>
    <n v="7740"/>
    <n v="19404.75"/>
    <n v="87.804298642533936"/>
  </r>
  <r>
    <d v="2024-08-24T00:00:00"/>
    <x v="2"/>
    <n v="8"/>
    <x v="1"/>
    <x v="0"/>
    <n v="225"/>
    <n v="225"/>
    <n v="0"/>
    <n v="11"/>
    <n v="0.78671328671328666"/>
    <n v="43"/>
    <n v="42"/>
    <n v="0.97674418604651159"/>
    <n v="9399.5"/>
    <n v="2306.25"/>
    <n v="7740"/>
    <n v="19445.75"/>
    <n v="86.425555555555562"/>
  </r>
  <r>
    <d v="2024-08-31T00:00:00"/>
    <x v="2"/>
    <n v="8"/>
    <x v="1"/>
    <x v="0"/>
    <n v="211"/>
    <n v="211"/>
    <n v="0"/>
    <n v="10"/>
    <n v="0.81153846153846154"/>
    <n v="43"/>
    <n v="43"/>
    <n v="1"/>
    <n v="8545"/>
    <n v="2162.75"/>
    <n v="7740"/>
    <n v="18447.75"/>
    <n v="87.430094786729853"/>
  </r>
  <r>
    <d v="2024-09-07T00:00:00"/>
    <x v="2"/>
    <n v="9"/>
    <x v="1"/>
    <x v="0"/>
    <n v="209"/>
    <n v="209"/>
    <n v="0"/>
    <n v="10"/>
    <n v="0.80384615384615388"/>
    <n v="43"/>
    <n v="41"/>
    <n v="0.95348837209302328"/>
    <n v="8545"/>
    <n v="2142.25"/>
    <n v="7740"/>
    <n v="18427.25"/>
    <n v="88.168660287081337"/>
  </r>
  <r>
    <d v="2024-09-14T00:00:00"/>
    <x v="2"/>
    <n v="9"/>
    <x v="1"/>
    <x v="0"/>
    <n v="194"/>
    <n v="194"/>
    <n v="0"/>
    <n v="10"/>
    <n v="0.74615384615384617"/>
    <n v="43"/>
    <n v="40"/>
    <n v="0.93023255813953487"/>
    <n v="8545"/>
    <n v="1988.5"/>
    <n v="7740"/>
    <n v="18273.5"/>
    <n v="94.19329896907216"/>
  </r>
  <r>
    <d v="2024-09-21T00:00:00"/>
    <x v="2"/>
    <n v="9"/>
    <x v="1"/>
    <x v="0"/>
    <n v="196"/>
    <n v="196"/>
    <n v="0"/>
    <n v="10"/>
    <n v="0.75384615384615383"/>
    <n v="43"/>
    <n v="43"/>
    <n v="1"/>
    <n v="8545"/>
    <n v="2009"/>
    <n v="7740"/>
    <n v="18294"/>
    <n v="93.336734693877546"/>
  </r>
  <r>
    <d v="2024-09-28T00:00:00"/>
    <x v="2"/>
    <n v="9"/>
    <x v="1"/>
    <x v="0"/>
    <n v="195"/>
    <n v="195"/>
    <n v="0"/>
    <n v="10"/>
    <n v="0.75"/>
    <n v="43"/>
    <n v="42"/>
    <n v="0.97674418604651159"/>
    <n v="8545"/>
    <n v="1998.75"/>
    <n v="7740"/>
    <n v="18283.75"/>
    <n v="93.762820512820511"/>
  </r>
  <r>
    <d v="2024-10-05T00:00:00"/>
    <x v="2"/>
    <n v="10"/>
    <x v="1"/>
    <x v="0"/>
    <n v="206"/>
    <n v="206"/>
    <n v="0"/>
    <n v="10"/>
    <n v="0.79230769230769227"/>
    <n v="43"/>
    <n v="42"/>
    <n v="0.97674418604651159"/>
    <n v="8545"/>
    <n v="2111.5"/>
    <n v="7740"/>
    <n v="18396.5"/>
    <n v="89.303398058252426"/>
  </r>
  <r>
    <d v="2024-10-12T00:00:00"/>
    <x v="2"/>
    <n v="10"/>
    <x v="1"/>
    <x v="0"/>
    <n v="209"/>
    <n v="209"/>
    <n v="0"/>
    <n v="10"/>
    <n v="0.80384615384615388"/>
    <n v="43"/>
    <n v="42"/>
    <n v="0.97674418604651159"/>
    <n v="8545"/>
    <n v="2142.25"/>
    <n v="7740"/>
    <n v="18427.25"/>
    <n v="88.168660287081337"/>
  </r>
  <r>
    <d v="2024-10-19T00:00:00"/>
    <x v="2"/>
    <n v="10"/>
    <x v="1"/>
    <x v="0"/>
    <n v="212"/>
    <n v="212"/>
    <n v="0"/>
    <n v="10"/>
    <n v="0.81538461538461537"/>
    <n v="43"/>
    <n v="41"/>
    <n v="0.95348837209302328"/>
    <n v="8545"/>
    <n v="2173"/>
    <n v="7740"/>
    <n v="18458"/>
    <n v="87.066037735849051"/>
  </r>
  <r>
    <d v="2024-10-26T00:00:00"/>
    <x v="2"/>
    <n v="10"/>
    <x v="1"/>
    <x v="0"/>
    <n v="228"/>
    <n v="228"/>
    <n v="0"/>
    <n v="11"/>
    <n v="0.79720279720279719"/>
    <n v="43"/>
    <n v="41"/>
    <n v="0.95348837209302328"/>
    <n v="9399.5"/>
    <n v="2337"/>
    <n v="7740"/>
    <n v="19476.5"/>
    <n v="85.423245614035082"/>
  </r>
  <r>
    <d v="2024-11-02T00:00:00"/>
    <x v="2"/>
    <n v="11"/>
    <x v="1"/>
    <x v="0"/>
    <n v="225"/>
    <n v="225"/>
    <n v="0"/>
    <n v="10"/>
    <n v="0.86538461538461542"/>
    <n v="43"/>
    <n v="43"/>
    <n v="1"/>
    <n v="8545"/>
    <n v="2306.25"/>
    <n v="7740"/>
    <n v="18591.25"/>
    <n v="82.62777777777778"/>
  </r>
  <r>
    <d v="2024-11-09T00:00:00"/>
    <x v="2"/>
    <n v="11"/>
    <x v="1"/>
    <x v="0"/>
    <n v="251"/>
    <n v="251"/>
    <n v="0"/>
    <n v="11"/>
    <n v="0.8776223776223776"/>
    <n v="43"/>
    <n v="42"/>
    <n v="0.97674418604651159"/>
    <n v="9399.5"/>
    <n v="2572.75"/>
    <n v="7740"/>
    <n v="19712.25"/>
    <n v="78.534860557768923"/>
  </r>
  <r>
    <d v="2024-11-16T00:00:00"/>
    <x v="2"/>
    <n v="11"/>
    <x v="1"/>
    <x v="0"/>
    <n v="263"/>
    <n v="262"/>
    <n v="1"/>
    <n v="14"/>
    <n v="0.71978021978021978"/>
    <n v="43"/>
    <n v="41"/>
    <n v="0.95348837209302328"/>
    <n v="11963"/>
    <n v="2685.5"/>
    <n v="7740"/>
    <n v="22388.5"/>
    <n v="85.452290076335885"/>
  </r>
  <r>
    <d v="2024-11-23T00:00:00"/>
    <x v="2"/>
    <n v="11"/>
    <x v="1"/>
    <x v="0"/>
    <n v="289"/>
    <n v="288"/>
    <n v="2"/>
    <n v="15"/>
    <n v="0.7384615384615385"/>
    <n v="43"/>
    <n v="40"/>
    <n v="0.93023255813953487"/>
    <n v="12817.5"/>
    <n v="2952"/>
    <n v="7740"/>
    <n v="23509.5"/>
    <n v="81.630208333333329"/>
  </r>
  <r>
    <d v="2024-11-30T00:00:00"/>
    <x v="2"/>
    <n v="11"/>
    <x v="1"/>
    <x v="0"/>
    <n v="309"/>
    <n v="298"/>
    <n v="13"/>
    <n v="16"/>
    <n v="0.71634615384615385"/>
    <n v="43"/>
    <n v="41"/>
    <n v="0.95348837209302328"/>
    <n v="13672"/>
    <n v="3054.5"/>
    <n v="7740"/>
    <n v="24466.5"/>
    <n v="82.102348993288587"/>
  </r>
  <r>
    <d v="2024-12-07T00:00:00"/>
    <x v="2"/>
    <n v="12"/>
    <x v="1"/>
    <x v="0"/>
    <n v="327"/>
    <n v="306"/>
    <n v="34"/>
    <n v="15"/>
    <n v="0.7846153846153846"/>
    <n v="43"/>
    <n v="40"/>
    <n v="0.93023255813953487"/>
    <n v="12817.5"/>
    <n v="3136.5"/>
    <n v="7740"/>
    <n v="23694"/>
    <n v="77.431372549019613"/>
  </r>
  <r>
    <d v="2024-12-14T00:00:00"/>
    <x v="2"/>
    <n v="12"/>
    <x v="1"/>
    <x v="0"/>
    <n v="320"/>
    <n v="309"/>
    <n v="45"/>
    <n v="16"/>
    <n v="0.74278846153846156"/>
    <n v="43"/>
    <n v="42"/>
    <n v="0.97674418604651159"/>
    <n v="13672"/>
    <n v="3167.25"/>
    <n v="7740"/>
    <n v="24579.25"/>
    <n v="79.54449838187702"/>
  </r>
  <r>
    <d v="2024-12-21T00:00:00"/>
    <x v="2"/>
    <n v="12"/>
    <x v="1"/>
    <x v="0"/>
    <n v="278"/>
    <n v="298"/>
    <n v="25"/>
    <n v="15"/>
    <n v="0.76410256410256405"/>
    <n v="43"/>
    <n v="39"/>
    <n v="0.90697674418604646"/>
    <n v="12817.5"/>
    <n v="3054.5"/>
    <n v="7740"/>
    <n v="23612"/>
    <n v="79.234899328859058"/>
  </r>
  <r>
    <d v="2024-12-28T00:00:00"/>
    <x v="2"/>
    <n v="12"/>
    <x v="1"/>
    <x v="0"/>
    <n v="246"/>
    <n v="266"/>
    <n v="5"/>
    <n v="13"/>
    <n v="0.78698224852071008"/>
    <n v="43"/>
    <n v="42"/>
    <n v="0.97674418604651159"/>
    <n v="11108.5"/>
    <n v="2726.5"/>
    <n v="7740"/>
    <n v="21575"/>
    <n v="81.109022556390983"/>
  </r>
  <r>
    <d v="2025-01-04T00:00:00"/>
    <x v="3"/>
    <n v="1"/>
    <x v="1"/>
    <x v="0"/>
    <n v="211"/>
    <n v="216"/>
    <n v="0"/>
    <n v="10"/>
    <n v="0.83076923076923082"/>
    <n v="43"/>
    <n v="38"/>
    <n v="0.88372093023255816"/>
    <n v="8545"/>
    <n v="2214"/>
    <n v="7740"/>
    <n v="18499"/>
    <n v="85.643518518518519"/>
  </r>
  <r>
    <d v="2025-01-11T00:00:00"/>
    <x v="3"/>
    <n v="1"/>
    <x v="1"/>
    <x v="0"/>
    <n v="166"/>
    <n v="166"/>
    <n v="0"/>
    <n v="10"/>
    <n v="0.63846153846153841"/>
    <n v="43"/>
    <n v="40"/>
    <n v="0.93023255813953487"/>
    <n v="8545"/>
    <n v="1701.5"/>
    <n v="7740"/>
    <n v="17986.5"/>
    <n v="108.35240963855421"/>
  </r>
  <r>
    <d v="2025-01-18T00:00:00"/>
    <x v="3"/>
    <n v="1"/>
    <x v="1"/>
    <x v="0"/>
    <n v="175"/>
    <n v="175"/>
    <n v="0"/>
    <n v="10"/>
    <n v="0.67307692307692313"/>
    <n v="43"/>
    <n v="40"/>
    <n v="0.93023255813953487"/>
    <n v="8545"/>
    <n v="1793.75"/>
    <n v="7740"/>
    <n v="18078.75"/>
    <n v="103.30714285714291"/>
  </r>
  <r>
    <d v="2025-01-25T00:00:00"/>
    <x v="3"/>
    <n v="1"/>
    <x v="1"/>
    <x v="0"/>
    <n v="176"/>
    <n v="176"/>
    <n v="0"/>
    <n v="10"/>
    <n v="0.67692307692307696"/>
    <n v="43"/>
    <n v="40"/>
    <n v="0.93023255813953487"/>
    <n v="8545"/>
    <n v="1804"/>
    <n v="7740"/>
    <n v="18089"/>
    <n v="102.77840909090909"/>
  </r>
  <r>
    <d v="2025-02-01T00:00:00"/>
    <x v="3"/>
    <n v="2"/>
    <x v="1"/>
    <x v="0"/>
    <n v="197"/>
    <n v="197"/>
    <n v="0"/>
    <n v="10"/>
    <n v="0.75769230769230766"/>
    <n v="43"/>
    <n v="40"/>
    <n v="0.93023255813953487"/>
    <n v="8545"/>
    <n v="2019.25"/>
    <n v="7740"/>
    <n v="18304.25"/>
    <n v="92.914974619289339"/>
  </r>
  <r>
    <d v="2025-02-08T00:00:00"/>
    <x v="3"/>
    <n v="2"/>
    <x v="1"/>
    <x v="0"/>
    <n v="191"/>
    <n v="191"/>
    <n v="0"/>
    <n v="10"/>
    <n v="0.73461538461538467"/>
    <n v="43"/>
    <n v="42"/>
    <n v="0.97674418604651159"/>
    <n v="8545"/>
    <n v="1957.75"/>
    <n v="7740"/>
    <n v="18242.75"/>
    <n v="95.511780104712045"/>
  </r>
  <r>
    <d v="2025-02-15T00:00:00"/>
    <x v="3"/>
    <n v="2"/>
    <x v="1"/>
    <x v="0"/>
    <n v="196"/>
    <n v="196"/>
    <n v="0"/>
    <n v="10"/>
    <n v="0.75384615384615383"/>
    <n v="43"/>
    <n v="40"/>
    <n v="0.93023255813953487"/>
    <n v="8545"/>
    <n v="2009"/>
    <n v="7740"/>
    <n v="18294"/>
    <n v="93.336734693877546"/>
  </r>
  <r>
    <d v="2025-02-22T00:00:00"/>
    <x v="3"/>
    <n v="2"/>
    <x v="1"/>
    <x v="0"/>
    <n v="199"/>
    <n v="199"/>
    <n v="0"/>
    <n v="10"/>
    <n v="0.76538461538461533"/>
    <n v="43"/>
    <n v="40"/>
    <n v="0.93023255813953487"/>
    <n v="8545"/>
    <n v="2039.75"/>
    <n v="7740"/>
    <n v="18324.75"/>
    <n v="92.084170854271363"/>
  </r>
  <r>
    <d v="2025-03-01T00:00:00"/>
    <x v="3"/>
    <n v="3"/>
    <x v="1"/>
    <x v="0"/>
    <n v="207"/>
    <n v="207"/>
    <n v="0"/>
    <n v="10"/>
    <n v="0.7961538461538461"/>
    <n v="43"/>
    <n v="40"/>
    <n v="0.93023255813953487"/>
    <n v="8545"/>
    <n v="2121.75"/>
    <n v="7740"/>
    <n v="18406.75"/>
    <n v="88.921497584541058"/>
  </r>
  <r>
    <d v="2025-03-08T00:00:00"/>
    <x v="3"/>
    <n v="3"/>
    <x v="1"/>
    <x v="0"/>
    <n v="211"/>
    <n v="211"/>
    <n v="0"/>
    <n v="10"/>
    <n v="0.81153846153846154"/>
    <n v="43"/>
    <n v="40"/>
    <n v="0.93023255813953487"/>
    <n v="8545"/>
    <n v="2162.75"/>
    <n v="7740"/>
    <n v="18447.75"/>
    <n v="87.430094786729853"/>
  </r>
  <r>
    <d v="2025-03-15T00:00:00"/>
    <x v="3"/>
    <n v="3"/>
    <x v="1"/>
    <x v="0"/>
    <n v="204"/>
    <n v="204"/>
    <n v="0"/>
    <n v="10"/>
    <n v="0.7846153846153846"/>
    <n v="43"/>
    <n v="43"/>
    <n v="1"/>
    <n v="8545"/>
    <n v="2091"/>
    <n v="7740"/>
    <n v="18376"/>
    <n v="90.078431372549019"/>
  </r>
  <r>
    <d v="2025-03-22T00:00:00"/>
    <x v="3"/>
    <n v="3"/>
    <x v="1"/>
    <x v="0"/>
    <n v="225"/>
    <n v="225"/>
    <n v="0"/>
    <n v="10"/>
    <n v="0.86538461538461542"/>
    <n v="43"/>
    <n v="43"/>
    <n v="1"/>
    <n v="8545"/>
    <n v="2306.25"/>
    <n v="7740"/>
    <n v="18591.25"/>
    <n v="82.62777777777778"/>
  </r>
  <r>
    <d v="2025-03-29T00:00:00"/>
    <x v="3"/>
    <n v="3"/>
    <x v="1"/>
    <x v="0"/>
    <n v="213"/>
    <n v="213"/>
    <n v="0"/>
    <n v="10"/>
    <n v="0.81923076923076921"/>
    <n v="43"/>
    <n v="43"/>
    <n v="1"/>
    <n v="8545"/>
    <n v="2183.25"/>
    <n v="7740"/>
    <n v="18468.25"/>
    <n v="86.705399061032864"/>
  </r>
  <r>
    <d v="2025-04-05T00:00:00"/>
    <x v="3"/>
    <n v="4"/>
    <x v="1"/>
    <x v="0"/>
    <n v="217"/>
    <n v="217"/>
    <n v="0"/>
    <n v="10"/>
    <n v="0.83461538461538465"/>
    <n v="43"/>
    <n v="42"/>
    <n v="0.97674418604651159"/>
    <n v="8545"/>
    <n v="2224.25"/>
    <n v="7740"/>
    <n v="18509.25"/>
    <n v="85.296082949308754"/>
  </r>
  <r>
    <d v="2025-04-12T00:00:00"/>
    <x v="3"/>
    <n v="4"/>
    <x v="1"/>
    <x v="0"/>
    <n v="220"/>
    <n v="220"/>
    <n v="0"/>
    <n v="11"/>
    <n v="0.76923076923076927"/>
    <n v="43"/>
    <n v="41"/>
    <n v="0.95348837209302328"/>
    <n v="9399.5"/>
    <n v="2255"/>
    <n v="7740"/>
    <n v="19394.5"/>
    <n v="88.156818181818181"/>
  </r>
  <r>
    <d v="2025-04-19T00:00:00"/>
    <x v="3"/>
    <n v="4"/>
    <x v="1"/>
    <x v="0"/>
    <n v="220"/>
    <n v="220"/>
    <n v="0"/>
    <n v="11"/>
    <n v="0.76923076923076927"/>
    <n v="43"/>
    <n v="42"/>
    <n v="0.97674418604651159"/>
    <n v="9399.5"/>
    <n v="2255"/>
    <n v="7740"/>
    <n v="19394.5"/>
    <n v="88.156818181818181"/>
  </r>
  <r>
    <d v="2025-04-26T00:00:00"/>
    <x v="3"/>
    <n v="4"/>
    <x v="1"/>
    <x v="0"/>
    <n v="231"/>
    <n v="231"/>
    <n v="0"/>
    <n v="11"/>
    <n v="0.80769230769230771"/>
    <n v="43"/>
    <n v="42"/>
    <n v="0.97674418604651159"/>
    <n v="9399.5"/>
    <n v="2367.75"/>
    <n v="7740"/>
    <n v="19507.25"/>
    <n v="84.446969696969703"/>
  </r>
  <r>
    <d v="2025-05-03T00:00:00"/>
    <x v="3"/>
    <n v="5"/>
    <x v="1"/>
    <x v="0"/>
    <n v="226"/>
    <n v="226"/>
    <n v="0"/>
    <n v="10"/>
    <n v="0.86923076923076925"/>
    <n v="43"/>
    <n v="41"/>
    <n v="0.95348837209302328"/>
    <n v="8545"/>
    <n v="2316.5"/>
    <n v="7740"/>
    <n v="18601.5"/>
    <n v="82.307522123893804"/>
  </r>
  <r>
    <d v="2025-05-10T00:00:00"/>
    <x v="3"/>
    <n v="5"/>
    <x v="1"/>
    <x v="0"/>
    <n v="233"/>
    <n v="233"/>
    <n v="0"/>
    <n v="11"/>
    <n v="0.81468531468531469"/>
    <n v="43"/>
    <n v="41"/>
    <n v="0.95348837209302328"/>
    <n v="9399.5"/>
    <n v="2388.25"/>
    <n v="7740"/>
    <n v="19527.75"/>
    <n v="83.810085836909877"/>
  </r>
  <r>
    <d v="2025-05-17T00:00:00"/>
    <x v="3"/>
    <n v="5"/>
    <x v="1"/>
    <x v="0"/>
    <n v="231"/>
    <n v="231"/>
    <n v="0"/>
    <n v="10"/>
    <n v="0.88846153846153841"/>
    <n v="43"/>
    <n v="42"/>
    <n v="0.97674418604651159"/>
    <n v="8545"/>
    <n v="2367.75"/>
    <n v="7740"/>
    <n v="18652.75"/>
    <n v="80.747835497835496"/>
  </r>
  <r>
    <d v="2025-05-24T00:00:00"/>
    <x v="3"/>
    <n v="5"/>
    <x v="1"/>
    <x v="0"/>
    <n v="230"/>
    <n v="230"/>
    <n v="0"/>
    <n v="11"/>
    <n v="0.80419580419580416"/>
    <n v="43"/>
    <n v="40"/>
    <n v="0.93023255813953487"/>
    <n v="9399.5"/>
    <n v="2357.5"/>
    <n v="7740"/>
    <n v="19497"/>
    <n v="84.769565217391303"/>
  </r>
  <r>
    <d v="2025-05-31T00:00:00"/>
    <x v="3"/>
    <n v="5"/>
    <x v="1"/>
    <x v="0"/>
    <n v="227"/>
    <n v="227"/>
    <n v="0"/>
    <n v="10"/>
    <n v="0.87307692307692308"/>
    <n v="43"/>
    <n v="42"/>
    <n v="0.97674418604651159"/>
    <n v="8545"/>
    <n v="2326.75"/>
    <n v="7740"/>
    <n v="18611.75"/>
    <n v="81.990088105726869"/>
  </r>
  <r>
    <d v="2025-06-07T00:00:00"/>
    <x v="3"/>
    <n v="6"/>
    <x v="1"/>
    <x v="0"/>
    <n v="221"/>
    <n v="221"/>
    <n v="0"/>
    <n v="10"/>
    <n v="0.85"/>
    <n v="43"/>
    <n v="43"/>
    <n v="1"/>
    <n v="8545"/>
    <n v="2265.25"/>
    <n v="7740"/>
    <n v="18550.25"/>
    <n v="83.937782805429862"/>
  </r>
  <r>
    <d v="2025-06-14T00:00:00"/>
    <x v="3"/>
    <n v="6"/>
    <x v="1"/>
    <x v="0"/>
    <n v="226"/>
    <n v="226"/>
    <n v="0"/>
    <n v="11"/>
    <n v="0.79020979020979021"/>
    <n v="43"/>
    <n v="38"/>
    <n v="0.88372093023255816"/>
    <n v="9399.5"/>
    <n v="2316.5"/>
    <n v="7740"/>
    <n v="19456"/>
    <n v="86.088495575221245"/>
  </r>
  <r>
    <d v="2025-06-21T00:00:00"/>
    <x v="3"/>
    <n v="6"/>
    <x v="1"/>
    <x v="0"/>
    <n v="229"/>
    <n v="229"/>
    <n v="0"/>
    <n v="10"/>
    <n v="0.88076923076923075"/>
    <n v="43"/>
    <n v="43"/>
    <n v="1"/>
    <n v="8545"/>
    <n v="2347.25"/>
    <n v="7740"/>
    <n v="18632.25"/>
    <n v="81.363537117903931"/>
  </r>
  <r>
    <d v="2025-06-28T00:00:00"/>
    <x v="3"/>
    <n v="6"/>
    <x v="1"/>
    <x v="0"/>
    <n v="227"/>
    <n v="227"/>
    <n v="0"/>
    <n v="12"/>
    <n v="0.72756410256410253"/>
    <n v="43"/>
    <n v="38"/>
    <n v="0.88372093023255816"/>
    <n v="10254"/>
    <n v="2326.75"/>
    <n v="7740"/>
    <n v="20320.75"/>
    <n v="89.518722466960355"/>
  </r>
  <r>
    <d v="2025-07-05T00:00:00"/>
    <x v="3"/>
    <n v="7"/>
    <x v="1"/>
    <x v="0"/>
    <n v="227"/>
    <n v="227"/>
    <n v="0"/>
    <n v="12"/>
    <n v="0.72756410256410253"/>
    <n v="43"/>
    <n v="42"/>
    <n v="0.97674418604651159"/>
    <n v="10254"/>
    <n v="2326.75"/>
    <n v="7740"/>
    <n v="20320.75"/>
    <n v="89.518722466960355"/>
  </r>
  <r>
    <d v="2025-07-12T00:00:00"/>
    <x v="3"/>
    <n v="7"/>
    <x v="1"/>
    <x v="0"/>
    <n v="225"/>
    <n v="225"/>
    <n v="0"/>
    <n v="11"/>
    <n v="0.78671328671328666"/>
    <n v="43"/>
    <n v="41"/>
    <n v="0.95348837209302328"/>
    <n v="9399.5"/>
    <n v="2306.25"/>
    <n v="7740"/>
    <n v="19445.75"/>
    <n v="86.425555555555562"/>
  </r>
  <r>
    <d v="2025-07-19T00:00:00"/>
    <x v="3"/>
    <n v="7"/>
    <x v="1"/>
    <x v="0"/>
    <n v="233"/>
    <n v="233"/>
    <n v="0"/>
    <n v="12"/>
    <n v="0.74679487179487181"/>
    <n v="43"/>
    <n v="39"/>
    <n v="0.90697674418604646"/>
    <n v="10254"/>
    <n v="2388.25"/>
    <n v="7740"/>
    <n v="20382.25"/>
    <n v="87.477467811158803"/>
  </r>
  <r>
    <d v="2025-07-26T00:00:00"/>
    <x v="3"/>
    <n v="7"/>
    <x v="1"/>
    <x v="0"/>
    <n v="230"/>
    <n v="230"/>
    <n v="0"/>
    <n v="11"/>
    <n v="0.80419580419580416"/>
    <n v="43"/>
    <n v="42"/>
    <n v="0.97674418604651159"/>
    <n v="9399.5"/>
    <n v="2357.5"/>
    <n v="7740"/>
    <n v="19497"/>
    <n v="84.769565217391303"/>
  </r>
  <r>
    <d v="2025-08-02T00:00:00"/>
    <x v="3"/>
    <n v="8"/>
    <x v="1"/>
    <x v="0"/>
    <n v="238"/>
    <n v="238"/>
    <n v="0"/>
    <n v="12"/>
    <n v="0.76282051282051277"/>
    <n v="43"/>
    <n v="41"/>
    <n v="0.95348837209302328"/>
    <n v="10254"/>
    <n v="2439.5"/>
    <n v="7740"/>
    <n v="20433.5"/>
    <n v="85.855042016806721"/>
  </r>
  <r>
    <d v="2025-08-09T00:00:00"/>
    <x v="3"/>
    <n v="8"/>
    <x v="1"/>
    <x v="0"/>
    <n v="242"/>
    <n v="242"/>
    <n v="0"/>
    <n v="12"/>
    <n v="0.77564102564102566"/>
    <n v="43"/>
    <n v="42"/>
    <n v="0.97674418604651159"/>
    <n v="10254"/>
    <n v="2480.5"/>
    <n v="7740"/>
    <n v="20474.5"/>
    <n v="84.605371900826441"/>
  </r>
  <r>
    <d v="2025-08-16T00:00:00"/>
    <x v="3"/>
    <n v="8"/>
    <x v="1"/>
    <x v="0"/>
    <n v="234"/>
    <n v="234"/>
    <n v="0"/>
    <n v="10"/>
    <n v="0.9"/>
    <n v="43"/>
    <n v="42"/>
    <n v="0.97674418604651159"/>
    <n v="8545"/>
    <n v="2398.5"/>
    <n v="7740"/>
    <n v="18683.5"/>
    <n v="79.84401709401709"/>
  </r>
  <r>
    <d v="2025-08-23T00:00:00"/>
    <x v="3"/>
    <n v="8"/>
    <x v="1"/>
    <x v="0"/>
    <n v="224"/>
    <n v="224"/>
    <n v="0"/>
    <n v="10"/>
    <n v="0.86153846153846159"/>
    <n v="43"/>
    <n v="41"/>
    <n v="0.95348837209302328"/>
    <n v="8545"/>
    <n v="2296"/>
    <n v="7740"/>
    <n v="18581"/>
    <n v="82.950892857142861"/>
  </r>
  <r>
    <d v="2025-08-30T00:00:00"/>
    <x v="3"/>
    <n v="8"/>
    <x v="1"/>
    <x v="0"/>
    <n v="227"/>
    <n v="227"/>
    <n v="0"/>
    <n v="10"/>
    <n v="0.87307692307692308"/>
    <n v="43"/>
    <n v="42"/>
    <n v="0.97674418604651159"/>
    <n v="8545"/>
    <n v="2326.75"/>
    <n v="7740"/>
    <n v="18611.75"/>
    <n v="81.990088105726869"/>
  </r>
  <r>
    <d v="2025-09-06T00:00:00"/>
    <x v="3"/>
    <n v="9"/>
    <x v="1"/>
    <x v="0"/>
    <n v="221"/>
    <n v="221"/>
    <n v="0"/>
    <n v="10"/>
    <n v="0.85"/>
    <n v="43"/>
    <n v="42"/>
    <n v="0.97674418604651159"/>
    <n v="8545"/>
    <n v="2265.25"/>
    <n v="7740"/>
    <n v="18550.25"/>
    <n v="83.937782805429862"/>
  </r>
  <r>
    <d v="2025-09-13T00:00:00"/>
    <x v="3"/>
    <n v="9"/>
    <x v="1"/>
    <x v="0"/>
    <n v="207"/>
    <n v="207"/>
    <n v="0"/>
    <n v="10"/>
    <n v="0.7961538461538461"/>
    <n v="43"/>
    <n v="43"/>
    <n v="1"/>
    <n v="8545"/>
    <n v="2121.75"/>
    <n v="7740"/>
    <n v="18406.75"/>
    <n v="88.921497584541058"/>
  </r>
  <r>
    <d v="2025-09-20T00:00:00"/>
    <x v="3"/>
    <n v="9"/>
    <x v="1"/>
    <x v="0"/>
    <n v="213"/>
    <n v="213"/>
    <n v="0"/>
    <n v="10"/>
    <n v="0.81923076923076921"/>
    <n v="43"/>
    <n v="40"/>
    <n v="0.93023255813953487"/>
    <n v="8545"/>
    <n v="2183.25"/>
    <n v="7740"/>
    <n v="18468.25"/>
    <n v="86.705399061032864"/>
  </r>
  <r>
    <d v="2025-09-27T00:00:00"/>
    <x v="3"/>
    <n v="9"/>
    <x v="1"/>
    <x v="0"/>
    <n v="213"/>
    <n v="213"/>
    <n v="0"/>
    <n v="10"/>
    <n v="0.81923076923076921"/>
    <n v="43"/>
    <n v="43"/>
    <n v="1"/>
    <n v="8545"/>
    <n v="2183.25"/>
    <n v="7740"/>
    <n v="18468.25"/>
    <n v="86.705399061032864"/>
  </r>
  <r>
    <d v="2025-10-04T00:00:00"/>
    <x v="3"/>
    <n v="10"/>
    <x v="1"/>
    <x v="0"/>
    <n v="227"/>
    <n v="227"/>
    <n v="0"/>
    <n v="11"/>
    <n v="0.79370629370629375"/>
    <n v="43"/>
    <n v="42"/>
    <n v="0.97674418604651159"/>
    <n v="9399.5"/>
    <n v="2326.75"/>
    <n v="7740"/>
    <n v="19466.25"/>
    <n v="85.754405286343612"/>
  </r>
  <r>
    <d v="2025-10-11T00:00:00"/>
    <x v="3"/>
    <n v="10"/>
    <x v="1"/>
    <x v="0"/>
    <n v="227"/>
    <n v="227"/>
    <n v="0"/>
    <n v="12"/>
    <n v="0.72756410256410253"/>
    <n v="43"/>
    <n v="41"/>
    <n v="0.95348837209302328"/>
    <n v="10254"/>
    <n v="2326.75"/>
    <n v="7740"/>
    <n v="20320.75"/>
    <n v="89.518722466960355"/>
  </r>
  <r>
    <d v="2025-10-18T00:00:00"/>
    <x v="3"/>
    <n v="10"/>
    <x v="1"/>
    <x v="0"/>
    <n v="228"/>
    <n v="228"/>
    <n v="0"/>
    <n v="10"/>
    <n v="0.87692307692307692"/>
    <n v="43"/>
    <n v="39"/>
    <n v="0.90697674418604646"/>
    <n v="8545"/>
    <n v="2337"/>
    <n v="7740"/>
    <n v="18622"/>
    <n v="81.675438596491233"/>
  </r>
  <r>
    <d v="2025-10-25T00:00:00"/>
    <x v="3"/>
    <n v="10"/>
    <x v="1"/>
    <x v="0"/>
    <n v="243"/>
    <n v="243"/>
    <n v="0"/>
    <n v="11"/>
    <n v="0.84965034965034969"/>
    <n v="43"/>
    <n v="41"/>
    <n v="0.95348837209302328"/>
    <n v="9399.5"/>
    <n v="2490.75"/>
    <n v="7740"/>
    <n v="19630.25"/>
    <n v="80.782921810699591"/>
  </r>
  <r>
    <d v="2025-11-01T00:00:00"/>
    <x v="3"/>
    <n v="11"/>
    <x v="1"/>
    <x v="0"/>
    <n v="246"/>
    <n v="246"/>
    <n v="0"/>
    <n v="11"/>
    <n v="0.8601398601398601"/>
    <n v="43"/>
    <n v="42"/>
    <n v="0.97674418604651159"/>
    <n v="9399.5"/>
    <n v="2521.5"/>
    <n v="7740"/>
    <n v="19661"/>
    <n v="79.922764227642276"/>
  </r>
  <r>
    <d v="2025-11-08T00:00:00"/>
    <x v="3"/>
    <n v="11"/>
    <x v="1"/>
    <x v="0"/>
    <n v="273"/>
    <n v="270"/>
    <n v="3"/>
    <n v="14"/>
    <n v="0.74175824175824179"/>
    <n v="43"/>
    <n v="41"/>
    <n v="0.95348837209302328"/>
    <n v="11963"/>
    <n v="2767.5"/>
    <n v="7740"/>
    <n v="22470.5"/>
    <n v="83.224074074074068"/>
  </r>
  <r>
    <d v="2025-11-15T00:00:00"/>
    <x v="3"/>
    <n v="11"/>
    <x v="1"/>
    <x v="0"/>
    <n v="288"/>
    <n v="288"/>
    <n v="3"/>
    <n v="15"/>
    <n v="0.7384615384615385"/>
    <n v="43"/>
    <n v="41"/>
    <n v="0.95348837209302328"/>
    <n v="12817.5"/>
    <n v="2952"/>
    <n v="7740"/>
    <n v="23509.5"/>
    <n v="81.630208333333329"/>
  </r>
  <r>
    <d v="2025-11-22T00:00:00"/>
    <x v="3"/>
    <n v="11"/>
    <x v="1"/>
    <x v="0"/>
    <n v="297"/>
    <n v="294"/>
    <n v="6"/>
    <n v="15"/>
    <n v="0.75384615384615383"/>
    <n v="43"/>
    <n v="42"/>
    <n v="0.97674418604651159"/>
    <n v="12817.5"/>
    <n v="3013.5"/>
    <n v="7740"/>
    <n v="23571"/>
    <n v="80.173469387755105"/>
  </r>
  <r>
    <d v="2025-11-29T00:00:00"/>
    <x v="3"/>
    <n v="11"/>
    <x v="1"/>
    <x v="0"/>
    <n v="331"/>
    <n v="310"/>
    <n v="27"/>
    <n v="16"/>
    <n v="0.74519230769230771"/>
    <n v="43"/>
    <n v="42"/>
    <n v="0.97674418604651159"/>
    <n v="13672"/>
    <n v="3177.5"/>
    <n v="7740"/>
    <n v="24589.5"/>
    <n v="79.32096774193549"/>
  </r>
  <r>
    <d v="2025-12-06T00:00:00"/>
    <x v="3"/>
    <n v="12"/>
    <x v="1"/>
    <x v="0"/>
    <n v="346"/>
    <n v="314"/>
    <n v="59"/>
    <n v="16"/>
    <n v="0.75480769230769229"/>
    <n v="43"/>
    <n v="42"/>
    <n v="0.97674418604651159"/>
    <n v="13672"/>
    <n v="3218.5"/>
    <n v="7740"/>
    <n v="24630.5"/>
    <n v="78.441082802547768"/>
  </r>
  <r>
    <d v="2025-12-13T00:00:00"/>
    <x v="3"/>
    <n v="12"/>
    <x v="1"/>
    <x v="0"/>
    <n v="359"/>
    <n v="316"/>
    <n v="102"/>
    <n v="16"/>
    <n v="0.75961538461538458"/>
    <n v="43"/>
    <n v="40"/>
    <n v="0.93023255813953487"/>
    <n v="13672"/>
    <n v="3239"/>
    <n v="7740"/>
    <n v="24651"/>
    <n v="78.009493670886073"/>
  </r>
  <r>
    <d v="2025-12-20T00:00:00"/>
    <x v="3"/>
    <n v="12"/>
    <x v="1"/>
    <x v="0"/>
    <n v="319"/>
    <n v="313"/>
    <n v="108"/>
    <n v="15"/>
    <n v="0.8025641025641026"/>
    <n v="43"/>
    <n v="39"/>
    <n v="0.90697674418604646"/>
    <n v="12817.5"/>
    <n v="3208.25"/>
    <n v="7740"/>
    <n v="23765.75"/>
    <n v="75.928913738019176"/>
  </r>
  <r>
    <d v="2025-12-27T00:00:00"/>
    <x v="3"/>
    <n v="12"/>
    <x v="1"/>
    <x v="0"/>
    <n v="262"/>
    <n v="307"/>
    <n v="63"/>
    <n v="16"/>
    <n v="0.73798076923076927"/>
    <n v="43"/>
    <n v="41"/>
    <n v="0.95348837209302328"/>
    <n v="13672"/>
    <n v="3146.75"/>
    <n v="7740"/>
    <n v="24558.75"/>
    <n v="79.995928338762212"/>
  </r>
  <r>
    <d v="2026-01-03T00:00:00"/>
    <x v="4"/>
    <n v="1"/>
    <x v="1"/>
    <x v="0"/>
    <n v="229"/>
    <n v="268"/>
    <n v="24"/>
    <n v="13"/>
    <n v="0.79289940828402372"/>
    <n v="43"/>
    <n v="41"/>
    <n v="0.95348837209302328"/>
    <n v="11108.5"/>
    <n v="2747"/>
    <n v="7740"/>
    <n v="21595.5"/>
    <n v="80.580223880597018"/>
  </r>
  <r>
    <d v="2026-01-10T00:00:00"/>
    <x v="4"/>
    <n v="1"/>
    <x v="1"/>
    <x v="0"/>
    <n v="182"/>
    <n v="200"/>
    <n v="6"/>
    <n v="10"/>
    <n v="0.76923076923076927"/>
    <n v="43"/>
    <n v="38"/>
    <n v="0.88372093023255816"/>
    <n v="8545"/>
    <n v="2050"/>
    <n v="7740"/>
    <n v="18335"/>
    <n v="91.674999999999997"/>
  </r>
  <r>
    <d v="2026-01-17T00:00:00"/>
    <x v="4"/>
    <n v="1"/>
    <x v="1"/>
    <x v="0"/>
    <n v="179"/>
    <n v="185"/>
    <n v="0"/>
    <n v="10"/>
    <n v="0.71153846153846156"/>
    <n v="43"/>
    <n v="41"/>
    <n v="0.95348837209302328"/>
    <n v="8545"/>
    <n v="1896.25"/>
    <n v="7740"/>
    <n v="18181.25"/>
    <n v="98.277027027027032"/>
  </r>
  <r>
    <d v="2026-01-24T00:00:00"/>
    <x v="4"/>
    <n v="1"/>
    <x v="1"/>
    <x v="0"/>
    <n v="185"/>
    <n v="185"/>
    <n v="0"/>
    <n v="10"/>
    <n v="0.71153846153846156"/>
    <n v="43"/>
    <n v="40"/>
    <n v="0.93023255813953487"/>
    <n v="8545"/>
    <n v="1896.25"/>
    <n v="7740"/>
    <n v="18181.25"/>
    <n v="98.277027027027032"/>
  </r>
  <r>
    <d v="2026-01-31T00:00:00"/>
    <x v="4"/>
    <n v="1"/>
    <x v="1"/>
    <x v="0"/>
    <n v="187"/>
    <n v="187"/>
    <n v="0"/>
    <n v="10"/>
    <n v="0.71923076923076923"/>
    <n v="43"/>
    <n v="41"/>
    <n v="0.95348837209302328"/>
    <n v="8545"/>
    <n v="1916.75"/>
    <n v="7740"/>
    <n v="18201.75"/>
    <n v="97.335561497326196"/>
  </r>
  <r>
    <d v="2026-02-07T00:00:00"/>
    <x v="4"/>
    <n v="2"/>
    <x v="1"/>
    <x v="0"/>
    <n v="215"/>
    <n v="215"/>
    <n v="0"/>
    <n v="10"/>
    <n v="0.82692307692307687"/>
    <n v="43"/>
    <n v="39"/>
    <n v="0.90697674418604646"/>
    <n v="8545"/>
    <n v="2203.75"/>
    <n v="7740"/>
    <n v="18488.75"/>
    <n v="85.994186046511629"/>
  </r>
  <r>
    <d v="2026-02-14T00:00:00"/>
    <x v="4"/>
    <n v="2"/>
    <x v="1"/>
    <x v="0"/>
    <n v="218"/>
    <n v="218"/>
    <n v="0"/>
    <n v="10"/>
    <n v="0.83846153846153848"/>
    <n v="43"/>
    <n v="39"/>
    <n v="0.90697674418604646"/>
    <n v="8545"/>
    <n v="2234.5"/>
    <n v="7740"/>
    <n v="18519.5"/>
    <n v="84.951834862385326"/>
  </r>
  <r>
    <d v="2026-02-21T00:00:00"/>
    <x v="4"/>
    <n v="2"/>
    <x v="1"/>
    <x v="0"/>
    <n v="216"/>
    <n v="216"/>
    <n v="0"/>
    <n v="10"/>
    <n v="0.83076923076923082"/>
    <n v="43"/>
    <n v="41"/>
    <n v="0.95348837209302328"/>
    <n v="8545"/>
    <n v="2214"/>
    <n v="7740"/>
    <n v="18499"/>
    <n v="85.643518518518519"/>
  </r>
  <r>
    <d v="2026-02-28T00:00:00"/>
    <x v="4"/>
    <n v="2"/>
    <x v="1"/>
    <x v="0"/>
    <n v="220"/>
    <n v="220"/>
    <n v="0"/>
    <n v="11"/>
    <n v="0.76923076923076927"/>
    <n v="43"/>
    <n v="39"/>
    <n v="0.90697674418604646"/>
    <n v="9399.5"/>
    <n v="2255"/>
    <n v="7740"/>
    <n v="19394.5"/>
    <n v="88.156818181818181"/>
  </r>
  <r>
    <d v="2026-03-07T00:00:00"/>
    <x v="4"/>
    <n v="3"/>
    <x v="1"/>
    <x v="0"/>
    <n v="216"/>
    <n v="216"/>
    <n v="0"/>
    <n v="11"/>
    <n v="0.75524475524475521"/>
    <n v="43"/>
    <n v="42"/>
    <n v="0.97674418604651159"/>
    <n v="9399.5"/>
    <n v="2214"/>
    <n v="7740"/>
    <n v="19353.5"/>
    <n v="89.599537037037038"/>
  </r>
  <r>
    <d v="2026-03-14T00:00:00"/>
    <x v="4"/>
    <n v="3"/>
    <x v="1"/>
    <x v="0"/>
    <n v="239"/>
    <n v="239"/>
    <n v="0"/>
    <n v="11"/>
    <n v="0.83566433566433562"/>
    <n v="43"/>
    <n v="43"/>
    <n v="1"/>
    <n v="9399.5"/>
    <n v="2449.75"/>
    <n v="7740"/>
    <n v="19589.25"/>
    <n v="81.963389121338906"/>
  </r>
  <r>
    <d v="2026-03-21T00:00:00"/>
    <x v="4"/>
    <n v="3"/>
    <x v="1"/>
    <x v="0"/>
    <n v="235"/>
    <n v="235"/>
    <n v="0"/>
    <n v="10"/>
    <n v="0.90384615384615385"/>
    <n v="43"/>
    <n v="42"/>
    <n v="0.97674418604651159"/>
    <n v="8545"/>
    <n v="2408.75"/>
    <n v="7740"/>
    <n v="18693.75"/>
    <n v="79.547872340425528"/>
  </r>
  <r>
    <d v="2026-03-28T00:00:00"/>
    <x v="4"/>
    <n v="3"/>
    <x v="1"/>
    <x v="0"/>
    <n v="236"/>
    <n v="236"/>
    <n v="0"/>
    <n v="11"/>
    <n v="0.82517482517482521"/>
    <n v="43"/>
    <n v="39"/>
    <n v="0.90697674418604646"/>
    <n v="9399.5"/>
    <n v="2419"/>
    <n v="7740"/>
    <n v="19558.5"/>
    <n v="82.875"/>
  </r>
  <r>
    <d v="2026-04-04T00:00:00"/>
    <x v="4"/>
    <n v="4"/>
    <x v="1"/>
    <x v="0"/>
    <n v="238"/>
    <n v="238"/>
    <n v="0"/>
    <n v="13"/>
    <n v="0.70414201183431957"/>
    <n v="43"/>
    <n v="43"/>
    <n v="1"/>
    <n v="11108.5"/>
    <n v="2439.5"/>
    <n v="7740"/>
    <n v="21288"/>
    <n v="89.445378151260499"/>
  </r>
  <r>
    <d v="2026-04-11T00:00:00"/>
    <x v="4"/>
    <n v="4"/>
    <x v="1"/>
    <x v="0"/>
    <n v="228"/>
    <n v="228"/>
    <n v="0"/>
    <n v="11"/>
    <n v="0.79720279720279719"/>
    <n v="43"/>
    <n v="43"/>
    <n v="1"/>
    <n v="9399.5"/>
    <n v="2337"/>
    <n v="7740"/>
    <n v="19476.5"/>
    <n v="85.423245614035082"/>
  </r>
  <r>
    <d v="2026-04-18T00:00:00"/>
    <x v="4"/>
    <n v="4"/>
    <x v="1"/>
    <x v="0"/>
    <n v="233"/>
    <n v="233"/>
    <n v="0"/>
    <n v="12"/>
    <n v="0.74679487179487181"/>
    <n v="43"/>
    <n v="41"/>
    <n v="0.95348837209302328"/>
    <n v="10254"/>
    <n v="2388.25"/>
    <n v="7740"/>
    <n v="20382.25"/>
    <n v="87.477467811158803"/>
  </r>
  <r>
    <d v="2026-04-25T00:00:00"/>
    <x v="4"/>
    <n v="4"/>
    <x v="1"/>
    <x v="0"/>
    <n v="232"/>
    <n v="232"/>
    <n v="0"/>
    <n v="10"/>
    <n v="0.89230769230769236"/>
    <n v="43"/>
    <n v="42"/>
    <n v="0.97674418604651159"/>
    <n v="8545"/>
    <n v="2378"/>
    <n v="7740"/>
    <n v="18663"/>
    <n v="80.443965517241381"/>
  </r>
  <r>
    <d v="2026-05-02T00:00:00"/>
    <x v="4"/>
    <n v="5"/>
    <x v="1"/>
    <x v="0"/>
    <n v="243"/>
    <n v="243"/>
    <n v="0"/>
    <n v="12"/>
    <n v="0.77884615384615385"/>
    <n v="43"/>
    <n v="42"/>
    <n v="0.97674418604651159"/>
    <n v="10254"/>
    <n v="2490.75"/>
    <n v="7740"/>
    <n v="20484.75"/>
    <n v="84.299382716049379"/>
  </r>
  <r>
    <d v="2026-05-09T00:00:00"/>
    <x v="4"/>
    <n v="5"/>
    <x v="1"/>
    <x v="0"/>
    <n v="249"/>
    <n v="249"/>
    <n v="0"/>
    <n v="13"/>
    <n v="0.73668639053254437"/>
    <n v="43"/>
    <n v="42"/>
    <n v="0.97674418604651159"/>
    <n v="11108.5"/>
    <n v="2552.25"/>
    <n v="7740"/>
    <n v="21400.75"/>
    <n v="85.946787148594382"/>
  </r>
  <r>
    <d v="2026-05-16T00:00:00"/>
    <x v="4"/>
    <n v="5"/>
    <x v="1"/>
    <x v="0"/>
    <n v="233"/>
    <n v="233"/>
    <n v="0"/>
    <n v="10"/>
    <n v="0.89615384615384619"/>
    <n v="43"/>
    <n v="43"/>
    <n v="1"/>
    <n v="8545"/>
    <n v="2388.25"/>
    <n v="7740"/>
    <n v="18673.25"/>
    <n v="80.142703862660937"/>
  </r>
  <r>
    <d v="2026-05-23T00:00:00"/>
    <x v="4"/>
    <n v="5"/>
    <x v="1"/>
    <x v="0"/>
    <n v="252"/>
    <n v="252"/>
    <n v="0"/>
    <n v="12"/>
    <n v="0.80769230769230771"/>
    <n v="43"/>
    <n v="42"/>
    <n v="0.97674418604651159"/>
    <n v="10254"/>
    <n v="2583"/>
    <n v="7740"/>
    <n v="20577"/>
    <n v="81.654761904761898"/>
  </r>
  <r>
    <d v="2026-05-30T00:00:00"/>
    <x v="4"/>
    <n v="5"/>
    <x v="1"/>
    <x v="0"/>
    <n v="239"/>
    <n v="239"/>
    <n v="0"/>
    <n v="13"/>
    <n v="0.70710059171597628"/>
    <n v="43"/>
    <n v="42"/>
    <n v="0.97674418604651159"/>
    <n v="11108.5"/>
    <n v="2449.75"/>
    <n v="7740"/>
    <n v="21298.25"/>
    <n v="89.11401673640168"/>
  </r>
  <r>
    <d v="2026-06-06T00:00:00"/>
    <x v="4"/>
    <n v="6"/>
    <x v="1"/>
    <x v="0"/>
    <n v="239"/>
    <n v="239"/>
    <n v="0"/>
    <n v="12"/>
    <n v="0.76602564102564108"/>
    <n v="43"/>
    <n v="43"/>
    <n v="1"/>
    <n v="10254"/>
    <n v="2449.75"/>
    <n v="7740"/>
    <n v="20443.75"/>
    <n v="85.538702928870293"/>
  </r>
  <r>
    <d v="2026-06-13T00:00:00"/>
    <x v="4"/>
    <n v="6"/>
    <x v="1"/>
    <x v="0"/>
    <n v="234"/>
    <n v="234"/>
    <n v="0"/>
    <n v="11"/>
    <n v="0.81818181818181823"/>
    <n v="43"/>
    <n v="42"/>
    <n v="0.97674418604651159"/>
    <n v="9399.5"/>
    <n v="2398.5"/>
    <n v="7740"/>
    <n v="19538"/>
    <n v="83.495726495726501"/>
  </r>
  <r>
    <d v="2026-06-20T00:00:00"/>
    <x v="4"/>
    <n v="6"/>
    <x v="1"/>
    <x v="0"/>
    <n v="228"/>
    <n v="228"/>
    <n v="0"/>
    <n v="10"/>
    <n v="0.87692307692307692"/>
    <n v="43"/>
    <n v="41"/>
    <n v="0.95348837209302328"/>
    <n v="8545"/>
    <n v="2337"/>
    <n v="7740"/>
    <n v="18622"/>
    <n v="81.675438596491233"/>
  </r>
  <r>
    <d v="2026-06-27T00:00:00"/>
    <x v="4"/>
    <n v="6"/>
    <x v="1"/>
    <x v="0"/>
    <n v="232"/>
    <n v="232"/>
    <n v="0"/>
    <n v="11"/>
    <n v="0.81118881118881114"/>
    <n v="43"/>
    <n v="40"/>
    <n v="0.93023255813953487"/>
    <n v="9399.5"/>
    <n v="2378"/>
    <n v="7740"/>
    <n v="19517.5"/>
    <n v="84.127155172413794"/>
  </r>
  <r>
    <d v="2026-07-04T00:00:00"/>
    <x v="4"/>
    <n v="7"/>
    <x v="1"/>
    <x v="0"/>
    <n v="232"/>
    <n v="232"/>
    <n v="0"/>
    <n v="11"/>
    <n v="0.81118881118881114"/>
    <n v="43"/>
    <n v="41"/>
    <n v="0.95348837209302328"/>
    <n v="9399.5"/>
    <n v="2378"/>
    <n v="7740"/>
    <n v="19517.5"/>
    <n v="84.127155172413794"/>
  </r>
  <r>
    <d v="2026-07-11T00:00:00"/>
    <x v="4"/>
    <n v="7"/>
    <x v="1"/>
    <x v="0"/>
    <n v="232"/>
    <n v="232"/>
    <n v="0"/>
    <n v="11"/>
    <n v="0.81118881118881114"/>
    <n v="43"/>
    <n v="43"/>
    <n v="1"/>
    <n v="9399.5"/>
    <n v="2378"/>
    <n v="7740"/>
    <n v="19517.5"/>
    <n v="84.127155172413794"/>
  </r>
  <r>
    <d v="2026-07-18T00:00:00"/>
    <x v="4"/>
    <n v="7"/>
    <x v="1"/>
    <x v="0"/>
    <n v="245"/>
    <n v="245"/>
    <n v="0"/>
    <n v="12"/>
    <n v="0.78525641025641024"/>
    <n v="43"/>
    <n v="41"/>
    <n v="0.95348837209302328"/>
    <n v="10254"/>
    <n v="2511.25"/>
    <n v="7740"/>
    <n v="20505.25"/>
    <n v="83.694897959183677"/>
  </r>
  <r>
    <d v="2026-07-25T00:00:00"/>
    <x v="4"/>
    <n v="7"/>
    <x v="1"/>
    <x v="0"/>
    <n v="241"/>
    <n v="241"/>
    <n v="0"/>
    <n v="12"/>
    <n v="0.77243589743589747"/>
    <n v="43"/>
    <n v="43"/>
    <n v="1"/>
    <n v="10254"/>
    <n v="2470.25"/>
    <n v="7740"/>
    <n v="20464.25"/>
    <n v="84.913900414937757"/>
  </r>
  <r>
    <d v="2022-08-06T00:00:00"/>
    <x v="0"/>
    <n v="8"/>
    <x v="2"/>
    <x v="1"/>
    <n v="246"/>
    <n v="246"/>
    <n v="0"/>
    <n v="12"/>
    <n v="0.78846153846153844"/>
    <n v="42"/>
    <n v="39"/>
    <n v="0.9285714285714286"/>
    <n v="12063"/>
    <n v="2644.5"/>
    <n v="8190"/>
    <n v="22897.5"/>
    <n v="93.079268292682926"/>
  </r>
  <r>
    <d v="2022-08-13T00:00:00"/>
    <x v="0"/>
    <n v="8"/>
    <x v="2"/>
    <x v="1"/>
    <n v="249"/>
    <n v="249"/>
    <n v="0"/>
    <n v="13"/>
    <n v="0.73668639053254437"/>
    <n v="42"/>
    <n v="39"/>
    <n v="0.9285714285714286"/>
    <n v="13068.25"/>
    <n v="2676.75"/>
    <n v="8190"/>
    <n v="23935"/>
    <n v="96.124497991967871"/>
  </r>
  <r>
    <d v="2022-08-20T00:00:00"/>
    <x v="0"/>
    <n v="8"/>
    <x v="2"/>
    <x v="1"/>
    <n v="240"/>
    <n v="240"/>
    <n v="0"/>
    <n v="13"/>
    <n v="0.7100591715976331"/>
    <n v="42"/>
    <n v="40"/>
    <n v="0.95238095238095233"/>
    <n v="13068.25"/>
    <n v="2580"/>
    <n v="8190"/>
    <n v="23838.25"/>
    <n v="99.326041666666669"/>
  </r>
  <r>
    <d v="2022-08-27T00:00:00"/>
    <x v="0"/>
    <n v="8"/>
    <x v="2"/>
    <x v="1"/>
    <n v="244"/>
    <n v="244"/>
    <n v="0"/>
    <n v="12"/>
    <n v="0.78205128205128205"/>
    <n v="42"/>
    <n v="40"/>
    <n v="0.95238095238095233"/>
    <n v="12063"/>
    <n v="2623"/>
    <n v="8190"/>
    <n v="22876"/>
    <n v="93.754098360655732"/>
  </r>
  <r>
    <d v="2022-09-03T00:00:00"/>
    <x v="0"/>
    <n v="9"/>
    <x v="2"/>
    <x v="1"/>
    <n v="233"/>
    <n v="233"/>
    <n v="0"/>
    <n v="12"/>
    <n v="0.74679487179487181"/>
    <n v="42"/>
    <n v="34"/>
    <n v="0.80952380952380953"/>
    <n v="12063"/>
    <n v="2504.75"/>
    <n v="8190"/>
    <n v="22757.75"/>
    <n v="97.672746781115876"/>
  </r>
  <r>
    <d v="2022-09-10T00:00:00"/>
    <x v="0"/>
    <n v="9"/>
    <x v="2"/>
    <x v="1"/>
    <n v="223"/>
    <n v="223"/>
    <n v="0"/>
    <n v="11"/>
    <n v="0.77972027972027969"/>
    <n v="42"/>
    <n v="38"/>
    <n v="0.90476190476190477"/>
    <n v="11057.75"/>
    <n v="2397.25"/>
    <n v="8190"/>
    <n v="21645"/>
    <n v="97.062780269058294"/>
  </r>
  <r>
    <d v="2022-09-17T00:00:00"/>
    <x v="0"/>
    <n v="9"/>
    <x v="2"/>
    <x v="1"/>
    <n v="221"/>
    <n v="221"/>
    <n v="0"/>
    <n v="11"/>
    <n v="0.77272727272727271"/>
    <n v="42"/>
    <n v="38"/>
    <n v="0.90476190476190477"/>
    <n v="11057.75"/>
    <n v="2375.75"/>
    <n v="8190"/>
    <n v="21623.5"/>
    <n v="97.843891402714931"/>
  </r>
  <r>
    <d v="2022-09-24T00:00:00"/>
    <x v="0"/>
    <n v="9"/>
    <x v="2"/>
    <x v="1"/>
    <n v="223"/>
    <n v="223"/>
    <n v="0"/>
    <n v="11"/>
    <n v="0.77972027972027969"/>
    <n v="42"/>
    <n v="34"/>
    <n v="0.80952380952380953"/>
    <n v="11057.75"/>
    <n v="2397.25"/>
    <n v="8190"/>
    <n v="21645"/>
    <n v="97.062780269058294"/>
  </r>
  <r>
    <d v="2022-10-01T00:00:00"/>
    <x v="0"/>
    <n v="10"/>
    <x v="2"/>
    <x v="1"/>
    <n v="238"/>
    <n v="238"/>
    <n v="0"/>
    <n v="12"/>
    <n v="0.76282051282051277"/>
    <n v="42"/>
    <n v="35"/>
    <n v="0.83333333333333337"/>
    <n v="12063"/>
    <n v="2558.5"/>
    <n v="8190"/>
    <n v="22811.5"/>
    <n v="95.846638655462186"/>
  </r>
  <r>
    <d v="2022-10-08T00:00:00"/>
    <x v="0"/>
    <n v="10"/>
    <x v="2"/>
    <x v="1"/>
    <n v="229"/>
    <n v="229"/>
    <n v="0"/>
    <n v="12"/>
    <n v="0.73397435897435892"/>
    <n v="42"/>
    <n v="40"/>
    <n v="0.95238095238095233"/>
    <n v="12063"/>
    <n v="2461.75"/>
    <n v="8190"/>
    <n v="22714.75"/>
    <n v="99.191048034934497"/>
  </r>
  <r>
    <d v="2022-10-15T00:00:00"/>
    <x v="0"/>
    <n v="10"/>
    <x v="2"/>
    <x v="1"/>
    <n v="236"/>
    <n v="236"/>
    <n v="0"/>
    <n v="12"/>
    <n v="0.75641025641025639"/>
    <n v="42"/>
    <n v="39"/>
    <n v="0.9285714285714286"/>
    <n v="12063"/>
    <n v="2537"/>
    <n v="8190"/>
    <n v="22790"/>
    <n v="96.567796610169495"/>
  </r>
  <r>
    <d v="2022-10-22T00:00:00"/>
    <x v="0"/>
    <n v="10"/>
    <x v="2"/>
    <x v="1"/>
    <n v="237"/>
    <n v="237"/>
    <n v="0"/>
    <n v="13"/>
    <n v="0.70118343195266275"/>
    <n v="42"/>
    <n v="38"/>
    <n v="0.90476190476190477"/>
    <n v="13068.25"/>
    <n v="2547.75"/>
    <n v="8190"/>
    <n v="23806"/>
    <n v="100.4472573839662"/>
  </r>
  <r>
    <d v="2022-10-29T00:00:00"/>
    <x v="0"/>
    <n v="10"/>
    <x v="2"/>
    <x v="1"/>
    <n v="263"/>
    <n v="263"/>
    <n v="0"/>
    <n v="13"/>
    <n v="0.77810650887573962"/>
    <n v="42"/>
    <n v="40"/>
    <n v="0.95238095238095233"/>
    <n v="13068.25"/>
    <n v="2827.25"/>
    <n v="8190"/>
    <n v="24085.5"/>
    <n v="91.579847908745251"/>
  </r>
  <r>
    <d v="2022-11-05T00:00:00"/>
    <x v="0"/>
    <n v="11"/>
    <x v="2"/>
    <x v="1"/>
    <n v="277"/>
    <n v="277"/>
    <n v="0"/>
    <n v="14"/>
    <n v="0.76098901098901095"/>
    <n v="42"/>
    <n v="38"/>
    <n v="0.90476190476190477"/>
    <n v="14073.5"/>
    <n v="2977.75"/>
    <n v="8190"/>
    <n v="25241.25"/>
    <n v="91.12364620938628"/>
  </r>
  <r>
    <d v="2022-11-12T00:00:00"/>
    <x v="0"/>
    <n v="11"/>
    <x v="2"/>
    <x v="1"/>
    <n v="273"/>
    <n v="273"/>
    <n v="0"/>
    <n v="14"/>
    <n v="0.75"/>
    <n v="42"/>
    <n v="38"/>
    <n v="0.90476190476190477"/>
    <n v="14073.5"/>
    <n v="2934.75"/>
    <n v="8190"/>
    <n v="25198.25"/>
    <n v="92.301282051282058"/>
  </r>
  <r>
    <d v="2022-11-19T00:00:00"/>
    <x v="0"/>
    <n v="11"/>
    <x v="2"/>
    <x v="1"/>
    <n v="309"/>
    <n v="306"/>
    <n v="3"/>
    <n v="15"/>
    <n v="0.7846153846153846"/>
    <n v="42"/>
    <n v="38"/>
    <n v="0.90476190476190477"/>
    <n v="15078.75"/>
    <n v="3289.5"/>
    <n v="8190"/>
    <n v="26558.25"/>
    <n v="86.791666666666671"/>
  </r>
  <r>
    <d v="2022-11-26T00:00:00"/>
    <x v="0"/>
    <n v="11"/>
    <x v="2"/>
    <x v="1"/>
    <n v="322"/>
    <n v="322"/>
    <n v="3"/>
    <n v="15"/>
    <n v="0.82564102564102559"/>
    <n v="42"/>
    <n v="37"/>
    <n v="0.88095238095238093"/>
    <n v="15078.75"/>
    <n v="3461.5"/>
    <n v="8190"/>
    <n v="26730.25"/>
    <n v="83.013198757763973"/>
  </r>
  <r>
    <d v="2022-12-03T00:00:00"/>
    <x v="0"/>
    <n v="12"/>
    <x v="2"/>
    <x v="1"/>
    <n v="340"/>
    <n v="333"/>
    <n v="10"/>
    <n v="16"/>
    <n v="0.80048076923076927"/>
    <n v="42"/>
    <n v="39"/>
    <n v="0.9285714285714286"/>
    <n v="16084"/>
    <n v="3579.75"/>
    <n v="8190"/>
    <n v="27853.75"/>
    <n v="83.64489489489489"/>
  </r>
  <r>
    <d v="2022-12-10T00:00:00"/>
    <x v="0"/>
    <n v="12"/>
    <x v="2"/>
    <x v="1"/>
    <n v="344"/>
    <n v="338"/>
    <n v="16"/>
    <n v="16"/>
    <n v="0.8125"/>
    <n v="42"/>
    <n v="35"/>
    <n v="0.83333333333333337"/>
    <n v="16084"/>
    <n v="3633.5"/>
    <n v="8190"/>
    <n v="27907.5"/>
    <n v="82.566568047337284"/>
  </r>
  <r>
    <d v="2022-12-17T00:00:00"/>
    <x v="0"/>
    <n v="12"/>
    <x v="2"/>
    <x v="1"/>
    <n v="340"/>
    <n v="337"/>
    <n v="19"/>
    <n v="16"/>
    <n v="0.81009615384615385"/>
    <n v="42"/>
    <n v="39"/>
    <n v="0.9285714285714286"/>
    <n v="16084"/>
    <n v="3622.75"/>
    <n v="8190"/>
    <n v="27896.75"/>
    <n v="82.779673590504444"/>
  </r>
  <r>
    <d v="2022-12-24T00:00:00"/>
    <x v="0"/>
    <n v="12"/>
    <x v="2"/>
    <x v="1"/>
    <n v="289"/>
    <n v="302"/>
    <n v="6"/>
    <n v="15"/>
    <n v="0.77435897435897438"/>
    <n v="42"/>
    <n v="40"/>
    <n v="0.95238095238095233"/>
    <n v="15078.75"/>
    <n v="3246.5"/>
    <n v="8190"/>
    <n v="26515.25"/>
    <n v="87.798841059602651"/>
  </r>
  <r>
    <d v="2022-12-31T00:00:00"/>
    <x v="0"/>
    <n v="12"/>
    <x v="2"/>
    <x v="1"/>
    <n v="262"/>
    <n v="268"/>
    <n v="0"/>
    <n v="14"/>
    <n v="0.73626373626373631"/>
    <n v="42"/>
    <n v="41"/>
    <n v="0.97619047619047616"/>
    <n v="14073.5"/>
    <n v="2881"/>
    <n v="8190"/>
    <n v="25144.5"/>
    <n v="93.822761194029852"/>
  </r>
  <r>
    <d v="2023-01-07T00:00:00"/>
    <x v="1"/>
    <n v="1"/>
    <x v="2"/>
    <x v="1"/>
    <n v="215"/>
    <n v="215"/>
    <n v="0"/>
    <n v="11"/>
    <n v="0.75174825174825177"/>
    <n v="42"/>
    <n v="37"/>
    <n v="0.88095238095238093"/>
    <n v="11057.75"/>
    <n v="2311.25"/>
    <n v="8190"/>
    <n v="21559"/>
    <n v="100.2744186046512"/>
  </r>
  <r>
    <d v="2023-01-14T00:00:00"/>
    <x v="1"/>
    <n v="1"/>
    <x v="2"/>
    <x v="1"/>
    <n v="187"/>
    <n v="187"/>
    <n v="0"/>
    <n v="10"/>
    <n v="0.71923076923076923"/>
    <n v="42"/>
    <n v="35"/>
    <n v="0.83333333333333337"/>
    <n v="10052.5"/>
    <n v="2010.25"/>
    <n v="8190"/>
    <n v="20252.75"/>
    <n v="108.3034759358289"/>
  </r>
  <r>
    <d v="2023-01-21T00:00:00"/>
    <x v="1"/>
    <n v="1"/>
    <x v="2"/>
    <x v="1"/>
    <n v="192"/>
    <n v="192"/>
    <n v="0"/>
    <n v="11"/>
    <n v="0.67132867132867136"/>
    <n v="42"/>
    <n v="38"/>
    <n v="0.90476190476190477"/>
    <n v="11057.75"/>
    <n v="2064"/>
    <n v="8190"/>
    <n v="21311.75"/>
    <n v="110.9986979166667"/>
  </r>
  <r>
    <d v="2023-01-28T00:00:00"/>
    <x v="1"/>
    <n v="1"/>
    <x v="2"/>
    <x v="1"/>
    <n v="203"/>
    <n v="203"/>
    <n v="0"/>
    <n v="11"/>
    <n v="0.70979020979020979"/>
    <n v="42"/>
    <n v="37"/>
    <n v="0.88095238095238093"/>
    <n v="11057.75"/>
    <n v="2182.25"/>
    <n v="8190"/>
    <n v="21430"/>
    <n v="105.56650246305421"/>
  </r>
  <r>
    <d v="2023-02-04T00:00:00"/>
    <x v="1"/>
    <n v="2"/>
    <x v="2"/>
    <x v="1"/>
    <n v="219"/>
    <n v="219"/>
    <n v="0"/>
    <n v="11"/>
    <n v="0.76573426573426573"/>
    <n v="42"/>
    <n v="36"/>
    <n v="0.8571428571428571"/>
    <n v="11057.75"/>
    <n v="2354.25"/>
    <n v="8190"/>
    <n v="21602"/>
    <n v="98.6392694063927"/>
  </r>
  <r>
    <d v="2023-02-11T00:00:00"/>
    <x v="1"/>
    <n v="2"/>
    <x v="2"/>
    <x v="1"/>
    <n v="224"/>
    <n v="224"/>
    <n v="0"/>
    <n v="13"/>
    <n v="0.66272189349112431"/>
    <n v="42"/>
    <n v="36"/>
    <n v="0.8571428571428571"/>
    <n v="13068.25"/>
    <n v="2408"/>
    <n v="8190"/>
    <n v="23666.25"/>
    <n v="105.65290178571431"/>
  </r>
  <r>
    <d v="2023-02-18T00:00:00"/>
    <x v="1"/>
    <n v="2"/>
    <x v="2"/>
    <x v="1"/>
    <n v="215"/>
    <n v="215"/>
    <n v="0"/>
    <n v="11"/>
    <n v="0.75174825174825177"/>
    <n v="42"/>
    <n v="34"/>
    <n v="0.80952380952380953"/>
    <n v="11057.75"/>
    <n v="2311.25"/>
    <n v="8190"/>
    <n v="21559"/>
    <n v="100.2744186046512"/>
  </r>
  <r>
    <d v="2023-02-25T00:00:00"/>
    <x v="1"/>
    <n v="2"/>
    <x v="2"/>
    <x v="1"/>
    <n v="224"/>
    <n v="224"/>
    <n v="0"/>
    <n v="11"/>
    <n v="0.78321678321678323"/>
    <n v="42"/>
    <n v="36"/>
    <n v="0.8571428571428571"/>
    <n v="11057.75"/>
    <n v="2408"/>
    <n v="8190"/>
    <n v="21655.75"/>
    <n v="96.677455357142861"/>
  </r>
  <r>
    <d v="2023-03-04T00:00:00"/>
    <x v="1"/>
    <n v="3"/>
    <x v="2"/>
    <x v="1"/>
    <n v="233"/>
    <n v="233"/>
    <n v="0"/>
    <n v="11"/>
    <n v="0.81468531468531469"/>
    <n v="42"/>
    <n v="39"/>
    <n v="0.9285714285714286"/>
    <n v="11057.75"/>
    <n v="2504.75"/>
    <n v="8190"/>
    <n v="21752.5"/>
    <n v="93.358369098712444"/>
  </r>
  <r>
    <d v="2023-03-11T00:00:00"/>
    <x v="1"/>
    <n v="3"/>
    <x v="2"/>
    <x v="1"/>
    <n v="248"/>
    <n v="248"/>
    <n v="0"/>
    <n v="13"/>
    <n v="0.73372781065088755"/>
    <n v="42"/>
    <n v="38"/>
    <n v="0.90476190476190477"/>
    <n v="13068.25"/>
    <n v="2666"/>
    <n v="8190"/>
    <n v="23924.25"/>
    <n v="96.46875"/>
  </r>
  <r>
    <d v="2023-03-18T00:00:00"/>
    <x v="1"/>
    <n v="3"/>
    <x v="2"/>
    <x v="1"/>
    <n v="233"/>
    <n v="233"/>
    <n v="0"/>
    <n v="12"/>
    <n v="0.74679487179487181"/>
    <n v="42"/>
    <n v="40"/>
    <n v="0.95238095238095233"/>
    <n v="12063"/>
    <n v="2504.75"/>
    <n v="8190"/>
    <n v="22757.75"/>
    <n v="97.672746781115876"/>
  </r>
  <r>
    <d v="2023-03-25T00:00:00"/>
    <x v="1"/>
    <n v="3"/>
    <x v="2"/>
    <x v="1"/>
    <n v="226"/>
    <n v="226"/>
    <n v="0"/>
    <n v="12"/>
    <n v="0.72435897435897434"/>
    <n v="42"/>
    <n v="41"/>
    <n v="0.97619047619047616"/>
    <n v="12063"/>
    <n v="2429.5"/>
    <n v="8190"/>
    <n v="22682.5"/>
    <n v="100.36504424778759"/>
  </r>
  <r>
    <d v="2023-04-01T00:00:00"/>
    <x v="1"/>
    <n v="4"/>
    <x v="2"/>
    <x v="1"/>
    <n v="258"/>
    <n v="258"/>
    <n v="0"/>
    <n v="13"/>
    <n v="0.76331360946745563"/>
    <n v="42"/>
    <n v="36"/>
    <n v="0.8571428571428571"/>
    <n v="13068.25"/>
    <n v="2773.5"/>
    <n v="8190"/>
    <n v="24031.75"/>
    <n v="93.146317829457359"/>
  </r>
  <r>
    <d v="2023-04-08T00:00:00"/>
    <x v="1"/>
    <n v="4"/>
    <x v="2"/>
    <x v="1"/>
    <n v="240"/>
    <n v="240"/>
    <n v="0"/>
    <n v="13"/>
    <n v="0.7100591715976331"/>
    <n v="42"/>
    <n v="39"/>
    <n v="0.9285714285714286"/>
    <n v="13068.25"/>
    <n v="2580"/>
    <n v="8190"/>
    <n v="23838.25"/>
    <n v="99.326041666666669"/>
  </r>
  <r>
    <d v="2023-04-15T00:00:00"/>
    <x v="1"/>
    <n v="4"/>
    <x v="2"/>
    <x v="1"/>
    <n v="239"/>
    <n v="239"/>
    <n v="0"/>
    <n v="13"/>
    <n v="0.70710059171597628"/>
    <n v="42"/>
    <n v="39"/>
    <n v="0.9285714285714286"/>
    <n v="13068.25"/>
    <n v="2569.25"/>
    <n v="8190"/>
    <n v="23827.5"/>
    <n v="99.696652719665266"/>
  </r>
  <r>
    <d v="2023-04-22T00:00:00"/>
    <x v="1"/>
    <n v="4"/>
    <x v="2"/>
    <x v="1"/>
    <n v="241"/>
    <n v="241"/>
    <n v="0"/>
    <n v="13"/>
    <n v="0.71301775147928992"/>
    <n v="42"/>
    <n v="39"/>
    <n v="0.9285714285714286"/>
    <n v="13068.25"/>
    <n v="2590.75"/>
    <n v="8190"/>
    <n v="23849"/>
    <n v="98.958506224066383"/>
  </r>
  <r>
    <d v="2023-04-29T00:00:00"/>
    <x v="1"/>
    <n v="4"/>
    <x v="2"/>
    <x v="1"/>
    <n v="239"/>
    <n v="239"/>
    <n v="0"/>
    <n v="11"/>
    <n v="0.83566433566433562"/>
    <n v="42"/>
    <n v="39"/>
    <n v="0.9285714285714286"/>
    <n v="11057.75"/>
    <n v="2569.25"/>
    <n v="8190"/>
    <n v="21817"/>
    <n v="91.28451882845188"/>
  </r>
  <r>
    <d v="2023-05-06T00:00:00"/>
    <x v="1"/>
    <n v="5"/>
    <x v="2"/>
    <x v="1"/>
    <n v="249"/>
    <n v="249"/>
    <n v="0"/>
    <n v="13"/>
    <n v="0.73668639053254437"/>
    <n v="42"/>
    <n v="40"/>
    <n v="0.95238095238095233"/>
    <n v="13068.25"/>
    <n v="2676.75"/>
    <n v="8190"/>
    <n v="23935"/>
    <n v="96.124497991967871"/>
  </r>
  <r>
    <d v="2023-05-13T00:00:00"/>
    <x v="1"/>
    <n v="5"/>
    <x v="2"/>
    <x v="1"/>
    <n v="245"/>
    <n v="245"/>
    <n v="0"/>
    <n v="13"/>
    <n v="0.7248520710059172"/>
    <n v="42"/>
    <n v="39"/>
    <n v="0.9285714285714286"/>
    <n v="13068.25"/>
    <n v="2633.75"/>
    <n v="8190"/>
    <n v="23892"/>
    <n v="97.518367346938774"/>
  </r>
  <r>
    <d v="2023-05-20T00:00:00"/>
    <x v="1"/>
    <n v="5"/>
    <x v="2"/>
    <x v="1"/>
    <n v="247"/>
    <n v="247"/>
    <n v="0"/>
    <n v="13"/>
    <n v="0.73076923076923073"/>
    <n v="42"/>
    <n v="38"/>
    <n v="0.90476190476190477"/>
    <n v="13068.25"/>
    <n v="2655.25"/>
    <n v="8190"/>
    <n v="23913.5"/>
    <n v="96.815789473684205"/>
  </r>
  <r>
    <d v="2023-05-27T00:00:00"/>
    <x v="1"/>
    <n v="5"/>
    <x v="2"/>
    <x v="1"/>
    <n v="242"/>
    <n v="242"/>
    <n v="0"/>
    <n v="12"/>
    <n v="0.77564102564102566"/>
    <n v="42"/>
    <n v="40"/>
    <n v="0.95238095238095233"/>
    <n v="12063"/>
    <n v="2601.5"/>
    <n v="8190"/>
    <n v="22854.5"/>
    <n v="94.440082644628106"/>
  </r>
  <r>
    <d v="2023-06-03T00:00:00"/>
    <x v="1"/>
    <n v="6"/>
    <x v="2"/>
    <x v="1"/>
    <n v="243"/>
    <n v="243"/>
    <n v="0"/>
    <n v="13"/>
    <n v="0.71893491124260356"/>
    <n v="42"/>
    <n v="39"/>
    <n v="0.9285714285714286"/>
    <n v="13068.25"/>
    <n v="2612.25"/>
    <n v="8190"/>
    <n v="23870.5"/>
    <n v="98.232510288065839"/>
  </r>
  <r>
    <d v="2023-06-10T00:00:00"/>
    <x v="1"/>
    <n v="6"/>
    <x v="2"/>
    <x v="1"/>
    <n v="240"/>
    <n v="240"/>
    <n v="0"/>
    <n v="12"/>
    <n v="0.76923076923076927"/>
    <n v="42"/>
    <n v="38"/>
    <n v="0.90476190476190477"/>
    <n v="12063"/>
    <n v="2580"/>
    <n v="8190"/>
    <n v="22833"/>
    <n v="95.137500000000003"/>
  </r>
  <r>
    <d v="2023-06-17T00:00:00"/>
    <x v="1"/>
    <n v="6"/>
    <x v="2"/>
    <x v="1"/>
    <n v="245"/>
    <n v="245"/>
    <n v="0"/>
    <n v="13"/>
    <n v="0.7248520710059172"/>
    <n v="42"/>
    <n v="41"/>
    <n v="0.97619047619047616"/>
    <n v="13068.25"/>
    <n v="2633.75"/>
    <n v="8190"/>
    <n v="23892"/>
    <n v="97.518367346938774"/>
  </r>
  <r>
    <d v="2023-06-24T00:00:00"/>
    <x v="1"/>
    <n v="6"/>
    <x v="2"/>
    <x v="1"/>
    <n v="236"/>
    <n v="236"/>
    <n v="0"/>
    <n v="12"/>
    <n v="0.75641025641025639"/>
    <n v="42"/>
    <n v="37"/>
    <n v="0.88095238095238093"/>
    <n v="12063"/>
    <n v="2537"/>
    <n v="8190"/>
    <n v="22790"/>
    <n v="96.567796610169495"/>
  </r>
  <r>
    <d v="2023-07-01T00:00:00"/>
    <x v="1"/>
    <n v="7"/>
    <x v="2"/>
    <x v="1"/>
    <n v="234"/>
    <n v="234"/>
    <n v="0"/>
    <n v="12"/>
    <n v="0.75"/>
    <n v="42"/>
    <n v="39"/>
    <n v="0.9285714285714286"/>
    <n v="12063"/>
    <n v="2515.5"/>
    <n v="8190"/>
    <n v="22768.5"/>
    <n v="97.301282051282058"/>
  </r>
  <r>
    <d v="2023-07-08T00:00:00"/>
    <x v="1"/>
    <n v="7"/>
    <x v="2"/>
    <x v="1"/>
    <n v="241"/>
    <n v="241"/>
    <n v="0"/>
    <n v="13"/>
    <n v="0.71301775147928992"/>
    <n v="42"/>
    <n v="39"/>
    <n v="0.9285714285714286"/>
    <n v="13068.25"/>
    <n v="2590.75"/>
    <n v="8190"/>
    <n v="23849"/>
    <n v="98.958506224066383"/>
  </r>
  <r>
    <d v="2023-07-15T00:00:00"/>
    <x v="1"/>
    <n v="7"/>
    <x v="2"/>
    <x v="1"/>
    <n v="231"/>
    <n v="231"/>
    <n v="0"/>
    <n v="11"/>
    <n v="0.80769230769230771"/>
    <n v="42"/>
    <n v="39"/>
    <n v="0.9285714285714286"/>
    <n v="11057.75"/>
    <n v="2483.25"/>
    <n v="8190"/>
    <n v="21731"/>
    <n v="94.073593073593074"/>
  </r>
  <r>
    <d v="2023-07-22T00:00:00"/>
    <x v="1"/>
    <n v="7"/>
    <x v="2"/>
    <x v="1"/>
    <n v="247"/>
    <n v="247"/>
    <n v="0"/>
    <n v="12"/>
    <n v="0.79166666666666663"/>
    <n v="42"/>
    <n v="42"/>
    <n v="1"/>
    <n v="12063"/>
    <n v="2655.25"/>
    <n v="8190"/>
    <n v="22908.25"/>
    <n v="92.745951417004051"/>
  </r>
  <r>
    <d v="2023-07-29T00:00:00"/>
    <x v="1"/>
    <n v="7"/>
    <x v="2"/>
    <x v="1"/>
    <n v="243"/>
    <n v="243"/>
    <n v="0"/>
    <n v="13"/>
    <n v="0.71893491124260356"/>
    <n v="42"/>
    <n v="39"/>
    <n v="0.9285714285714286"/>
    <n v="13068.25"/>
    <n v="2612.25"/>
    <n v="8190"/>
    <n v="23870.5"/>
    <n v="98.232510288065839"/>
  </r>
  <r>
    <d v="2023-08-05T00:00:00"/>
    <x v="1"/>
    <n v="8"/>
    <x v="2"/>
    <x v="1"/>
    <n v="255"/>
    <n v="255"/>
    <n v="0"/>
    <n v="14"/>
    <n v="0.7005494505494505"/>
    <n v="42"/>
    <n v="41"/>
    <n v="0.97619047619047616"/>
    <n v="14073.5"/>
    <n v="2741.25"/>
    <n v="8190"/>
    <n v="25004.75"/>
    <n v="98.057843137254906"/>
  </r>
  <r>
    <d v="2023-08-12T00:00:00"/>
    <x v="1"/>
    <n v="8"/>
    <x v="2"/>
    <x v="1"/>
    <n v="267"/>
    <n v="267"/>
    <n v="0"/>
    <n v="14"/>
    <n v="0.73351648351648346"/>
    <n v="42"/>
    <n v="38"/>
    <n v="0.90476190476190477"/>
    <n v="14073.5"/>
    <n v="2870.25"/>
    <n v="8190"/>
    <n v="25133.75"/>
    <n v="94.133895131086149"/>
  </r>
  <r>
    <d v="2023-08-19T00:00:00"/>
    <x v="1"/>
    <n v="8"/>
    <x v="2"/>
    <x v="1"/>
    <n v="252"/>
    <n v="252"/>
    <n v="0"/>
    <n v="13"/>
    <n v="0.74556213017751483"/>
    <n v="42"/>
    <n v="41"/>
    <n v="0.97619047619047616"/>
    <n v="13068.25"/>
    <n v="2709"/>
    <n v="8190"/>
    <n v="23967.25"/>
    <n v="95.108134920634924"/>
  </r>
  <r>
    <d v="2023-08-26T00:00:00"/>
    <x v="1"/>
    <n v="8"/>
    <x v="2"/>
    <x v="1"/>
    <n v="244"/>
    <n v="244"/>
    <n v="0"/>
    <n v="14"/>
    <n v="0.67032967032967028"/>
    <n v="42"/>
    <n v="37"/>
    <n v="0.88095238095238093"/>
    <n v="14073.5"/>
    <n v="2623"/>
    <n v="8190"/>
    <n v="24886.5"/>
    <n v="101.9938524590164"/>
  </r>
  <r>
    <d v="2023-09-02T00:00:00"/>
    <x v="1"/>
    <n v="9"/>
    <x v="2"/>
    <x v="1"/>
    <n v="240"/>
    <n v="240"/>
    <n v="0"/>
    <n v="12"/>
    <n v="0.76923076923076927"/>
    <n v="42"/>
    <n v="40"/>
    <n v="0.95238095238095233"/>
    <n v="12063"/>
    <n v="2580"/>
    <n v="8190"/>
    <n v="22833"/>
    <n v="95.137500000000003"/>
  </r>
  <r>
    <d v="2023-09-09T00:00:00"/>
    <x v="1"/>
    <n v="9"/>
    <x v="2"/>
    <x v="1"/>
    <n v="236"/>
    <n v="236"/>
    <n v="0"/>
    <n v="12"/>
    <n v="0.75641025641025639"/>
    <n v="42"/>
    <n v="39"/>
    <n v="0.9285714285714286"/>
    <n v="12063"/>
    <n v="2537"/>
    <n v="8190"/>
    <n v="22790"/>
    <n v="96.567796610169495"/>
  </r>
  <r>
    <d v="2023-09-16T00:00:00"/>
    <x v="1"/>
    <n v="9"/>
    <x v="2"/>
    <x v="1"/>
    <n v="230"/>
    <n v="230"/>
    <n v="0"/>
    <n v="13"/>
    <n v="0.68047337278106512"/>
    <n v="42"/>
    <n v="37"/>
    <n v="0.88095238095238093"/>
    <n v="13068.25"/>
    <n v="2472.5"/>
    <n v="8190"/>
    <n v="23730.75"/>
    <n v="103.1771739130435"/>
  </r>
  <r>
    <d v="2023-09-23T00:00:00"/>
    <x v="1"/>
    <n v="9"/>
    <x v="2"/>
    <x v="1"/>
    <n v="242"/>
    <n v="242"/>
    <n v="0"/>
    <n v="12"/>
    <n v="0.77564102564102566"/>
    <n v="42"/>
    <n v="38"/>
    <n v="0.90476190476190477"/>
    <n v="12063"/>
    <n v="2601.5"/>
    <n v="8190"/>
    <n v="22854.5"/>
    <n v="94.440082644628106"/>
  </r>
  <r>
    <d v="2023-09-30T00:00:00"/>
    <x v="1"/>
    <n v="9"/>
    <x v="2"/>
    <x v="1"/>
    <n v="231"/>
    <n v="231"/>
    <n v="0"/>
    <n v="13"/>
    <n v="0.68343195266272194"/>
    <n v="42"/>
    <n v="39"/>
    <n v="0.9285714285714286"/>
    <n v="13068.25"/>
    <n v="2483.25"/>
    <n v="8190"/>
    <n v="23741.5"/>
    <n v="102.7770562770563"/>
  </r>
  <r>
    <d v="2023-10-07T00:00:00"/>
    <x v="1"/>
    <n v="10"/>
    <x v="2"/>
    <x v="1"/>
    <n v="224"/>
    <n v="224"/>
    <n v="0"/>
    <n v="11"/>
    <n v="0.78321678321678323"/>
    <n v="42"/>
    <n v="36"/>
    <n v="0.8571428571428571"/>
    <n v="11057.75"/>
    <n v="2408"/>
    <n v="8190"/>
    <n v="21655.75"/>
    <n v="96.677455357142861"/>
  </r>
  <r>
    <d v="2023-10-14T00:00:00"/>
    <x v="1"/>
    <n v="10"/>
    <x v="2"/>
    <x v="1"/>
    <n v="239"/>
    <n v="239"/>
    <n v="0"/>
    <n v="12"/>
    <n v="0.76602564102564108"/>
    <n v="42"/>
    <n v="37"/>
    <n v="0.88095238095238093"/>
    <n v="12063"/>
    <n v="2569.25"/>
    <n v="8190"/>
    <n v="22822.25"/>
    <n v="95.490585774058573"/>
  </r>
  <r>
    <d v="2023-10-21T00:00:00"/>
    <x v="1"/>
    <n v="10"/>
    <x v="2"/>
    <x v="1"/>
    <n v="249"/>
    <n v="249"/>
    <n v="0"/>
    <n v="13"/>
    <n v="0.73668639053254437"/>
    <n v="42"/>
    <n v="40"/>
    <n v="0.95238095238095233"/>
    <n v="13068.25"/>
    <n v="2676.75"/>
    <n v="8190"/>
    <n v="23935"/>
    <n v="96.124497991967871"/>
  </r>
  <r>
    <d v="2023-10-28T00:00:00"/>
    <x v="1"/>
    <n v="10"/>
    <x v="2"/>
    <x v="1"/>
    <n v="265"/>
    <n v="265"/>
    <n v="0"/>
    <n v="13"/>
    <n v="0.78402366863905326"/>
    <n v="42"/>
    <n v="37"/>
    <n v="0.88095238095238093"/>
    <n v="13068.25"/>
    <n v="2848.75"/>
    <n v="8190"/>
    <n v="24107"/>
    <n v="90.969811320754715"/>
  </r>
  <r>
    <d v="2023-11-04T00:00:00"/>
    <x v="1"/>
    <n v="11"/>
    <x v="2"/>
    <x v="1"/>
    <n v="274"/>
    <n v="272"/>
    <n v="2"/>
    <n v="14"/>
    <n v="0.74725274725274726"/>
    <n v="42"/>
    <n v="42"/>
    <n v="1"/>
    <n v="14073.5"/>
    <n v="2924"/>
    <n v="8190"/>
    <n v="25187.5"/>
    <n v="92.601102941176464"/>
  </r>
  <r>
    <d v="2023-11-11T00:00:00"/>
    <x v="1"/>
    <n v="11"/>
    <x v="2"/>
    <x v="1"/>
    <n v="269"/>
    <n v="271"/>
    <n v="0"/>
    <n v="14"/>
    <n v="0.74450549450549453"/>
    <n v="42"/>
    <n v="36"/>
    <n v="0.8571428571428571"/>
    <n v="14073.5"/>
    <n v="2913.25"/>
    <n v="8190"/>
    <n v="25176.75"/>
    <n v="92.90313653136532"/>
  </r>
  <r>
    <d v="2023-11-18T00:00:00"/>
    <x v="1"/>
    <n v="11"/>
    <x v="2"/>
    <x v="1"/>
    <n v="300"/>
    <n v="300"/>
    <n v="0"/>
    <n v="14"/>
    <n v="0.82417582417582413"/>
    <n v="42"/>
    <n v="39"/>
    <n v="0.9285714285714286"/>
    <n v="14073.5"/>
    <n v="3225"/>
    <n v="8190"/>
    <n v="25488.5"/>
    <n v="84.961666666666673"/>
  </r>
  <r>
    <d v="2023-11-25T00:00:00"/>
    <x v="1"/>
    <n v="11"/>
    <x v="2"/>
    <x v="1"/>
    <n v="326"/>
    <n v="322"/>
    <n v="4"/>
    <n v="15"/>
    <n v="0.82564102564102559"/>
    <n v="42"/>
    <n v="37"/>
    <n v="0.88095238095238093"/>
    <n v="15078.75"/>
    <n v="3461.5"/>
    <n v="8190"/>
    <n v="26730.25"/>
    <n v="83.013198757763973"/>
  </r>
  <r>
    <d v="2023-12-02T00:00:00"/>
    <x v="1"/>
    <n v="12"/>
    <x v="2"/>
    <x v="1"/>
    <n v="350"/>
    <n v="338"/>
    <n v="16"/>
    <n v="16"/>
    <n v="0.8125"/>
    <n v="42"/>
    <n v="38"/>
    <n v="0.90476190476190477"/>
    <n v="16084"/>
    <n v="3633.5"/>
    <n v="8190"/>
    <n v="27907.5"/>
    <n v="82.566568047337284"/>
  </r>
  <r>
    <d v="2023-12-09T00:00:00"/>
    <x v="1"/>
    <n v="12"/>
    <x v="2"/>
    <x v="1"/>
    <n v="399"/>
    <n v="368"/>
    <n v="47"/>
    <n v="17"/>
    <n v="0.83257918552036203"/>
    <n v="45"/>
    <n v="41"/>
    <n v="0.91111111111111109"/>
    <n v="17089.25"/>
    <n v="3956"/>
    <n v="8775"/>
    <n v="29820.25"/>
    <n v="81.033288043478265"/>
  </r>
  <r>
    <d v="2023-12-16T00:00:00"/>
    <x v="1"/>
    <n v="12"/>
    <x v="2"/>
    <x v="1"/>
    <n v="385"/>
    <n v="364"/>
    <n v="68"/>
    <n v="18"/>
    <n v="0.77777777777777779"/>
    <n v="45"/>
    <n v="40"/>
    <n v="0.88888888888888884"/>
    <n v="18094.5"/>
    <n v="3913"/>
    <n v="8775"/>
    <n v="30782.5"/>
    <n v="84.567307692307693"/>
  </r>
  <r>
    <d v="2023-12-23T00:00:00"/>
    <x v="1"/>
    <n v="12"/>
    <x v="2"/>
    <x v="1"/>
    <n v="331"/>
    <n v="356"/>
    <n v="43"/>
    <n v="17"/>
    <n v="0.80542986425339369"/>
    <n v="45"/>
    <n v="40"/>
    <n v="0.88888888888888884"/>
    <n v="17089.25"/>
    <n v="3827"/>
    <n v="8775"/>
    <n v="29691.25"/>
    <n v="83.402387640449433"/>
  </r>
  <r>
    <d v="2023-12-30T00:00:00"/>
    <x v="1"/>
    <n v="12"/>
    <x v="2"/>
    <x v="1"/>
    <n v="283"/>
    <n v="310"/>
    <n v="16"/>
    <n v="15"/>
    <n v="0.79487179487179482"/>
    <n v="45"/>
    <n v="40"/>
    <n v="0.88888888888888884"/>
    <n v="15078.75"/>
    <n v="3332.5"/>
    <n v="8775"/>
    <n v="27186.25"/>
    <n v="87.697580645161295"/>
  </r>
  <r>
    <d v="2024-01-06T00:00:00"/>
    <x v="2"/>
    <n v="1"/>
    <x v="2"/>
    <x v="1"/>
    <n v="238"/>
    <n v="254"/>
    <n v="0"/>
    <n v="13"/>
    <n v="0.75147928994082835"/>
    <n v="45"/>
    <n v="39"/>
    <n v="0.8666666666666667"/>
    <n v="13068.25"/>
    <n v="2730.5"/>
    <n v="8775"/>
    <n v="24573.75"/>
    <n v="96.747047244094489"/>
  </r>
  <r>
    <d v="2024-01-13T00:00:00"/>
    <x v="2"/>
    <n v="1"/>
    <x v="2"/>
    <x v="1"/>
    <n v="191"/>
    <n v="191"/>
    <n v="0"/>
    <n v="11"/>
    <n v="0.66783216783216781"/>
    <n v="45"/>
    <n v="36"/>
    <n v="0.8"/>
    <n v="11057.75"/>
    <n v="2053.25"/>
    <n v="8775"/>
    <n v="21886"/>
    <n v="114.58638743455499"/>
  </r>
  <r>
    <d v="2024-01-20T00:00:00"/>
    <x v="2"/>
    <n v="1"/>
    <x v="2"/>
    <x v="1"/>
    <n v="214"/>
    <n v="214"/>
    <n v="0"/>
    <n v="11"/>
    <n v="0.74825174825174823"/>
    <n v="45"/>
    <n v="42"/>
    <n v="0.93333333333333335"/>
    <n v="11057.75"/>
    <n v="2300.5"/>
    <n v="8775"/>
    <n v="22133.25"/>
    <n v="103.42640186915889"/>
  </r>
  <r>
    <d v="2024-01-27T00:00:00"/>
    <x v="2"/>
    <n v="1"/>
    <x v="2"/>
    <x v="1"/>
    <n v="212"/>
    <n v="212"/>
    <n v="0"/>
    <n v="11"/>
    <n v="0.74125874125874125"/>
    <n v="45"/>
    <n v="38"/>
    <n v="0.84444444444444444"/>
    <n v="11057.75"/>
    <n v="2279"/>
    <n v="8775"/>
    <n v="22111.75"/>
    <n v="104.30070754716979"/>
  </r>
  <r>
    <d v="2024-02-03T00:00:00"/>
    <x v="2"/>
    <n v="2"/>
    <x v="2"/>
    <x v="1"/>
    <n v="236"/>
    <n v="236"/>
    <n v="0"/>
    <n v="11"/>
    <n v="0.82517482517482521"/>
    <n v="45"/>
    <n v="41"/>
    <n v="0.91111111111111109"/>
    <n v="11057.75"/>
    <n v="2537"/>
    <n v="8775"/>
    <n v="22369.75"/>
    <n v="94.787076271186436"/>
  </r>
  <r>
    <d v="2024-02-10T00:00:00"/>
    <x v="2"/>
    <n v="2"/>
    <x v="2"/>
    <x v="1"/>
    <n v="236"/>
    <n v="236"/>
    <n v="0"/>
    <n v="13"/>
    <n v="0.69822485207100593"/>
    <n v="45"/>
    <n v="43"/>
    <n v="0.9555555555555556"/>
    <n v="13068.25"/>
    <n v="2537"/>
    <n v="8775"/>
    <n v="24380.25"/>
    <n v="103.30614406779659"/>
  </r>
  <r>
    <d v="2024-02-17T00:00:00"/>
    <x v="2"/>
    <n v="2"/>
    <x v="2"/>
    <x v="1"/>
    <n v="255"/>
    <n v="255"/>
    <n v="0"/>
    <n v="13"/>
    <n v="0.75443786982248517"/>
    <n v="45"/>
    <n v="43"/>
    <n v="0.9555555555555556"/>
    <n v="13068.25"/>
    <n v="2741.25"/>
    <n v="8775"/>
    <n v="24584.5"/>
    <n v="96.409803921568624"/>
  </r>
  <r>
    <d v="2024-02-24T00:00:00"/>
    <x v="2"/>
    <n v="2"/>
    <x v="2"/>
    <x v="1"/>
    <n v="258"/>
    <n v="258"/>
    <n v="0"/>
    <n v="13"/>
    <n v="0.76331360946745563"/>
    <n v="48"/>
    <n v="44"/>
    <n v="0.91666666666666663"/>
    <n v="13068.25"/>
    <n v="2773.5"/>
    <n v="9360"/>
    <n v="25201.75"/>
    <n v="97.681201550387598"/>
  </r>
  <r>
    <d v="2024-03-02T00:00:00"/>
    <x v="2"/>
    <n v="3"/>
    <x v="2"/>
    <x v="1"/>
    <n v="257"/>
    <n v="257"/>
    <n v="0"/>
    <n v="14"/>
    <n v="0.70604395604395609"/>
    <n v="48"/>
    <n v="45"/>
    <n v="0.9375"/>
    <n v="14073.5"/>
    <n v="2762.75"/>
    <n v="9360"/>
    <n v="26196.25"/>
    <n v="101.9309338521401"/>
  </r>
  <r>
    <d v="2024-03-09T00:00:00"/>
    <x v="2"/>
    <n v="3"/>
    <x v="2"/>
    <x v="1"/>
    <n v="273"/>
    <n v="273"/>
    <n v="0"/>
    <n v="14"/>
    <n v="0.75"/>
    <n v="48"/>
    <n v="46"/>
    <n v="0.95833333333333337"/>
    <n v="14073.5"/>
    <n v="2934.75"/>
    <n v="9360"/>
    <n v="26368.25"/>
    <n v="96.586996336996336"/>
  </r>
  <r>
    <d v="2024-03-16T00:00:00"/>
    <x v="2"/>
    <n v="3"/>
    <x v="2"/>
    <x v="1"/>
    <n v="277"/>
    <n v="277"/>
    <n v="0"/>
    <n v="13"/>
    <n v="0.81952662721893488"/>
    <n v="48"/>
    <n v="46"/>
    <n v="0.95833333333333337"/>
    <n v="13068.25"/>
    <n v="2977.75"/>
    <n v="9360"/>
    <n v="25406"/>
    <n v="91.718411552346566"/>
  </r>
  <r>
    <d v="2024-03-23T00:00:00"/>
    <x v="2"/>
    <n v="3"/>
    <x v="2"/>
    <x v="1"/>
    <n v="283"/>
    <n v="283"/>
    <n v="0"/>
    <n v="14"/>
    <n v="0.77747252747252749"/>
    <n v="48"/>
    <n v="44"/>
    <n v="0.91666666666666663"/>
    <n v="14073.5"/>
    <n v="3042.25"/>
    <n v="9360"/>
    <n v="26475.75"/>
    <n v="93.553886925795055"/>
  </r>
  <r>
    <d v="2024-03-30T00:00:00"/>
    <x v="2"/>
    <n v="3"/>
    <x v="2"/>
    <x v="1"/>
    <n v="269"/>
    <n v="269"/>
    <n v="0"/>
    <n v="14"/>
    <n v="0.73901098901098905"/>
    <n v="48"/>
    <n v="45"/>
    <n v="0.9375"/>
    <n v="14073.5"/>
    <n v="2891.75"/>
    <n v="9360"/>
    <n v="26325.25"/>
    <n v="97.863382899628249"/>
  </r>
  <r>
    <d v="2024-04-06T00:00:00"/>
    <x v="2"/>
    <n v="4"/>
    <x v="2"/>
    <x v="1"/>
    <n v="278"/>
    <n v="278"/>
    <n v="0"/>
    <n v="14"/>
    <n v="0.76373626373626369"/>
    <n v="48"/>
    <n v="45"/>
    <n v="0.9375"/>
    <n v="14073.5"/>
    <n v="2988.5"/>
    <n v="9360"/>
    <n v="26422"/>
    <n v="95.043165467625897"/>
  </r>
  <r>
    <d v="2024-04-13T00:00:00"/>
    <x v="2"/>
    <n v="4"/>
    <x v="2"/>
    <x v="1"/>
    <n v="281"/>
    <n v="281"/>
    <n v="0"/>
    <n v="14"/>
    <n v="0.77197802197802201"/>
    <n v="48"/>
    <n v="46"/>
    <n v="0.95833333333333337"/>
    <n v="14073.5"/>
    <n v="3020.75"/>
    <n v="9360"/>
    <n v="26454.25"/>
    <n v="94.143238434163706"/>
  </r>
  <r>
    <d v="2024-04-20T00:00:00"/>
    <x v="2"/>
    <n v="4"/>
    <x v="2"/>
    <x v="1"/>
    <n v="271"/>
    <n v="271"/>
    <n v="0"/>
    <n v="14"/>
    <n v="0.74450549450549453"/>
    <n v="48"/>
    <n v="43"/>
    <n v="0.89583333333333337"/>
    <n v="14073.5"/>
    <n v="2913.25"/>
    <n v="9360"/>
    <n v="26346.75"/>
    <n v="97.220479704797043"/>
  </r>
  <r>
    <d v="2024-04-27T00:00:00"/>
    <x v="2"/>
    <n v="4"/>
    <x v="2"/>
    <x v="1"/>
    <n v="287"/>
    <n v="287"/>
    <n v="0"/>
    <n v="14"/>
    <n v="0.78846153846153844"/>
    <n v="48"/>
    <n v="46"/>
    <n v="0.95833333333333337"/>
    <n v="14073.5"/>
    <n v="3085.25"/>
    <n v="9360"/>
    <n v="26518.75"/>
    <n v="92.399825783972119"/>
  </r>
  <r>
    <d v="2024-05-04T00:00:00"/>
    <x v="2"/>
    <n v="5"/>
    <x v="2"/>
    <x v="1"/>
    <n v="298"/>
    <n v="298"/>
    <n v="0"/>
    <n v="14"/>
    <n v="0.81868131868131866"/>
    <n v="48"/>
    <n v="46"/>
    <n v="0.95833333333333337"/>
    <n v="14073.5"/>
    <n v="3203.5"/>
    <n v="9360"/>
    <n v="26637"/>
    <n v="89.385906040268452"/>
  </r>
  <r>
    <d v="2024-05-11T00:00:00"/>
    <x v="2"/>
    <n v="5"/>
    <x v="2"/>
    <x v="1"/>
    <n v="304"/>
    <n v="304"/>
    <n v="0"/>
    <n v="15"/>
    <n v="0.77948717948717949"/>
    <n v="48"/>
    <n v="43"/>
    <n v="0.89583333333333337"/>
    <n v="15078.75"/>
    <n v="3268"/>
    <n v="9360"/>
    <n v="27706.75"/>
    <n v="91.140625"/>
  </r>
  <r>
    <d v="2024-05-18T00:00:00"/>
    <x v="2"/>
    <n v="5"/>
    <x v="2"/>
    <x v="1"/>
    <n v="311"/>
    <n v="311"/>
    <n v="0"/>
    <n v="16"/>
    <n v="0.74759615384615385"/>
    <n v="48"/>
    <n v="46"/>
    <n v="0.95833333333333337"/>
    <n v="16084"/>
    <n v="3343.25"/>
    <n v="9360"/>
    <n v="28787.25"/>
    <n v="92.563504823151121"/>
  </r>
  <r>
    <d v="2024-05-25T00:00:00"/>
    <x v="2"/>
    <n v="5"/>
    <x v="2"/>
    <x v="1"/>
    <n v="299"/>
    <n v="299"/>
    <n v="0"/>
    <n v="15"/>
    <n v="0.76666666666666672"/>
    <n v="48"/>
    <n v="45"/>
    <n v="0.9375"/>
    <n v="15078.75"/>
    <n v="3214.25"/>
    <n v="9360"/>
    <n v="27653"/>
    <n v="92.484949832775925"/>
  </r>
  <r>
    <d v="2024-06-01T00:00:00"/>
    <x v="2"/>
    <n v="6"/>
    <x v="2"/>
    <x v="1"/>
    <n v="307"/>
    <n v="307"/>
    <n v="0"/>
    <n v="15"/>
    <n v="0.78717948717948716"/>
    <n v="48"/>
    <n v="41"/>
    <n v="0.85416666666666663"/>
    <n v="15078.75"/>
    <n v="3300.25"/>
    <n v="9360"/>
    <n v="27739"/>
    <n v="90.355048859934854"/>
  </r>
  <r>
    <d v="2024-06-08T00:00:00"/>
    <x v="2"/>
    <n v="6"/>
    <x v="2"/>
    <x v="1"/>
    <n v="298"/>
    <n v="298"/>
    <n v="0"/>
    <n v="16"/>
    <n v="0.71634615384615385"/>
    <n v="48"/>
    <n v="47"/>
    <n v="0.97916666666666663"/>
    <n v="16084"/>
    <n v="3203.5"/>
    <n v="9360"/>
    <n v="28647.5"/>
    <n v="96.132550335570471"/>
  </r>
  <r>
    <d v="2024-06-15T00:00:00"/>
    <x v="2"/>
    <n v="6"/>
    <x v="2"/>
    <x v="1"/>
    <n v="292"/>
    <n v="292"/>
    <n v="0"/>
    <n v="14"/>
    <n v="0.80219780219780223"/>
    <n v="48"/>
    <n v="45"/>
    <n v="0.9375"/>
    <n v="14073.5"/>
    <n v="3139"/>
    <n v="9360"/>
    <n v="26572.5"/>
    <n v="91.001712328767127"/>
  </r>
  <r>
    <d v="2024-06-22T00:00:00"/>
    <x v="2"/>
    <n v="6"/>
    <x v="2"/>
    <x v="1"/>
    <n v="301"/>
    <n v="301"/>
    <n v="0"/>
    <n v="14"/>
    <n v="0.82692307692307687"/>
    <n v="48"/>
    <n v="44"/>
    <n v="0.91666666666666663"/>
    <n v="14073.5"/>
    <n v="3235.75"/>
    <n v="9360"/>
    <n v="26669.25"/>
    <n v="88.602159468438543"/>
  </r>
  <r>
    <d v="2024-06-29T00:00:00"/>
    <x v="2"/>
    <n v="6"/>
    <x v="2"/>
    <x v="1"/>
    <n v="280"/>
    <n v="280"/>
    <n v="0"/>
    <n v="14"/>
    <n v="0.76923076923076927"/>
    <n v="48"/>
    <n v="46"/>
    <n v="0.95833333333333337"/>
    <n v="14073.5"/>
    <n v="3010"/>
    <n v="9360"/>
    <n v="26443.5"/>
    <n v="94.441071428571433"/>
  </r>
  <r>
    <d v="2024-07-06T00:00:00"/>
    <x v="2"/>
    <n v="7"/>
    <x v="2"/>
    <x v="1"/>
    <n v="293"/>
    <n v="293"/>
    <n v="0"/>
    <n v="15"/>
    <n v="0.75128205128205128"/>
    <n v="48"/>
    <n v="47"/>
    <n v="0.97916666666666663"/>
    <n v="15078.75"/>
    <n v="3149.75"/>
    <n v="9360"/>
    <n v="27588.5"/>
    <n v="94.158703071672349"/>
  </r>
  <r>
    <d v="2024-07-13T00:00:00"/>
    <x v="2"/>
    <n v="7"/>
    <x v="2"/>
    <x v="1"/>
    <n v="289"/>
    <n v="289"/>
    <n v="0"/>
    <n v="14"/>
    <n v="0.79395604395604391"/>
    <n v="48"/>
    <n v="48"/>
    <n v="1"/>
    <n v="14073.5"/>
    <n v="3106.75"/>
    <n v="9360"/>
    <n v="26540.25"/>
    <n v="91.834775086505189"/>
  </r>
  <r>
    <d v="2024-07-20T00:00:00"/>
    <x v="2"/>
    <n v="7"/>
    <x v="2"/>
    <x v="1"/>
    <n v="290"/>
    <n v="290"/>
    <n v="0"/>
    <n v="14"/>
    <n v="0.79670329670329665"/>
    <n v="48"/>
    <n v="45"/>
    <n v="0.9375"/>
    <n v="14073.5"/>
    <n v="3117.5"/>
    <n v="9360"/>
    <n v="26551"/>
    <n v="91.555172413793102"/>
  </r>
  <r>
    <d v="2024-07-27T00:00:00"/>
    <x v="2"/>
    <n v="7"/>
    <x v="2"/>
    <x v="1"/>
    <n v="295"/>
    <n v="295"/>
    <n v="0"/>
    <n v="14"/>
    <n v="0.81043956043956045"/>
    <n v="48"/>
    <n v="46"/>
    <n v="0.95833333333333337"/>
    <n v="14073.5"/>
    <n v="3171.25"/>
    <n v="9360"/>
    <n v="26604.75"/>
    <n v="90.185593220338987"/>
  </r>
  <r>
    <d v="2024-08-03T00:00:00"/>
    <x v="2"/>
    <n v="8"/>
    <x v="2"/>
    <x v="1"/>
    <n v="287"/>
    <n v="287"/>
    <n v="0"/>
    <n v="14"/>
    <n v="0.78846153846153844"/>
    <n v="48"/>
    <n v="46"/>
    <n v="0.95833333333333337"/>
    <n v="14073.5"/>
    <n v="3085.25"/>
    <n v="9360"/>
    <n v="26518.75"/>
    <n v="92.399825783972119"/>
  </r>
  <r>
    <d v="2024-08-10T00:00:00"/>
    <x v="2"/>
    <n v="8"/>
    <x v="2"/>
    <x v="1"/>
    <n v="300"/>
    <n v="300"/>
    <n v="0"/>
    <n v="15"/>
    <n v="0.76923076923076927"/>
    <n v="48"/>
    <n v="45"/>
    <n v="0.9375"/>
    <n v="15078.75"/>
    <n v="3225"/>
    <n v="9360"/>
    <n v="27663.75"/>
    <n v="92.212500000000006"/>
  </r>
  <r>
    <d v="2024-08-17T00:00:00"/>
    <x v="2"/>
    <n v="8"/>
    <x v="2"/>
    <x v="1"/>
    <n v="302"/>
    <n v="302"/>
    <n v="0"/>
    <n v="16"/>
    <n v="0.72596153846153844"/>
    <n v="48"/>
    <n v="45"/>
    <n v="0.9375"/>
    <n v="16084"/>
    <n v="3246.5"/>
    <n v="9360"/>
    <n v="28690.5"/>
    <n v="95.00165562913908"/>
  </r>
  <r>
    <d v="2024-08-24T00:00:00"/>
    <x v="2"/>
    <n v="8"/>
    <x v="2"/>
    <x v="1"/>
    <n v="296"/>
    <n v="296"/>
    <n v="0"/>
    <n v="15"/>
    <n v="0.75897435897435894"/>
    <n v="48"/>
    <n v="47"/>
    <n v="0.97916666666666663"/>
    <n v="15078.75"/>
    <n v="3182"/>
    <n v="9360"/>
    <n v="27620.75"/>
    <n v="93.313344594594597"/>
  </r>
  <r>
    <d v="2024-08-31T00:00:00"/>
    <x v="2"/>
    <n v="8"/>
    <x v="2"/>
    <x v="1"/>
    <n v="289"/>
    <n v="289"/>
    <n v="0"/>
    <n v="14"/>
    <n v="0.79395604395604391"/>
    <n v="48"/>
    <n v="43"/>
    <n v="0.89583333333333337"/>
    <n v="14073.5"/>
    <n v="3106.75"/>
    <n v="9360"/>
    <n v="26540.25"/>
    <n v="91.834775086505189"/>
  </r>
  <r>
    <d v="2024-09-07T00:00:00"/>
    <x v="2"/>
    <n v="9"/>
    <x v="2"/>
    <x v="1"/>
    <n v="259"/>
    <n v="259"/>
    <n v="0"/>
    <n v="14"/>
    <n v="0.71153846153846156"/>
    <n v="48"/>
    <n v="42"/>
    <n v="0.875"/>
    <n v="14073.5"/>
    <n v="2784.25"/>
    <n v="9360"/>
    <n v="26217.75"/>
    <n v="101.226833976834"/>
  </r>
  <r>
    <d v="2024-09-14T00:00:00"/>
    <x v="2"/>
    <n v="9"/>
    <x v="2"/>
    <x v="1"/>
    <n v="256"/>
    <n v="256"/>
    <n v="0"/>
    <n v="14"/>
    <n v="0.70329670329670335"/>
    <n v="48"/>
    <n v="46"/>
    <n v="0.95833333333333337"/>
    <n v="14073.5"/>
    <n v="2752"/>
    <n v="9360"/>
    <n v="26185.5"/>
    <n v="102.287109375"/>
  </r>
  <r>
    <d v="2024-09-21T00:00:00"/>
    <x v="2"/>
    <n v="9"/>
    <x v="2"/>
    <x v="1"/>
    <n v="283"/>
    <n v="283"/>
    <n v="0"/>
    <n v="14"/>
    <n v="0.77747252747252749"/>
    <n v="48"/>
    <n v="45"/>
    <n v="0.9375"/>
    <n v="14073.5"/>
    <n v="3042.25"/>
    <n v="9360"/>
    <n v="26475.75"/>
    <n v="93.553886925795055"/>
  </r>
  <r>
    <d v="2024-09-28T00:00:00"/>
    <x v="2"/>
    <n v="9"/>
    <x v="2"/>
    <x v="1"/>
    <n v="277"/>
    <n v="277"/>
    <n v="0"/>
    <n v="14"/>
    <n v="0.76098901098901095"/>
    <n v="48"/>
    <n v="45"/>
    <n v="0.9375"/>
    <n v="14073.5"/>
    <n v="2977.75"/>
    <n v="9360"/>
    <n v="26411.25"/>
    <n v="95.347472924187727"/>
  </r>
  <r>
    <d v="2024-10-05T00:00:00"/>
    <x v="2"/>
    <n v="10"/>
    <x v="2"/>
    <x v="1"/>
    <n v="265"/>
    <n v="265"/>
    <n v="0"/>
    <n v="13"/>
    <n v="0.78402366863905326"/>
    <n v="48"/>
    <n v="47"/>
    <n v="0.97916666666666663"/>
    <n v="13068.25"/>
    <n v="2848.75"/>
    <n v="9360"/>
    <n v="25277"/>
    <n v="95.384905660377356"/>
  </r>
  <r>
    <d v="2024-10-12T00:00:00"/>
    <x v="2"/>
    <n v="10"/>
    <x v="2"/>
    <x v="1"/>
    <n v="288"/>
    <n v="288"/>
    <n v="0"/>
    <n v="14"/>
    <n v="0.79120879120879117"/>
    <n v="48"/>
    <n v="43"/>
    <n v="0.89583333333333337"/>
    <n v="14073.5"/>
    <n v="3096"/>
    <n v="9360"/>
    <n v="26529.5"/>
    <n v="92.116319444444443"/>
  </r>
  <r>
    <d v="2024-10-19T00:00:00"/>
    <x v="2"/>
    <n v="10"/>
    <x v="2"/>
    <x v="1"/>
    <n v="297"/>
    <n v="297"/>
    <n v="0"/>
    <n v="14"/>
    <n v="0.81593406593406592"/>
    <n v="48"/>
    <n v="44"/>
    <n v="0.91666666666666663"/>
    <n v="14073.5"/>
    <n v="3192.75"/>
    <n v="9360"/>
    <n v="26626.25"/>
    <n v="89.650673400673398"/>
  </r>
  <r>
    <d v="2024-10-26T00:00:00"/>
    <x v="2"/>
    <n v="10"/>
    <x v="2"/>
    <x v="1"/>
    <n v="310"/>
    <n v="310"/>
    <n v="0"/>
    <n v="14"/>
    <n v="0.85164835164835162"/>
    <n v="48"/>
    <n v="45"/>
    <n v="0.9375"/>
    <n v="14073.5"/>
    <n v="3332.5"/>
    <n v="9360"/>
    <n v="26766"/>
    <n v="86.341935483870969"/>
  </r>
  <r>
    <d v="2024-11-02T00:00:00"/>
    <x v="2"/>
    <n v="11"/>
    <x v="2"/>
    <x v="1"/>
    <n v="338"/>
    <n v="337"/>
    <n v="1"/>
    <n v="17"/>
    <n v="0.76244343891402711"/>
    <n v="48"/>
    <n v="45"/>
    <n v="0.9375"/>
    <n v="17089.25"/>
    <n v="3622.75"/>
    <n v="9360"/>
    <n v="30072"/>
    <n v="89.234421364985167"/>
  </r>
  <r>
    <d v="2024-11-09T00:00:00"/>
    <x v="2"/>
    <n v="11"/>
    <x v="2"/>
    <x v="1"/>
    <n v="330"/>
    <n v="331"/>
    <n v="0"/>
    <n v="16"/>
    <n v="0.79567307692307687"/>
    <n v="48"/>
    <n v="41"/>
    <n v="0.85416666666666663"/>
    <n v="16084"/>
    <n v="3558.25"/>
    <n v="9360"/>
    <n v="29002.25"/>
    <n v="87.620090634441084"/>
  </r>
  <r>
    <d v="2024-11-16T00:00:00"/>
    <x v="2"/>
    <n v="11"/>
    <x v="2"/>
    <x v="1"/>
    <n v="362"/>
    <n v="362"/>
    <n v="0"/>
    <n v="17"/>
    <n v="0.8190045248868778"/>
    <n v="48"/>
    <n v="44"/>
    <n v="0.91666666666666663"/>
    <n v="17089.25"/>
    <n v="3891.5"/>
    <n v="9360"/>
    <n v="30340.75"/>
    <n v="83.814226519337012"/>
  </r>
  <r>
    <d v="2024-11-23T00:00:00"/>
    <x v="2"/>
    <n v="11"/>
    <x v="2"/>
    <x v="1"/>
    <n v="371"/>
    <n v="368"/>
    <n v="3"/>
    <n v="18"/>
    <n v="0.78632478632478631"/>
    <n v="48"/>
    <n v="43"/>
    <n v="0.89583333333333337"/>
    <n v="18094.5"/>
    <n v="3956"/>
    <n v="9360"/>
    <n v="31410.5"/>
    <n v="85.354619565217391"/>
  </r>
  <r>
    <d v="2024-11-30T00:00:00"/>
    <x v="2"/>
    <n v="11"/>
    <x v="2"/>
    <x v="1"/>
    <n v="405"/>
    <n v="391"/>
    <n v="17"/>
    <n v="18"/>
    <n v="0.8354700854700855"/>
    <n v="48"/>
    <n v="45"/>
    <n v="0.9375"/>
    <n v="18094.5"/>
    <n v="4203.25"/>
    <n v="9360"/>
    <n v="31657.75"/>
    <n v="80.966112531969316"/>
  </r>
  <r>
    <d v="2024-12-07T00:00:00"/>
    <x v="2"/>
    <n v="12"/>
    <x v="2"/>
    <x v="1"/>
    <n v="428"/>
    <n v="397"/>
    <n v="48"/>
    <n v="18"/>
    <n v="0.84829059829059827"/>
    <n v="48"/>
    <n v="42"/>
    <n v="0.875"/>
    <n v="18094.5"/>
    <n v="4267.75"/>
    <n v="9360"/>
    <n v="31722.25"/>
    <n v="79.904911838790937"/>
  </r>
  <r>
    <d v="2024-12-14T00:00:00"/>
    <x v="2"/>
    <n v="12"/>
    <x v="2"/>
    <x v="1"/>
    <n v="461"/>
    <n v="407"/>
    <n v="102"/>
    <n v="19"/>
    <n v="0.82388663967611331"/>
    <n v="48"/>
    <n v="47"/>
    <n v="0.97916666666666663"/>
    <n v="19099.75"/>
    <n v="4375.25"/>
    <n v="9360"/>
    <n v="32835"/>
    <n v="80.675675675675677"/>
  </r>
  <r>
    <d v="2024-12-21T00:00:00"/>
    <x v="2"/>
    <n v="12"/>
    <x v="2"/>
    <x v="1"/>
    <n v="407"/>
    <n v="398"/>
    <n v="111"/>
    <n v="19"/>
    <n v="0.80566801619433204"/>
    <n v="48"/>
    <n v="41"/>
    <n v="0.85416666666666663"/>
    <n v="19099.75"/>
    <n v="4278.5"/>
    <n v="9360"/>
    <n v="32738.25"/>
    <n v="82.256909547738687"/>
  </r>
  <r>
    <d v="2024-12-28T00:00:00"/>
    <x v="2"/>
    <n v="12"/>
    <x v="2"/>
    <x v="1"/>
    <n v="333"/>
    <n v="378"/>
    <n v="66"/>
    <n v="18"/>
    <n v="0.80769230769230771"/>
    <n v="48"/>
    <n v="45"/>
    <n v="0.9375"/>
    <n v="18094.5"/>
    <n v="4063.5"/>
    <n v="9360"/>
    <n v="31518"/>
    <n v="83.38095238095238"/>
  </r>
  <r>
    <d v="2025-01-04T00:00:00"/>
    <x v="3"/>
    <n v="1"/>
    <x v="2"/>
    <x v="1"/>
    <n v="289"/>
    <n v="341"/>
    <n v="14"/>
    <n v="16"/>
    <n v="0.81971153846153844"/>
    <n v="48"/>
    <n v="44"/>
    <n v="0.91666666666666663"/>
    <n v="16084"/>
    <n v="3665.75"/>
    <n v="9360"/>
    <n v="29109.75"/>
    <n v="85.365835777126094"/>
  </r>
  <r>
    <d v="2025-01-11T00:00:00"/>
    <x v="3"/>
    <n v="1"/>
    <x v="2"/>
    <x v="1"/>
    <n v="233"/>
    <n v="247"/>
    <n v="0"/>
    <n v="13"/>
    <n v="0.73076923076923073"/>
    <n v="48"/>
    <n v="38"/>
    <n v="0.79166666666666663"/>
    <n v="13068.25"/>
    <n v="2655.25"/>
    <n v="9360"/>
    <n v="25083.5"/>
    <n v="101.5526315789474"/>
  </r>
  <r>
    <d v="2025-01-18T00:00:00"/>
    <x v="3"/>
    <n v="1"/>
    <x v="2"/>
    <x v="1"/>
    <n v="218"/>
    <n v="218"/>
    <n v="0"/>
    <n v="11"/>
    <n v="0.76223776223776218"/>
    <n v="48"/>
    <n v="41"/>
    <n v="0.85416666666666663"/>
    <n v="11057.75"/>
    <n v="2343.5"/>
    <n v="9360"/>
    <n v="22761.25"/>
    <n v="104.4094036697248"/>
  </r>
  <r>
    <d v="2025-01-25T00:00:00"/>
    <x v="3"/>
    <n v="1"/>
    <x v="2"/>
    <x v="1"/>
    <n v="236"/>
    <n v="236"/>
    <n v="0"/>
    <n v="12"/>
    <n v="0.75641025641025639"/>
    <n v="48"/>
    <n v="42"/>
    <n v="0.875"/>
    <n v="12063"/>
    <n v="2537"/>
    <n v="9360"/>
    <n v="23960"/>
    <n v="101.52542372881361"/>
  </r>
  <r>
    <d v="2025-02-01T00:00:00"/>
    <x v="3"/>
    <n v="2"/>
    <x v="2"/>
    <x v="1"/>
    <n v="243"/>
    <n v="243"/>
    <n v="0"/>
    <n v="13"/>
    <n v="0.71893491124260356"/>
    <n v="48"/>
    <n v="40"/>
    <n v="0.83333333333333337"/>
    <n v="13068.25"/>
    <n v="2612.25"/>
    <n v="9360"/>
    <n v="25040.5"/>
    <n v="103.04732510288071"/>
  </r>
  <r>
    <d v="2025-02-08T00:00:00"/>
    <x v="3"/>
    <n v="2"/>
    <x v="2"/>
    <x v="1"/>
    <n v="270"/>
    <n v="270"/>
    <n v="0"/>
    <n v="13"/>
    <n v="0.79881656804733725"/>
    <n v="48"/>
    <n v="42"/>
    <n v="0.875"/>
    <n v="13068.25"/>
    <n v="2902.5"/>
    <n v="9360"/>
    <n v="25330.75"/>
    <n v="93.81759259259259"/>
  </r>
  <r>
    <d v="2025-02-15T00:00:00"/>
    <x v="3"/>
    <n v="2"/>
    <x v="2"/>
    <x v="1"/>
    <n v="271"/>
    <n v="271"/>
    <n v="0"/>
    <n v="14"/>
    <n v="0.74450549450549453"/>
    <n v="48"/>
    <n v="38"/>
    <n v="0.79166666666666663"/>
    <n v="14073.5"/>
    <n v="2913.25"/>
    <n v="9360"/>
    <n v="26346.75"/>
    <n v="97.220479704797043"/>
  </r>
  <r>
    <d v="2025-02-22T00:00:00"/>
    <x v="3"/>
    <n v="2"/>
    <x v="2"/>
    <x v="1"/>
    <n v="277"/>
    <n v="277"/>
    <n v="0"/>
    <n v="14"/>
    <n v="0.76098901098901095"/>
    <n v="48"/>
    <n v="44"/>
    <n v="0.91666666666666663"/>
    <n v="14073.5"/>
    <n v="2977.75"/>
    <n v="9360"/>
    <n v="26411.25"/>
    <n v="95.347472924187727"/>
  </r>
  <r>
    <d v="2025-03-01T00:00:00"/>
    <x v="3"/>
    <n v="3"/>
    <x v="2"/>
    <x v="1"/>
    <n v="288"/>
    <n v="288"/>
    <n v="0"/>
    <n v="14"/>
    <n v="0.79120879120879117"/>
    <n v="48"/>
    <n v="42"/>
    <n v="0.875"/>
    <n v="14073.5"/>
    <n v="3096"/>
    <n v="9360"/>
    <n v="26529.5"/>
    <n v="92.116319444444443"/>
  </r>
  <r>
    <d v="2025-03-08T00:00:00"/>
    <x v="3"/>
    <n v="3"/>
    <x v="2"/>
    <x v="1"/>
    <n v="301"/>
    <n v="301"/>
    <n v="0"/>
    <n v="15"/>
    <n v="0.77179487179487183"/>
    <n v="48"/>
    <n v="47"/>
    <n v="0.97916666666666663"/>
    <n v="15078.75"/>
    <n v="3235.75"/>
    <n v="9360"/>
    <n v="27674.5"/>
    <n v="91.941860465116278"/>
  </r>
  <r>
    <d v="2025-03-15T00:00:00"/>
    <x v="3"/>
    <n v="3"/>
    <x v="2"/>
    <x v="1"/>
    <n v="281"/>
    <n v="281"/>
    <n v="0"/>
    <n v="14"/>
    <n v="0.77197802197802201"/>
    <n v="48"/>
    <n v="48"/>
    <n v="1"/>
    <n v="14073.5"/>
    <n v="3020.75"/>
    <n v="9360"/>
    <n v="26454.25"/>
    <n v="94.143238434163706"/>
  </r>
  <r>
    <d v="2025-03-22T00:00:00"/>
    <x v="3"/>
    <n v="3"/>
    <x v="2"/>
    <x v="1"/>
    <n v="288"/>
    <n v="288"/>
    <n v="0"/>
    <n v="14"/>
    <n v="0.79120879120879117"/>
    <n v="48"/>
    <n v="43"/>
    <n v="0.89583333333333337"/>
    <n v="14073.5"/>
    <n v="3096"/>
    <n v="9360"/>
    <n v="26529.5"/>
    <n v="92.116319444444443"/>
  </r>
  <r>
    <d v="2025-03-29T00:00:00"/>
    <x v="3"/>
    <n v="3"/>
    <x v="2"/>
    <x v="1"/>
    <n v="285"/>
    <n v="285"/>
    <n v="0"/>
    <n v="13"/>
    <n v="0.84319526627218933"/>
    <n v="48"/>
    <n v="44"/>
    <n v="0.91666666666666663"/>
    <n v="13068.25"/>
    <n v="3063.75"/>
    <n v="9360"/>
    <n v="25492"/>
    <n v="89.445614035087715"/>
  </r>
  <r>
    <d v="2025-04-05T00:00:00"/>
    <x v="3"/>
    <n v="4"/>
    <x v="2"/>
    <x v="1"/>
    <n v="281"/>
    <n v="281"/>
    <n v="0"/>
    <n v="14"/>
    <n v="0.77197802197802201"/>
    <n v="48"/>
    <n v="46"/>
    <n v="0.95833333333333337"/>
    <n v="14073.5"/>
    <n v="3020.75"/>
    <n v="9360"/>
    <n v="26454.25"/>
    <n v="94.143238434163706"/>
  </r>
  <r>
    <d v="2025-04-12T00:00:00"/>
    <x v="3"/>
    <n v="4"/>
    <x v="2"/>
    <x v="1"/>
    <n v="297"/>
    <n v="297"/>
    <n v="0"/>
    <n v="14"/>
    <n v="0.81593406593406592"/>
    <n v="48"/>
    <n v="45"/>
    <n v="0.9375"/>
    <n v="14073.5"/>
    <n v="3192.75"/>
    <n v="9360"/>
    <n v="26626.25"/>
    <n v="89.650673400673398"/>
  </r>
  <r>
    <d v="2025-04-19T00:00:00"/>
    <x v="3"/>
    <n v="4"/>
    <x v="2"/>
    <x v="1"/>
    <n v="301"/>
    <n v="301"/>
    <n v="0"/>
    <n v="15"/>
    <n v="0.77179487179487183"/>
    <n v="48"/>
    <n v="41"/>
    <n v="0.85416666666666663"/>
    <n v="15078.75"/>
    <n v="3235.75"/>
    <n v="9360"/>
    <n v="27674.5"/>
    <n v="91.941860465116278"/>
  </r>
  <r>
    <d v="2025-04-26T00:00:00"/>
    <x v="3"/>
    <n v="4"/>
    <x v="2"/>
    <x v="1"/>
    <n v="292"/>
    <n v="292"/>
    <n v="0"/>
    <n v="14"/>
    <n v="0.80219780219780223"/>
    <n v="48"/>
    <n v="47"/>
    <n v="0.97916666666666663"/>
    <n v="14073.5"/>
    <n v="3139"/>
    <n v="9360"/>
    <n v="26572.5"/>
    <n v="91.001712328767127"/>
  </r>
  <r>
    <d v="2025-05-03T00:00:00"/>
    <x v="3"/>
    <n v="5"/>
    <x v="2"/>
    <x v="1"/>
    <n v="318"/>
    <n v="318"/>
    <n v="0"/>
    <n v="16"/>
    <n v="0.76442307692307687"/>
    <n v="48"/>
    <n v="46"/>
    <n v="0.95833333333333337"/>
    <n v="16084"/>
    <n v="3418.5"/>
    <n v="9360"/>
    <n v="28862.5"/>
    <n v="90.762578616352201"/>
  </r>
  <r>
    <d v="2025-05-10T00:00:00"/>
    <x v="3"/>
    <n v="5"/>
    <x v="2"/>
    <x v="1"/>
    <n v="319"/>
    <n v="319"/>
    <n v="0"/>
    <n v="15"/>
    <n v="0.81794871794871793"/>
    <n v="48"/>
    <n v="45"/>
    <n v="0.9375"/>
    <n v="15078.75"/>
    <n v="3429.25"/>
    <n v="9360"/>
    <n v="27868"/>
    <n v="87.360501567398117"/>
  </r>
  <r>
    <d v="2025-05-17T00:00:00"/>
    <x v="3"/>
    <n v="5"/>
    <x v="2"/>
    <x v="1"/>
    <n v="318"/>
    <n v="318"/>
    <n v="0"/>
    <n v="15"/>
    <n v="0.81538461538461537"/>
    <n v="48"/>
    <n v="45"/>
    <n v="0.9375"/>
    <n v="15078.75"/>
    <n v="3418.5"/>
    <n v="9360"/>
    <n v="27857.25"/>
    <n v="87.601415094339629"/>
  </r>
  <r>
    <d v="2025-05-24T00:00:00"/>
    <x v="3"/>
    <n v="5"/>
    <x v="2"/>
    <x v="1"/>
    <n v="324"/>
    <n v="324"/>
    <n v="0"/>
    <n v="15"/>
    <n v="0.83076923076923082"/>
    <n v="48"/>
    <n v="43"/>
    <n v="0.89583333333333337"/>
    <n v="15078.75"/>
    <n v="3483"/>
    <n v="9360"/>
    <n v="27921.75"/>
    <n v="86.178240740740748"/>
  </r>
  <r>
    <d v="2025-05-31T00:00:00"/>
    <x v="3"/>
    <n v="5"/>
    <x v="2"/>
    <x v="1"/>
    <n v="318"/>
    <n v="318"/>
    <n v="0"/>
    <n v="15"/>
    <n v="0.81538461538461537"/>
    <n v="48"/>
    <n v="47"/>
    <n v="0.97916666666666663"/>
    <n v="15078.75"/>
    <n v="3418.5"/>
    <n v="9360"/>
    <n v="27857.25"/>
    <n v="87.601415094339629"/>
  </r>
  <r>
    <d v="2025-06-07T00:00:00"/>
    <x v="3"/>
    <n v="6"/>
    <x v="2"/>
    <x v="1"/>
    <n v="309"/>
    <n v="309"/>
    <n v="0"/>
    <n v="15"/>
    <n v="0.79230769230769227"/>
    <n v="48"/>
    <n v="46"/>
    <n v="0.95833333333333337"/>
    <n v="15078.75"/>
    <n v="3321.75"/>
    <n v="9360"/>
    <n v="27760.5"/>
    <n v="89.839805825242721"/>
  </r>
  <r>
    <d v="2025-06-14T00:00:00"/>
    <x v="3"/>
    <n v="6"/>
    <x v="2"/>
    <x v="1"/>
    <n v="302"/>
    <n v="302"/>
    <n v="0"/>
    <n v="14"/>
    <n v="0.82967032967032972"/>
    <n v="48"/>
    <n v="44"/>
    <n v="0.91666666666666663"/>
    <n v="14073.5"/>
    <n v="3246.5"/>
    <n v="9360"/>
    <n v="26680"/>
    <n v="88.344370860927157"/>
  </r>
  <r>
    <d v="2025-06-21T00:00:00"/>
    <x v="3"/>
    <n v="6"/>
    <x v="2"/>
    <x v="1"/>
    <n v="294"/>
    <n v="294"/>
    <n v="0"/>
    <n v="15"/>
    <n v="0.75384615384615383"/>
    <n v="48"/>
    <n v="45"/>
    <n v="0.9375"/>
    <n v="15078.75"/>
    <n v="3160.5"/>
    <n v="9360"/>
    <n v="27599.25"/>
    <n v="93.875"/>
  </r>
  <r>
    <d v="2025-06-28T00:00:00"/>
    <x v="3"/>
    <n v="6"/>
    <x v="2"/>
    <x v="1"/>
    <n v="321"/>
    <n v="321"/>
    <n v="0"/>
    <n v="15"/>
    <n v="0.82307692307692304"/>
    <n v="48"/>
    <n v="44"/>
    <n v="0.91666666666666663"/>
    <n v="15078.75"/>
    <n v="3450.75"/>
    <n v="9360"/>
    <n v="27889.5"/>
    <n v="86.883177570093451"/>
  </r>
  <r>
    <d v="2025-07-05T00:00:00"/>
    <x v="3"/>
    <n v="7"/>
    <x v="2"/>
    <x v="1"/>
    <n v="303"/>
    <n v="303"/>
    <n v="0"/>
    <n v="14"/>
    <n v="0.83241758241758246"/>
    <n v="48"/>
    <n v="45"/>
    <n v="0.9375"/>
    <n v="14073.5"/>
    <n v="3257.25"/>
    <n v="9360"/>
    <n v="26690.75"/>
    <n v="88.088283828382842"/>
  </r>
  <r>
    <d v="2025-07-12T00:00:00"/>
    <x v="3"/>
    <n v="7"/>
    <x v="2"/>
    <x v="1"/>
    <n v="307"/>
    <n v="307"/>
    <n v="0"/>
    <n v="14"/>
    <n v="0.84340659340659341"/>
    <n v="48"/>
    <n v="42"/>
    <n v="0.875"/>
    <n v="14073.5"/>
    <n v="3300.25"/>
    <n v="9360"/>
    <n v="26733.75"/>
    <n v="87.080618892508141"/>
  </r>
  <r>
    <d v="2025-07-19T00:00:00"/>
    <x v="3"/>
    <n v="7"/>
    <x v="2"/>
    <x v="1"/>
    <n v="306"/>
    <n v="306"/>
    <n v="0"/>
    <n v="14"/>
    <n v="0.84065934065934067"/>
    <n v="48"/>
    <n v="42"/>
    <n v="0.875"/>
    <n v="14073.5"/>
    <n v="3289.5"/>
    <n v="9360"/>
    <n v="26723"/>
    <n v="87.330065359477118"/>
  </r>
  <r>
    <d v="2025-07-26T00:00:00"/>
    <x v="3"/>
    <n v="7"/>
    <x v="2"/>
    <x v="1"/>
    <n v="322"/>
    <n v="322"/>
    <n v="0"/>
    <n v="15"/>
    <n v="0.82564102564102559"/>
    <n v="48"/>
    <n v="45"/>
    <n v="0.9375"/>
    <n v="15078.75"/>
    <n v="3461.5"/>
    <n v="9360"/>
    <n v="27900.25"/>
    <n v="86.646739130434781"/>
  </r>
  <r>
    <d v="2025-08-02T00:00:00"/>
    <x v="3"/>
    <n v="8"/>
    <x v="2"/>
    <x v="1"/>
    <n v="329"/>
    <n v="329"/>
    <n v="0"/>
    <n v="15"/>
    <n v="0.84358974358974359"/>
    <n v="48"/>
    <n v="46"/>
    <n v="0.95833333333333337"/>
    <n v="15078.75"/>
    <n v="3536.75"/>
    <n v="9360"/>
    <n v="27975.5"/>
    <n v="85.031914893617028"/>
  </r>
  <r>
    <d v="2025-08-09T00:00:00"/>
    <x v="3"/>
    <n v="8"/>
    <x v="2"/>
    <x v="1"/>
    <n v="311"/>
    <n v="311"/>
    <n v="0"/>
    <n v="15"/>
    <n v="0.79743589743589749"/>
    <n v="48"/>
    <n v="44"/>
    <n v="0.91666666666666663"/>
    <n v="15078.75"/>
    <n v="3343.25"/>
    <n v="9360"/>
    <n v="27782"/>
    <n v="89.331189710610929"/>
  </r>
  <r>
    <d v="2025-08-16T00:00:00"/>
    <x v="3"/>
    <n v="8"/>
    <x v="2"/>
    <x v="1"/>
    <n v="321"/>
    <n v="321"/>
    <n v="0"/>
    <n v="15"/>
    <n v="0.82307692307692304"/>
    <n v="48"/>
    <n v="41"/>
    <n v="0.85416666666666663"/>
    <n v="15078.75"/>
    <n v="3450.75"/>
    <n v="9360"/>
    <n v="27889.5"/>
    <n v="86.883177570093451"/>
  </r>
  <r>
    <d v="2025-08-23T00:00:00"/>
    <x v="3"/>
    <n v="8"/>
    <x v="2"/>
    <x v="1"/>
    <n v="308"/>
    <n v="308"/>
    <n v="0"/>
    <n v="16"/>
    <n v="0.74038461538461542"/>
    <n v="48"/>
    <n v="47"/>
    <n v="0.97916666666666663"/>
    <n v="16084"/>
    <n v="3311"/>
    <n v="9360"/>
    <n v="28755"/>
    <n v="93.360389610389603"/>
  </r>
  <r>
    <d v="2025-08-30T00:00:00"/>
    <x v="3"/>
    <n v="8"/>
    <x v="2"/>
    <x v="1"/>
    <n v="304"/>
    <n v="304"/>
    <n v="0"/>
    <n v="15"/>
    <n v="0.77948717948717949"/>
    <n v="48"/>
    <n v="44"/>
    <n v="0.91666666666666663"/>
    <n v="15078.75"/>
    <n v="3268"/>
    <n v="9360"/>
    <n v="27706.75"/>
    <n v="91.140625"/>
  </r>
  <r>
    <d v="2025-09-06T00:00:00"/>
    <x v="3"/>
    <n v="9"/>
    <x v="2"/>
    <x v="1"/>
    <n v="291"/>
    <n v="291"/>
    <n v="0"/>
    <n v="14"/>
    <n v="0.7994505494505495"/>
    <n v="48"/>
    <n v="44"/>
    <n v="0.91666666666666663"/>
    <n v="14073.5"/>
    <n v="3128.25"/>
    <n v="9360"/>
    <n v="26561.75"/>
    <n v="91.277491408934708"/>
  </r>
  <r>
    <d v="2025-09-13T00:00:00"/>
    <x v="3"/>
    <n v="9"/>
    <x v="2"/>
    <x v="1"/>
    <n v="276"/>
    <n v="276"/>
    <n v="0"/>
    <n v="14"/>
    <n v="0.75824175824175821"/>
    <n v="48"/>
    <n v="46"/>
    <n v="0.95833333333333337"/>
    <n v="14073.5"/>
    <n v="2967"/>
    <n v="9360"/>
    <n v="26400.5"/>
    <n v="95.653985507246375"/>
  </r>
  <r>
    <d v="2025-09-20T00:00:00"/>
    <x v="3"/>
    <n v="9"/>
    <x v="2"/>
    <x v="1"/>
    <n v="293"/>
    <n v="293"/>
    <n v="0"/>
    <n v="15"/>
    <n v="0.75128205128205128"/>
    <n v="48"/>
    <n v="43"/>
    <n v="0.89583333333333337"/>
    <n v="15078.75"/>
    <n v="3149.75"/>
    <n v="9360"/>
    <n v="27588.5"/>
    <n v="94.158703071672349"/>
  </r>
  <r>
    <d v="2025-09-27T00:00:00"/>
    <x v="3"/>
    <n v="9"/>
    <x v="2"/>
    <x v="1"/>
    <n v="291"/>
    <n v="291"/>
    <n v="0"/>
    <n v="14"/>
    <n v="0.7994505494505495"/>
    <n v="48"/>
    <n v="44"/>
    <n v="0.91666666666666663"/>
    <n v="14073.5"/>
    <n v="3128.25"/>
    <n v="9360"/>
    <n v="26561.75"/>
    <n v="91.277491408934708"/>
  </r>
  <r>
    <d v="2025-10-04T00:00:00"/>
    <x v="3"/>
    <n v="10"/>
    <x v="2"/>
    <x v="1"/>
    <n v="300"/>
    <n v="300"/>
    <n v="0"/>
    <n v="14"/>
    <n v="0.82417582417582413"/>
    <n v="48"/>
    <n v="45"/>
    <n v="0.9375"/>
    <n v="14073.5"/>
    <n v="3225"/>
    <n v="9360"/>
    <n v="26658.5"/>
    <n v="88.861666666666665"/>
  </r>
  <r>
    <d v="2025-10-11T00:00:00"/>
    <x v="3"/>
    <n v="10"/>
    <x v="2"/>
    <x v="1"/>
    <n v="300"/>
    <n v="300"/>
    <n v="0"/>
    <n v="15"/>
    <n v="0.76923076923076927"/>
    <n v="48"/>
    <n v="47"/>
    <n v="0.97916666666666663"/>
    <n v="15078.75"/>
    <n v="3225"/>
    <n v="9360"/>
    <n v="27663.75"/>
    <n v="92.212500000000006"/>
  </r>
  <r>
    <d v="2025-10-18T00:00:00"/>
    <x v="3"/>
    <n v="10"/>
    <x v="2"/>
    <x v="1"/>
    <n v="308"/>
    <n v="308"/>
    <n v="0"/>
    <n v="15"/>
    <n v="0.78974358974358971"/>
    <n v="48"/>
    <n v="43"/>
    <n v="0.89583333333333337"/>
    <n v="15078.75"/>
    <n v="3311"/>
    <n v="9360"/>
    <n v="27749.75"/>
    <n v="90.096590909090907"/>
  </r>
  <r>
    <d v="2025-10-25T00:00:00"/>
    <x v="3"/>
    <n v="10"/>
    <x v="2"/>
    <x v="1"/>
    <n v="329"/>
    <n v="329"/>
    <n v="0"/>
    <n v="16"/>
    <n v="0.79086538461538458"/>
    <n v="48"/>
    <n v="44"/>
    <n v="0.91666666666666663"/>
    <n v="16084"/>
    <n v="3536.75"/>
    <n v="9360"/>
    <n v="28980.75"/>
    <n v="88.087386018237083"/>
  </r>
  <r>
    <d v="2025-11-01T00:00:00"/>
    <x v="3"/>
    <n v="11"/>
    <x v="2"/>
    <x v="1"/>
    <n v="337"/>
    <n v="337"/>
    <n v="0"/>
    <n v="16"/>
    <n v="0.81009615384615385"/>
    <n v="48"/>
    <n v="46"/>
    <n v="0.95833333333333337"/>
    <n v="16084"/>
    <n v="3622.75"/>
    <n v="9360"/>
    <n v="29066.75"/>
    <n v="86.251483679525222"/>
  </r>
  <r>
    <d v="2025-11-08T00:00:00"/>
    <x v="3"/>
    <n v="11"/>
    <x v="2"/>
    <x v="1"/>
    <n v="371"/>
    <n v="370"/>
    <n v="1"/>
    <n v="17"/>
    <n v="0.83710407239819007"/>
    <n v="48"/>
    <n v="38"/>
    <n v="0.79166666666666663"/>
    <n v="17089.25"/>
    <n v="3977.5"/>
    <n v="9360"/>
    <n v="30426.75"/>
    <n v="82.234459459459458"/>
  </r>
  <r>
    <d v="2025-11-15T00:00:00"/>
    <x v="3"/>
    <n v="11"/>
    <x v="2"/>
    <x v="1"/>
    <n v="394"/>
    <n v="383"/>
    <n v="12"/>
    <n v="18"/>
    <n v="0.81837606837606836"/>
    <n v="48"/>
    <n v="46"/>
    <n v="0.95833333333333337"/>
    <n v="18094.5"/>
    <n v="4117.25"/>
    <n v="9360"/>
    <n v="31571.75"/>
    <n v="82.432767624020883"/>
  </r>
  <r>
    <d v="2025-11-22T00:00:00"/>
    <x v="3"/>
    <n v="11"/>
    <x v="2"/>
    <x v="1"/>
    <n v="407"/>
    <n v="392"/>
    <n v="27"/>
    <n v="18"/>
    <n v="0.83760683760683763"/>
    <n v="48"/>
    <n v="44"/>
    <n v="0.91666666666666663"/>
    <n v="18094.5"/>
    <n v="4214"/>
    <n v="9360"/>
    <n v="31668.5"/>
    <n v="80.786989795918373"/>
  </r>
  <r>
    <d v="2025-11-29T00:00:00"/>
    <x v="3"/>
    <n v="11"/>
    <x v="2"/>
    <x v="1"/>
    <n v="434"/>
    <n v="410"/>
    <n v="51"/>
    <n v="18"/>
    <n v="0.87606837606837606"/>
    <n v="48"/>
    <n v="43"/>
    <n v="0.89583333333333337"/>
    <n v="18094.5"/>
    <n v="4407.5"/>
    <n v="9360"/>
    <n v="31862"/>
    <n v="77.712195121951225"/>
  </r>
  <r>
    <d v="2025-12-06T00:00:00"/>
    <x v="3"/>
    <n v="12"/>
    <x v="2"/>
    <x v="1"/>
    <n v="473"/>
    <n v="411"/>
    <n v="113"/>
    <n v="19"/>
    <n v="0.83198380566801622"/>
    <n v="48"/>
    <n v="44"/>
    <n v="0.91666666666666663"/>
    <n v="19099.75"/>
    <n v="4418.25"/>
    <n v="9360"/>
    <n v="32878"/>
    <n v="79.995133819951334"/>
  </r>
  <r>
    <d v="2025-12-13T00:00:00"/>
    <x v="3"/>
    <n v="12"/>
    <x v="2"/>
    <x v="1"/>
    <n v="458"/>
    <n v="409"/>
    <n v="162"/>
    <n v="19"/>
    <n v="0.82793522267206476"/>
    <n v="48"/>
    <n v="44"/>
    <n v="0.91666666666666663"/>
    <n v="19099.75"/>
    <n v="4396.75"/>
    <n v="9360"/>
    <n v="32856.5"/>
    <n v="80.333740831295842"/>
  </r>
  <r>
    <d v="2025-12-20T00:00:00"/>
    <x v="3"/>
    <n v="12"/>
    <x v="2"/>
    <x v="1"/>
    <n v="416"/>
    <n v="411"/>
    <n v="167"/>
    <n v="19"/>
    <n v="0.83198380566801622"/>
    <n v="48"/>
    <n v="43"/>
    <n v="0.89583333333333337"/>
    <n v="19099.75"/>
    <n v="4418.25"/>
    <n v="9360"/>
    <n v="32878"/>
    <n v="79.995133819951334"/>
  </r>
  <r>
    <d v="2025-12-27T00:00:00"/>
    <x v="3"/>
    <n v="12"/>
    <x v="2"/>
    <x v="1"/>
    <n v="377"/>
    <n v="406"/>
    <n v="138"/>
    <n v="18"/>
    <n v="0.86752136752136755"/>
    <n v="48"/>
    <n v="47"/>
    <n v="0.97916666666666663"/>
    <n v="18094.5"/>
    <n v="4364.5"/>
    <n v="9360"/>
    <n v="31819"/>
    <n v="78.371921182266007"/>
  </r>
  <r>
    <d v="2026-01-03T00:00:00"/>
    <x v="4"/>
    <n v="1"/>
    <x v="2"/>
    <x v="1"/>
    <n v="320"/>
    <n v="386"/>
    <n v="72"/>
    <n v="18"/>
    <n v="0.82478632478632474"/>
    <n v="48"/>
    <n v="47"/>
    <n v="0.97916666666666663"/>
    <n v="18094.5"/>
    <n v="4149.5"/>
    <n v="9360"/>
    <n v="31604"/>
    <n v="81.875647668393782"/>
  </r>
  <r>
    <d v="2026-01-10T00:00:00"/>
    <x v="4"/>
    <n v="1"/>
    <x v="2"/>
    <x v="1"/>
    <n v="251"/>
    <n v="313"/>
    <n v="10"/>
    <n v="16"/>
    <n v="0.75240384615384615"/>
    <n v="48"/>
    <n v="42"/>
    <n v="0.875"/>
    <n v="16084"/>
    <n v="3364.75"/>
    <n v="9360"/>
    <n v="28808.75"/>
    <n v="92.040734824281145"/>
  </r>
  <r>
    <d v="2026-01-17T00:00:00"/>
    <x v="4"/>
    <n v="1"/>
    <x v="2"/>
    <x v="1"/>
    <n v="245"/>
    <n v="255"/>
    <n v="0"/>
    <n v="13"/>
    <n v="0.75443786982248517"/>
    <n v="48"/>
    <n v="46"/>
    <n v="0.95833333333333337"/>
    <n v="13068.25"/>
    <n v="2741.25"/>
    <n v="9360"/>
    <n v="25169.5"/>
    <n v="98.70392156862745"/>
  </r>
  <r>
    <d v="2026-01-24T00:00:00"/>
    <x v="4"/>
    <n v="1"/>
    <x v="2"/>
    <x v="1"/>
    <n v="257"/>
    <n v="257"/>
    <n v="0"/>
    <n v="13"/>
    <n v="0.76035502958579881"/>
    <n v="48"/>
    <n v="43"/>
    <n v="0.89583333333333337"/>
    <n v="13068.25"/>
    <n v="2762.75"/>
    <n v="9360"/>
    <n v="25191"/>
    <n v="98.019455252918291"/>
  </r>
  <r>
    <d v="2026-01-31T00:00:00"/>
    <x v="4"/>
    <n v="1"/>
    <x v="2"/>
    <x v="1"/>
    <n v="271"/>
    <n v="271"/>
    <n v="0"/>
    <n v="14"/>
    <n v="0.74450549450549453"/>
    <n v="48"/>
    <n v="41"/>
    <n v="0.85416666666666663"/>
    <n v="14073.5"/>
    <n v="2913.25"/>
    <n v="9360"/>
    <n v="26346.75"/>
    <n v="97.220479704797043"/>
  </r>
  <r>
    <d v="2026-02-07T00:00:00"/>
    <x v="4"/>
    <n v="2"/>
    <x v="2"/>
    <x v="1"/>
    <n v="294"/>
    <n v="294"/>
    <n v="0"/>
    <n v="14"/>
    <n v="0.80769230769230771"/>
    <n v="48"/>
    <n v="42"/>
    <n v="0.875"/>
    <n v="14073.5"/>
    <n v="3160.5"/>
    <n v="9360"/>
    <n v="26594"/>
    <n v="90.455782312925166"/>
  </r>
  <r>
    <d v="2026-02-14T00:00:00"/>
    <x v="4"/>
    <n v="2"/>
    <x v="2"/>
    <x v="1"/>
    <n v="304"/>
    <n v="304"/>
    <n v="0"/>
    <n v="14"/>
    <n v="0.8351648351648352"/>
    <n v="48"/>
    <n v="39"/>
    <n v="0.8125"/>
    <n v="14073.5"/>
    <n v="3268"/>
    <n v="9360"/>
    <n v="26701.5"/>
    <n v="87.83388157894737"/>
  </r>
  <r>
    <d v="2026-02-21T00:00:00"/>
    <x v="4"/>
    <n v="2"/>
    <x v="2"/>
    <x v="1"/>
    <n v="283"/>
    <n v="283"/>
    <n v="0"/>
    <n v="14"/>
    <n v="0.77747252747252749"/>
    <n v="48"/>
    <n v="47"/>
    <n v="0.97916666666666663"/>
    <n v="14073.5"/>
    <n v="3042.25"/>
    <n v="9360"/>
    <n v="26475.75"/>
    <n v="93.553886925795055"/>
  </r>
  <r>
    <d v="2026-02-28T00:00:00"/>
    <x v="4"/>
    <n v="2"/>
    <x v="2"/>
    <x v="1"/>
    <n v="303"/>
    <n v="303"/>
    <n v="0"/>
    <n v="15"/>
    <n v="0.77692307692307694"/>
    <n v="48"/>
    <n v="43"/>
    <n v="0.89583333333333337"/>
    <n v="15078.75"/>
    <n v="3257.25"/>
    <n v="9360"/>
    <n v="27696"/>
    <n v="91.405940594059402"/>
  </r>
  <r>
    <d v="2026-03-07T00:00:00"/>
    <x v="4"/>
    <n v="3"/>
    <x v="2"/>
    <x v="1"/>
    <n v="300"/>
    <n v="300"/>
    <n v="0"/>
    <n v="14"/>
    <n v="0.82417582417582413"/>
    <n v="48"/>
    <n v="43"/>
    <n v="0.89583333333333337"/>
    <n v="14073.5"/>
    <n v="3225"/>
    <n v="9360"/>
    <n v="26658.5"/>
    <n v="88.861666666666665"/>
  </r>
  <r>
    <d v="2026-03-14T00:00:00"/>
    <x v="4"/>
    <n v="3"/>
    <x v="2"/>
    <x v="1"/>
    <n v="302"/>
    <n v="302"/>
    <n v="0"/>
    <n v="14"/>
    <n v="0.82967032967032972"/>
    <n v="48"/>
    <n v="43"/>
    <n v="0.89583333333333337"/>
    <n v="14073.5"/>
    <n v="3246.5"/>
    <n v="9360"/>
    <n v="26680"/>
    <n v="88.344370860927157"/>
  </r>
  <r>
    <d v="2026-03-21T00:00:00"/>
    <x v="4"/>
    <n v="3"/>
    <x v="2"/>
    <x v="1"/>
    <n v="315"/>
    <n v="315"/>
    <n v="0"/>
    <n v="15"/>
    <n v="0.80769230769230771"/>
    <n v="48"/>
    <n v="46"/>
    <n v="0.95833333333333337"/>
    <n v="15078.75"/>
    <n v="3386.25"/>
    <n v="9360"/>
    <n v="27825"/>
    <n v="88.333333333333329"/>
  </r>
  <r>
    <d v="2026-03-28T00:00:00"/>
    <x v="4"/>
    <n v="3"/>
    <x v="2"/>
    <x v="1"/>
    <n v="307"/>
    <n v="307"/>
    <n v="0"/>
    <n v="15"/>
    <n v="0.78717948717948716"/>
    <n v="48"/>
    <n v="45"/>
    <n v="0.9375"/>
    <n v="15078.75"/>
    <n v="3300.25"/>
    <n v="9360"/>
    <n v="27739"/>
    <n v="90.355048859934854"/>
  </r>
  <r>
    <d v="2026-04-04T00:00:00"/>
    <x v="4"/>
    <n v="4"/>
    <x v="2"/>
    <x v="1"/>
    <n v="318"/>
    <n v="317"/>
    <n v="1"/>
    <n v="15"/>
    <n v="0.81282051282051282"/>
    <n v="48"/>
    <n v="46"/>
    <n v="0.95833333333333337"/>
    <n v="15078.75"/>
    <n v="3407.75"/>
    <n v="9360"/>
    <n v="27846.5"/>
    <n v="87.843848580441644"/>
  </r>
  <r>
    <d v="2026-04-11T00:00:00"/>
    <x v="4"/>
    <n v="4"/>
    <x v="2"/>
    <x v="1"/>
    <n v="302"/>
    <n v="303"/>
    <n v="0"/>
    <n v="15"/>
    <n v="0.77692307692307694"/>
    <n v="48"/>
    <n v="44"/>
    <n v="0.91666666666666663"/>
    <n v="15078.75"/>
    <n v="3257.25"/>
    <n v="9360"/>
    <n v="27696"/>
    <n v="91.405940594059402"/>
  </r>
  <r>
    <d v="2026-04-18T00:00:00"/>
    <x v="4"/>
    <n v="4"/>
    <x v="2"/>
    <x v="1"/>
    <n v="302"/>
    <n v="302"/>
    <n v="0"/>
    <n v="15"/>
    <n v="0.77435897435897438"/>
    <n v="48"/>
    <n v="46"/>
    <n v="0.95833333333333337"/>
    <n v="15078.75"/>
    <n v="3246.5"/>
    <n v="9360"/>
    <n v="27685.25"/>
    <n v="91.673013245033118"/>
  </r>
  <r>
    <d v="2026-04-25T00:00:00"/>
    <x v="4"/>
    <n v="4"/>
    <x v="2"/>
    <x v="1"/>
    <n v="331"/>
    <n v="331"/>
    <n v="0"/>
    <n v="15"/>
    <n v="0.8487179487179487"/>
    <n v="48"/>
    <n v="46"/>
    <n v="0.95833333333333337"/>
    <n v="15078.75"/>
    <n v="3558.25"/>
    <n v="9360"/>
    <n v="27997"/>
    <n v="84.583081570996981"/>
  </r>
  <r>
    <d v="2026-05-02T00:00:00"/>
    <x v="4"/>
    <n v="5"/>
    <x v="2"/>
    <x v="1"/>
    <n v="325"/>
    <n v="325"/>
    <n v="0"/>
    <n v="15"/>
    <n v="0.83333333333333337"/>
    <n v="48"/>
    <n v="44"/>
    <n v="0.91666666666666663"/>
    <n v="15078.75"/>
    <n v="3493.75"/>
    <n v="9360"/>
    <n v="27932.5"/>
    <n v="85.946153846153848"/>
  </r>
  <r>
    <d v="2026-05-09T00:00:00"/>
    <x v="4"/>
    <n v="5"/>
    <x v="2"/>
    <x v="1"/>
    <n v="329"/>
    <n v="329"/>
    <n v="0"/>
    <n v="16"/>
    <n v="0.79086538461538458"/>
    <n v="48"/>
    <n v="42"/>
    <n v="0.875"/>
    <n v="16084"/>
    <n v="3536.75"/>
    <n v="9360"/>
    <n v="28980.75"/>
    <n v="88.087386018237083"/>
  </r>
  <r>
    <d v="2026-05-16T00:00:00"/>
    <x v="4"/>
    <n v="5"/>
    <x v="2"/>
    <x v="1"/>
    <n v="344"/>
    <n v="344"/>
    <n v="0"/>
    <n v="17"/>
    <n v="0.77828054298642535"/>
    <n v="48"/>
    <n v="44"/>
    <n v="0.91666666666666663"/>
    <n v="17089.25"/>
    <n v="3698"/>
    <n v="9360"/>
    <n v="30147.25"/>
    <n v="87.637354651162795"/>
  </r>
  <r>
    <d v="2026-05-23T00:00:00"/>
    <x v="4"/>
    <n v="5"/>
    <x v="2"/>
    <x v="1"/>
    <n v="341"/>
    <n v="341"/>
    <n v="0"/>
    <n v="16"/>
    <n v="0.81971153846153844"/>
    <n v="48"/>
    <n v="45"/>
    <n v="0.9375"/>
    <n v="16084"/>
    <n v="3665.75"/>
    <n v="9360"/>
    <n v="29109.75"/>
    <n v="85.365835777126094"/>
  </r>
  <r>
    <d v="2026-05-30T00:00:00"/>
    <x v="4"/>
    <n v="5"/>
    <x v="2"/>
    <x v="1"/>
    <n v="329"/>
    <n v="329"/>
    <n v="0"/>
    <n v="16"/>
    <n v="0.79086538461538458"/>
    <n v="48"/>
    <n v="42"/>
    <n v="0.875"/>
    <n v="16084"/>
    <n v="3536.75"/>
    <n v="9360"/>
    <n v="28980.75"/>
    <n v="88.087386018237083"/>
  </r>
  <r>
    <d v="2026-06-06T00:00:00"/>
    <x v="4"/>
    <n v="6"/>
    <x v="2"/>
    <x v="1"/>
    <n v="328"/>
    <n v="326"/>
    <n v="2"/>
    <n v="15"/>
    <n v="0.83589743589743593"/>
    <n v="48"/>
    <n v="47"/>
    <n v="0.97916666666666663"/>
    <n v="15078.75"/>
    <n v="3504.5"/>
    <n v="9360"/>
    <n v="27943.25"/>
    <n v="85.715490797546011"/>
  </r>
  <r>
    <d v="2026-06-13T00:00:00"/>
    <x v="4"/>
    <n v="6"/>
    <x v="2"/>
    <x v="1"/>
    <n v="307"/>
    <n v="309"/>
    <n v="0"/>
    <n v="15"/>
    <n v="0.79230769230769227"/>
    <n v="48"/>
    <n v="44"/>
    <n v="0.91666666666666663"/>
    <n v="15078.75"/>
    <n v="3321.75"/>
    <n v="9360"/>
    <n v="27760.5"/>
    <n v="89.839805825242721"/>
  </r>
  <r>
    <d v="2026-06-20T00:00:00"/>
    <x v="4"/>
    <n v="6"/>
    <x v="2"/>
    <x v="1"/>
    <n v="302"/>
    <n v="302"/>
    <n v="0"/>
    <n v="15"/>
    <n v="0.77435897435897438"/>
    <n v="48"/>
    <n v="47"/>
    <n v="0.97916666666666663"/>
    <n v="15078.75"/>
    <n v="3246.5"/>
    <n v="9360"/>
    <n v="27685.25"/>
    <n v="91.673013245033118"/>
  </r>
  <r>
    <d v="2026-06-27T00:00:00"/>
    <x v="4"/>
    <n v="6"/>
    <x v="2"/>
    <x v="1"/>
    <n v="308"/>
    <n v="308"/>
    <n v="0"/>
    <n v="15"/>
    <n v="0.78974358974358971"/>
    <n v="48"/>
    <n v="48"/>
    <n v="1"/>
    <n v="15078.75"/>
    <n v="3311"/>
    <n v="9360"/>
    <n v="27749.75"/>
    <n v="90.096590909090907"/>
  </r>
  <r>
    <d v="2026-07-04T00:00:00"/>
    <x v="4"/>
    <n v="7"/>
    <x v="2"/>
    <x v="1"/>
    <n v="335"/>
    <n v="335"/>
    <n v="0"/>
    <n v="16"/>
    <n v="0.80528846153846156"/>
    <n v="48"/>
    <n v="46"/>
    <n v="0.95833333333333337"/>
    <n v="16084"/>
    <n v="3601.25"/>
    <n v="9360"/>
    <n v="29045.25"/>
    <n v="86.702238805970154"/>
  </r>
  <r>
    <d v="2026-07-11T00:00:00"/>
    <x v="4"/>
    <n v="7"/>
    <x v="2"/>
    <x v="1"/>
    <n v="319"/>
    <n v="319"/>
    <n v="0"/>
    <n v="15"/>
    <n v="0.81794871794871793"/>
    <n v="48"/>
    <n v="47"/>
    <n v="0.97916666666666663"/>
    <n v="15078.75"/>
    <n v="3429.25"/>
    <n v="9360"/>
    <n v="27868"/>
    <n v="87.360501567398117"/>
  </r>
  <r>
    <d v="2026-07-18T00:00:00"/>
    <x v="4"/>
    <n v="7"/>
    <x v="2"/>
    <x v="1"/>
    <n v="314"/>
    <n v="314"/>
    <n v="0"/>
    <n v="15"/>
    <n v="0.80512820512820515"/>
    <n v="48"/>
    <n v="44"/>
    <n v="0.91666666666666663"/>
    <n v="15078.75"/>
    <n v="3375.5"/>
    <n v="9360"/>
    <n v="27814.25"/>
    <n v="88.580414012738856"/>
  </r>
  <r>
    <d v="2026-07-25T00:00:00"/>
    <x v="4"/>
    <n v="7"/>
    <x v="2"/>
    <x v="1"/>
    <n v="329"/>
    <n v="329"/>
    <n v="0"/>
    <n v="15"/>
    <n v="0.84358974358974359"/>
    <n v="48"/>
    <n v="48"/>
    <n v="1"/>
    <n v="15078.75"/>
    <n v="3536.75"/>
    <n v="9360"/>
    <n v="27975.5"/>
    <n v="85.031914893617028"/>
  </r>
  <r>
    <d v="2022-08-06T00:00:00"/>
    <x v="0"/>
    <n v="8"/>
    <x v="3"/>
    <x v="2"/>
    <n v="178"/>
    <n v="178"/>
    <n v="0"/>
    <n v="10"/>
    <n v="0.68461538461538463"/>
    <n v="35"/>
    <n v="32"/>
    <n v="0.91428571428571426"/>
    <n v="6840"/>
    <n v="1557.5"/>
    <n v="5250"/>
    <n v="13647.5"/>
    <n v="76.671348314606746"/>
  </r>
  <r>
    <d v="2022-08-13T00:00:00"/>
    <x v="0"/>
    <n v="8"/>
    <x v="3"/>
    <x v="2"/>
    <n v="187"/>
    <n v="187"/>
    <n v="0"/>
    <n v="11"/>
    <n v="0.65384615384615385"/>
    <n v="35"/>
    <n v="33"/>
    <n v="0.94285714285714284"/>
    <n v="7524"/>
    <n v="1636.25"/>
    <n v="5250"/>
    <n v="14410.25"/>
    <n v="77.060160427807489"/>
  </r>
  <r>
    <d v="2022-08-20T00:00:00"/>
    <x v="0"/>
    <n v="8"/>
    <x v="3"/>
    <x v="2"/>
    <n v="184"/>
    <n v="184"/>
    <n v="0"/>
    <n v="10"/>
    <n v="0.70769230769230773"/>
    <n v="35"/>
    <n v="34"/>
    <n v="0.97142857142857142"/>
    <n v="6840"/>
    <n v="1610"/>
    <n v="5250"/>
    <n v="13700"/>
    <n v="74.456521739130437"/>
  </r>
  <r>
    <d v="2022-08-27T00:00:00"/>
    <x v="0"/>
    <n v="8"/>
    <x v="3"/>
    <x v="2"/>
    <n v="186"/>
    <n v="186"/>
    <n v="0"/>
    <n v="11"/>
    <n v="0.65034965034965031"/>
    <n v="35"/>
    <n v="33"/>
    <n v="0.94285714285714284"/>
    <n v="7524"/>
    <n v="1627.5"/>
    <n v="5250"/>
    <n v="14401.5"/>
    <n v="77.427419354838705"/>
  </r>
  <r>
    <d v="2022-09-03T00:00:00"/>
    <x v="0"/>
    <n v="9"/>
    <x v="3"/>
    <x v="2"/>
    <n v="181"/>
    <n v="181"/>
    <n v="0"/>
    <n v="10"/>
    <n v="0.69615384615384612"/>
    <n v="35"/>
    <n v="32"/>
    <n v="0.91428571428571426"/>
    <n v="6840"/>
    <n v="1583.75"/>
    <n v="5250"/>
    <n v="13673.75"/>
    <n v="75.545580110497241"/>
  </r>
  <r>
    <d v="2022-09-10T00:00:00"/>
    <x v="0"/>
    <n v="9"/>
    <x v="3"/>
    <x v="2"/>
    <n v="181"/>
    <n v="181"/>
    <n v="0"/>
    <n v="11"/>
    <n v="0.63286713286713292"/>
    <n v="35"/>
    <n v="35"/>
    <n v="1"/>
    <n v="7524"/>
    <n v="1583.75"/>
    <n v="5250"/>
    <n v="14357.75"/>
    <n v="79.324585635359114"/>
  </r>
  <r>
    <d v="2022-09-17T00:00:00"/>
    <x v="0"/>
    <n v="9"/>
    <x v="3"/>
    <x v="2"/>
    <n v="181"/>
    <n v="181"/>
    <n v="0"/>
    <n v="10"/>
    <n v="0.69615384615384612"/>
    <n v="35"/>
    <n v="31"/>
    <n v="0.88571428571428568"/>
    <n v="6840"/>
    <n v="1583.75"/>
    <n v="5250"/>
    <n v="13673.75"/>
    <n v="75.545580110497241"/>
  </r>
  <r>
    <d v="2022-09-24T00:00:00"/>
    <x v="0"/>
    <n v="9"/>
    <x v="3"/>
    <x v="2"/>
    <n v="178"/>
    <n v="178"/>
    <n v="0"/>
    <n v="10"/>
    <n v="0.68461538461538463"/>
    <n v="35"/>
    <n v="33"/>
    <n v="0.94285714285714284"/>
    <n v="6840"/>
    <n v="1557.5"/>
    <n v="5250"/>
    <n v="13647.5"/>
    <n v="76.671348314606746"/>
  </r>
  <r>
    <d v="2022-10-01T00:00:00"/>
    <x v="0"/>
    <n v="10"/>
    <x v="3"/>
    <x v="2"/>
    <n v="178"/>
    <n v="178"/>
    <n v="0"/>
    <n v="10"/>
    <n v="0.68461538461538463"/>
    <n v="35"/>
    <n v="35"/>
    <n v="1"/>
    <n v="6840"/>
    <n v="1557.5"/>
    <n v="5250"/>
    <n v="13647.5"/>
    <n v="76.671348314606746"/>
  </r>
  <r>
    <d v="2022-10-08T00:00:00"/>
    <x v="0"/>
    <n v="10"/>
    <x v="3"/>
    <x v="2"/>
    <n v="185"/>
    <n v="185"/>
    <n v="0"/>
    <n v="11"/>
    <n v="0.64685314685314688"/>
    <n v="35"/>
    <n v="35"/>
    <n v="1"/>
    <n v="7524"/>
    <n v="1618.75"/>
    <n v="5250"/>
    <n v="14392.75"/>
    <n v="77.798648648648651"/>
  </r>
  <r>
    <d v="2022-10-15T00:00:00"/>
    <x v="0"/>
    <n v="10"/>
    <x v="3"/>
    <x v="2"/>
    <n v="184"/>
    <n v="184"/>
    <n v="0"/>
    <n v="10"/>
    <n v="0.70769230769230773"/>
    <n v="35"/>
    <n v="34"/>
    <n v="0.97142857142857142"/>
    <n v="6840"/>
    <n v="1610"/>
    <n v="5250"/>
    <n v="13700"/>
    <n v="74.456521739130437"/>
  </r>
  <r>
    <d v="2022-10-22T00:00:00"/>
    <x v="0"/>
    <n v="10"/>
    <x v="3"/>
    <x v="2"/>
    <n v="193"/>
    <n v="193"/>
    <n v="0"/>
    <n v="11"/>
    <n v="0.67482517482517479"/>
    <n v="35"/>
    <n v="34"/>
    <n v="0.97142857142857142"/>
    <n v="7524"/>
    <n v="1688.75"/>
    <n v="5250"/>
    <n v="14462.75"/>
    <n v="74.936528497409327"/>
  </r>
  <r>
    <d v="2022-10-29T00:00:00"/>
    <x v="0"/>
    <n v="10"/>
    <x v="3"/>
    <x v="2"/>
    <n v="203"/>
    <n v="203"/>
    <n v="0"/>
    <n v="11"/>
    <n v="0.70979020979020979"/>
    <n v="35"/>
    <n v="35"/>
    <n v="1"/>
    <n v="7524"/>
    <n v="1776.25"/>
    <n v="5250"/>
    <n v="14550.25"/>
    <n v="71.676108374384242"/>
  </r>
  <r>
    <d v="2022-11-05T00:00:00"/>
    <x v="0"/>
    <n v="11"/>
    <x v="3"/>
    <x v="2"/>
    <n v="206"/>
    <n v="206"/>
    <n v="0"/>
    <n v="11"/>
    <n v="0.72027972027972031"/>
    <n v="35"/>
    <n v="35"/>
    <n v="1"/>
    <n v="7524"/>
    <n v="1802.5"/>
    <n v="5250"/>
    <n v="14576.5"/>
    <n v="70.759708737864074"/>
  </r>
  <r>
    <d v="2022-11-12T00:00:00"/>
    <x v="0"/>
    <n v="11"/>
    <x v="3"/>
    <x v="2"/>
    <n v="218"/>
    <n v="218"/>
    <n v="0"/>
    <n v="12"/>
    <n v="0.69871794871794868"/>
    <n v="35"/>
    <n v="32"/>
    <n v="0.91428571428571426"/>
    <n v="8208"/>
    <n v="1907.5"/>
    <n v="5250"/>
    <n v="15365.5"/>
    <n v="70.483944954128447"/>
  </r>
  <r>
    <d v="2022-11-19T00:00:00"/>
    <x v="0"/>
    <n v="11"/>
    <x v="3"/>
    <x v="2"/>
    <n v="227"/>
    <n v="227"/>
    <n v="0"/>
    <n v="11"/>
    <n v="0.79370629370629375"/>
    <n v="35"/>
    <n v="32"/>
    <n v="0.91428571428571426"/>
    <n v="7524"/>
    <n v="1986.25"/>
    <n v="5250"/>
    <n v="14760.25"/>
    <n v="65.023127753303967"/>
  </r>
  <r>
    <d v="2022-11-26T00:00:00"/>
    <x v="0"/>
    <n v="11"/>
    <x v="3"/>
    <x v="2"/>
    <n v="254"/>
    <n v="250"/>
    <n v="4"/>
    <n v="13"/>
    <n v="0.73964497041420119"/>
    <n v="35"/>
    <n v="34"/>
    <n v="0.97142857142857142"/>
    <n v="8892"/>
    <n v="2187.5"/>
    <n v="5250"/>
    <n v="16329.5"/>
    <n v="65.317999999999998"/>
  </r>
  <r>
    <d v="2022-12-03T00:00:00"/>
    <x v="0"/>
    <n v="12"/>
    <x v="3"/>
    <x v="2"/>
    <n v="261"/>
    <n v="255"/>
    <n v="10"/>
    <n v="13"/>
    <n v="0.75443786982248517"/>
    <n v="35"/>
    <n v="33"/>
    <n v="0.94285714285714284"/>
    <n v="8892"/>
    <n v="2231.25"/>
    <n v="5250"/>
    <n v="16373.25"/>
    <n v="64.20882352941176"/>
  </r>
  <r>
    <d v="2022-12-10T00:00:00"/>
    <x v="0"/>
    <n v="12"/>
    <x v="3"/>
    <x v="2"/>
    <n v="284"/>
    <n v="269"/>
    <n v="25"/>
    <n v="13"/>
    <n v="0.79585798816568043"/>
    <n v="35"/>
    <n v="35"/>
    <n v="1"/>
    <n v="8892"/>
    <n v="2353.75"/>
    <n v="5250"/>
    <n v="16495.75"/>
    <n v="61.322490706319712"/>
  </r>
  <r>
    <d v="2022-12-17T00:00:00"/>
    <x v="0"/>
    <n v="12"/>
    <x v="3"/>
    <x v="2"/>
    <n v="271"/>
    <n v="272"/>
    <n v="24"/>
    <n v="13"/>
    <n v="0.80473372781065089"/>
    <n v="35"/>
    <n v="31"/>
    <n v="0.88571428571428568"/>
    <n v="8892"/>
    <n v="2380"/>
    <n v="5250"/>
    <n v="16522"/>
    <n v="60.742647058823529"/>
  </r>
  <r>
    <d v="2022-12-24T00:00:00"/>
    <x v="0"/>
    <n v="12"/>
    <x v="3"/>
    <x v="2"/>
    <n v="227"/>
    <n v="243"/>
    <n v="8"/>
    <n v="12"/>
    <n v="0.77884615384615385"/>
    <n v="35"/>
    <n v="35"/>
    <n v="1"/>
    <n v="8208"/>
    <n v="2126.25"/>
    <n v="5250"/>
    <n v="15584.25"/>
    <n v="64.132716049382722"/>
  </r>
  <r>
    <d v="2022-12-31T00:00:00"/>
    <x v="0"/>
    <n v="12"/>
    <x v="3"/>
    <x v="2"/>
    <n v="194"/>
    <n v="202"/>
    <n v="0"/>
    <n v="11"/>
    <n v="0.70629370629370625"/>
    <n v="35"/>
    <n v="35"/>
    <n v="1"/>
    <n v="7524"/>
    <n v="1767.5"/>
    <n v="5250"/>
    <n v="14541.5"/>
    <n v="71.987623762376231"/>
  </r>
  <r>
    <d v="2023-01-07T00:00:00"/>
    <x v="1"/>
    <n v="1"/>
    <x v="3"/>
    <x v="2"/>
    <n v="168"/>
    <n v="168"/>
    <n v="0"/>
    <n v="10"/>
    <n v="0.64615384615384619"/>
    <n v="35"/>
    <n v="33"/>
    <n v="0.94285714285714284"/>
    <n v="6840"/>
    <n v="1470"/>
    <n v="5250"/>
    <n v="13560"/>
    <n v="80.714285714285708"/>
  </r>
  <r>
    <d v="2023-01-14T00:00:00"/>
    <x v="1"/>
    <n v="1"/>
    <x v="3"/>
    <x v="2"/>
    <n v="154"/>
    <n v="154"/>
    <n v="0"/>
    <n v="8"/>
    <n v="0.74038461538461542"/>
    <n v="35"/>
    <n v="35"/>
    <n v="1"/>
    <n v="5472"/>
    <n v="1347.5"/>
    <n v="5250"/>
    <n v="12069.5"/>
    <n v="78.373376623376629"/>
  </r>
  <r>
    <d v="2023-01-21T00:00:00"/>
    <x v="1"/>
    <n v="1"/>
    <x v="3"/>
    <x v="2"/>
    <n v="147"/>
    <n v="147"/>
    <n v="0"/>
    <n v="8"/>
    <n v="0.70673076923076927"/>
    <n v="35"/>
    <n v="35"/>
    <n v="1"/>
    <n v="5472"/>
    <n v="1286.25"/>
    <n v="5250"/>
    <n v="12008.25"/>
    <n v="81.688775510204081"/>
  </r>
  <r>
    <d v="2023-01-28T00:00:00"/>
    <x v="1"/>
    <n v="1"/>
    <x v="3"/>
    <x v="2"/>
    <n v="151"/>
    <n v="151"/>
    <n v="0"/>
    <n v="9"/>
    <n v="0.64529914529914534"/>
    <n v="35"/>
    <n v="34"/>
    <n v="0.97142857142857142"/>
    <n v="6156"/>
    <n v="1321.25"/>
    <n v="5250"/>
    <n v="12727.25"/>
    <n v="84.286423841059602"/>
  </r>
  <r>
    <d v="2023-02-04T00:00:00"/>
    <x v="1"/>
    <n v="2"/>
    <x v="3"/>
    <x v="2"/>
    <n v="168"/>
    <n v="168"/>
    <n v="0"/>
    <n v="10"/>
    <n v="0.64615384615384619"/>
    <n v="35"/>
    <n v="32"/>
    <n v="0.91428571428571426"/>
    <n v="6840"/>
    <n v="1470"/>
    <n v="5250"/>
    <n v="13560"/>
    <n v="80.714285714285708"/>
  </r>
  <r>
    <d v="2023-02-11T00:00:00"/>
    <x v="1"/>
    <n v="2"/>
    <x v="3"/>
    <x v="2"/>
    <n v="175"/>
    <n v="175"/>
    <n v="0"/>
    <n v="10"/>
    <n v="0.67307692307692313"/>
    <n v="35"/>
    <n v="33"/>
    <n v="0.94285714285714284"/>
    <n v="6840"/>
    <n v="1531.25"/>
    <n v="5250"/>
    <n v="13621.25"/>
    <n v="77.835714285714289"/>
  </r>
  <r>
    <d v="2023-02-18T00:00:00"/>
    <x v="1"/>
    <n v="2"/>
    <x v="3"/>
    <x v="2"/>
    <n v="182"/>
    <n v="182"/>
    <n v="0"/>
    <n v="11"/>
    <n v="0.63636363636363635"/>
    <n v="35"/>
    <n v="33"/>
    <n v="0.94285714285714284"/>
    <n v="7524"/>
    <n v="1592.5"/>
    <n v="5250"/>
    <n v="14366.5"/>
    <n v="78.936813186813183"/>
  </r>
  <r>
    <d v="2023-02-25T00:00:00"/>
    <x v="1"/>
    <n v="2"/>
    <x v="3"/>
    <x v="2"/>
    <n v="181"/>
    <n v="181"/>
    <n v="0"/>
    <n v="10"/>
    <n v="0.69615384615384612"/>
    <n v="35"/>
    <n v="34"/>
    <n v="0.97142857142857142"/>
    <n v="6840"/>
    <n v="1583.75"/>
    <n v="5250"/>
    <n v="13673.75"/>
    <n v="75.545580110497241"/>
  </r>
  <r>
    <d v="2023-03-04T00:00:00"/>
    <x v="1"/>
    <n v="3"/>
    <x v="3"/>
    <x v="2"/>
    <n v="177"/>
    <n v="177"/>
    <n v="0"/>
    <n v="10"/>
    <n v="0.68076923076923079"/>
    <n v="35"/>
    <n v="35"/>
    <n v="1"/>
    <n v="6840"/>
    <n v="1548.75"/>
    <n v="5250"/>
    <n v="13638.75"/>
    <n v="77.055084745762713"/>
  </r>
  <r>
    <d v="2023-03-11T00:00:00"/>
    <x v="1"/>
    <n v="3"/>
    <x v="3"/>
    <x v="2"/>
    <n v="187"/>
    <n v="187"/>
    <n v="0"/>
    <n v="11"/>
    <n v="0.65384615384615385"/>
    <n v="35"/>
    <n v="35"/>
    <n v="1"/>
    <n v="7524"/>
    <n v="1636.25"/>
    <n v="5250"/>
    <n v="14410.25"/>
    <n v="77.060160427807489"/>
  </r>
  <r>
    <d v="2023-03-18T00:00:00"/>
    <x v="1"/>
    <n v="3"/>
    <x v="3"/>
    <x v="2"/>
    <n v="186"/>
    <n v="186"/>
    <n v="0"/>
    <n v="11"/>
    <n v="0.65034965034965031"/>
    <n v="35"/>
    <n v="34"/>
    <n v="0.97142857142857142"/>
    <n v="7524"/>
    <n v="1627.5"/>
    <n v="5250"/>
    <n v="14401.5"/>
    <n v="77.427419354838705"/>
  </r>
  <r>
    <d v="2023-03-25T00:00:00"/>
    <x v="1"/>
    <n v="3"/>
    <x v="3"/>
    <x v="2"/>
    <n v="179"/>
    <n v="179"/>
    <n v="0"/>
    <n v="11"/>
    <n v="0.62587412587412583"/>
    <n v="35"/>
    <n v="34"/>
    <n v="0.97142857142857142"/>
    <n v="7524"/>
    <n v="1566.25"/>
    <n v="5250"/>
    <n v="14340.25"/>
    <n v="80.113128491620117"/>
  </r>
  <r>
    <d v="2023-04-01T00:00:00"/>
    <x v="1"/>
    <n v="4"/>
    <x v="3"/>
    <x v="2"/>
    <n v="186"/>
    <n v="186"/>
    <n v="0"/>
    <n v="10"/>
    <n v="0.7153846153846154"/>
    <n v="35"/>
    <n v="35"/>
    <n v="1"/>
    <n v="6840"/>
    <n v="1627.5"/>
    <n v="5250"/>
    <n v="13717.5"/>
    <n v="73.75"/>
  </r>
  <r>
    <d v="2023-04-08T00:00:00"/>
    <x v="1"/>
    <n v="4"/>
    <x v="3"/>
    <x v="2"/>
    <n v="181"/>
    <n v="181"/>
    <n v="0"/>
    <n v="10"/>
    <n v="0.69615384615384612"/>
    <n v="35"/>
    <n v="35"/>
    <n v="1"/>
    <n v="6840"/>
    <n v="1583.75"/>
    <n v="5250"/>
    <n v="13673.75"/>
    <n v="75.545580110497241"/>
  </r>
  <r>
    <d v="2023-04-15T00:00:00"/>
    <x v="1"/>
    <n v="4"/>
    <x v="3"/>
    <x v="2"/>
    <n v="185"/>
    <n v="185"/>
    <n v="0"/>
    <n v="11"/>
    <n v="0.64685314685314688"/>
    <n v="35"/>
    <n v="34"/>
    <n v="0.97142857142857142"/>
    <n v="7524"/>
    <n v="1618.75"/>
    <n v="5250"/>
    <n v="14392.75"/>
    <n v="77.798648648648651"/>
  </r>
  <r>
    <d v="2023-04-22T00:00:00"/>
    <x v="1"/>
    <n v="4"/>
    <x v="3"/>
    <x v="2"/>
    <n v="177"/>
    <n v="177"/>
    <n v="0"/>
    <n v="10"/>
    <n v="0.68076923076923079"/>
    <n v="35"/>
    <n v="33"/>
    <n v="0.94285714285714284"/>
    <n v="6840"/>
    <n v="1548.75"/>
    <n v="5250"/>
    <n v="13638.75"/>
    <n v="77.055084745762713"/>
  </r>
  <r>
    <d v="2023-04-29T00:00:00"/>
    <x v="1"/>
    <n v="4"/>
    <x v="3"/>
    <x v="2"/>
    <n v="195"/>
    <n v="195"/>
    <n v="0"/>
    <n v="10"/>
    <n v="0.75"/>
    <n v="35"/>
    <n v="35"/>
    <n v="1"/>
    <n v="6840"/>
    <n v="1706.25"/>
    <n v="5250"/>
    <n v="13796.25"/>
    <n v="70.75"/>
  </r>
  <r>
    <d v="2023-05-06T00:00:00"/>
    <x v="1"/>
    <n v="5"/>
    <x v="3"/>
    <x v="2"/>
    <n v="189"/>
    <n v="189"/>
    <n v="0"/>
    <n v="10"/>
    <n v="0.72692307692307689"/>
    <n v="35"/>
    <n v="32"/>
    <n v="0.91428571428571426"/>
    <n v="6840"/>
    <n v="1653.75"/>
    <n v="5250"/>
    <n v="13743.75"/>
    <n v="72.718253968253961"/>
  </r>
  <r>
    <d v="2023-05-13T00:00:00"/>
    <x v="1"/>
    <n v="5"/>
    <x v="3"/>
    <x v="2"/>
    <n v="197"/>
    <n v="197"/>
    <n v="0"/>
    <n v="11"/>
    <n v="0.68881118881118886"/>
    <n v="35"/>
    <n v="34"/>
    <n v="0.97142857142857142"/>
    <n v="7524"/>
    <n v="1723.75"/>
    <n v="5250"/>
    <n v="14497.75"/>
    <n v="73.592639593908629"/>
  </r>
  <r>
    <d v="2023-05-20T00:00:00"/>
    <x v="1"/>
    <n v="5"/>
    <x v="3"/>
    <x v="2"/>
    <n v="194"/>
    <n v="194"/>
    <n v="0"/>
    <n v="11"/>
    <n v="0.67832167832167833"/>
    <n v="35"/>
    <n v="33"/>
    <n v="0.94285714285714284"/>
    <n v="7524"/>
    <n v="1697.5"/>
    <n v="5250"/>
    <n v="14471.5"/>
    <n v="74.595360824742272"/>
  </r>
  <r>
    <d v="2023-05-27T00:00:00"/>
    <x v="1"/>
    <n v="5"/>
    <x v="3"/>
    <x v="2"/>
    <n v="191"/>
    <n v="191"/>
    <n v="0"/>
    <n v="10"/>
    <n v="0.73461538461538467"/>
    <n v="35"/>
    <n v="35"/>
    <n v="1"/>
    <n v="6840"/>
    <n v="1671.25"/>
    <n v="5250"/>
    <n v="13761.25"/>
    <n v="72.048429319371721"/>
  </r>
  <r>
    <d v="2023-06-03T00:00:00"/>
    <x v="1"/>
    <n v="6"/>
    <x v="3"/>
    <x v="2"/>
    <n v="190"/>
    <n v="190"/>
    <n v="0"/>
    <n v="11"/>
    <n v="0.66433566433566438"/>
    <n v="35"/>
    <n v="35"/>
    <n v="1"/>
    <n v="7524"/>
    <n v="1662.5"/>
    <n v="5250"/>
    <n v="14436.5"/>
    <n v="75.981578947368419"/>
  </r>
  <r>
    <d v="2023-06-10T00:00:00"/>
    <x v="1"/>
    <n v="6"/>
    <x v="3"/>
    <x v="2"/>
    <n v="187"/>
    <n v="187"/>
    <n v="0"/>
    <n v="11"/>
    <n v="0.65384615384615385"/>
    <n v="35"/>
    <n v="33"/>
    <n v="0.94285714285714284"/>
    <n v="7524"/>
    <n v="1636.25"/>
    <n v="5250"/>
    <n v="14410.25"/>
    <n v="77.060160427807489"/>
  </r>
  <r>
    <d v="2023-06-17T00:00:00"/>
    <x v="1"/>
    <n v="6"/>
    <x v="3"/>
    <x v="2"/>
    <n v="188"/>
    <n v="188"/>
    <n v="0"/>
    <n v="10"/>
    <n v="0.72307692307692306"/>
    <n v="35"/>
    <n v="35"/>
    <n v="1"/>
    <n v="6840"/>
    <n v="1645"/>
    <n v="5250"/>
    <n v="13735"/>
    <n v="73.058510638297875"/>
  </r>
  <r>
    <d v="2023-06-24T00:00:00"/>
    <x v="1"/>
    <n v="6"/>
    <x v="3"/>
    <x v="2"/>
    <n v="183"/>
    <n v="183"/>
    <n v="0"/>
    <n v="10"/>
    <n v="0.7038461538461539"/>
    <n v="35"/>
    <n v="33"/>
    <n v="0.94285714285714284"/>
    <n v="6840"/>
    <n v="1601.25"/>
    <n v="5250"/>
    <n v="13691.25"/>
    <n v="74.81557377049181"/>
  </r>
  <r>
    <d v="2023-07-01T00:00:00"/>
    <x v="1"/>
    <n v="7"/>
    <x v="3"/>
    <x v="2"/>
    <n v="193"/>
    <n v="193"/>
    <n v="0"/>
    <n v="11"/>
    <n v="0.67482517482517479"/>
    <n v="35"/>
    <n v="35"/>
    <n v="1"/>
    <n v="7524"/>
    <n v="1688.75"/>
    <n v="5250"/>
    <n v="14462.75"/>
    <n v="74.936528497409327"/>
  </r>
  <r>
    <d v="2023-07-08T00:00:00"/>
    <x v="1"/>
    <n v="7"/>
    <x v="3"/>
    <x v="2"/>
    <n v="188"/>
    <n v="188"/>
    <n v="0"/>
    <n v="10"/>
    <n v="0.72307692307692306"/>
    <n v="35"/>
    <n v="33"/>
    <n v="0.94285714285714284"/>
    <n v="6840"/>
    <n v="1645"/>
    <n v="5250"/>
    <n v="13735"/>
    <n v="73.058510638297875"/>
  </r>
  <r>
    <d v="2023-07-15T00:00:00"/>
    <x v="1"/>
    <n v="7"/>
    <x v="3"/>
    <x v="2"/>
    <n v="190"/>
    <n v="190"/>
    <n v="0"/>
    <n v="11"/>
    <n v="0.66433566433566438"/>
    <n v="35"/>
    <n v="34"/>
    <n v="0.97142857142857142"/>
    <n v="7524"/>
    <n v="1662.5"/>
    <n v="5250"/>
    <n v="14436.5"/>
    <n v="75.981578947368419"/>
  </r>
  <r>
    <d v="2023-07-22T00:00:00"/>
    <x v="1"/>
    <n v="7"/>
    <x v="3"/>
    <x v="2"/>
    <n v="190"/>
    <n v="190"/>
    <n v="0"/>
    <n v="10"/>
    <n v="0.73076923076923073"/>
    <n v="35"/>
    <n v="34"/>
    <n v="0.97142857142857142"/>
    <n v="6840"/>
    <n v="1662.5"/>
    <n v="5250"/>
    <n v="13752.5"/>
    <n v="72.381578947368425"/>
  </r>
  <r>
    <d v="2023-07-29T00:00:00"/>
    <x v="1"/>
    <n v="7"/>
    <x v="3"/>
    <x v="2"/>
    <n v="189"/>
    <n v="189"/>
    <n v="0"/>
    <n v="11"/>
    <n v="0.66083916083916083"/>
    <n v="35"/>
    <n v="35"/>
    <n v="1"/>
    <n v="7524"/>
    <n v="1653.75"/>
    <n v="5250"/>
    <n v="14427.75"/>
    <n v="76.337301587301582"/>
  </r>
  <r>
    <d v="2023-08-05T00:00:00"/>
    <x v="1"/>
    <n v="8"/>
    <x v="3"/>
    <x v="2"/>
    <n v="192"/>
    <n v="192"/>
    <n v="0"/>
    <n v="11"/>
    <n v="0.67132867132867136"/>
    <n v="35"/>
    <n v="35"/>
    <n v="1"/>
    <n v="7524"/>
    <n v="1680"/>
    <n v="5250"/>
    <n v="14454"/>
    <n v="75.28125"/>
  </r>
  <r>
    <d v="2023-08-12T00:00:00"/>
    <x v="1"/>
    <n v="8"/>
    <x v="3"/>
    <x v="2"/>
    <n v="199"/>
    <n v="199"/>
    <n v="0"/>
    <n v="11"/>
    <n v="0.69580419580419584"/>
    <n v="35"/>
    <n v="34"/>
    <n v="0.97142857142857142"/>
    <n v="7524"/>
    <n v="1741.25"/>
    <n v="5250"/>
    <n v="14515.25"/>
    <n v="72.94095477386935"/>
  </r>
  <r>
    <d v="2023-08-19T00:00:00"/>
    <x v="1"/>
    <n v="8"/>
    <x v="3"/>
    <x v="2"/>
    <n v="198"/>
    <n v="198"/>
    <n v="0"/>
    <n v="11"/>
    <n v="0.69230769230769229"/>
    <n v="35"/>
    <n v="33"/>
    <n v="0.94285714285714284"/>
    <n v="7524"/>
    <n v="1732.5"/>
    <n v="5250"/>
    <n v="14506.5"/>
    <n v="73.265151515151516"/>
  </r>
  <r>
    <d v="2023-08-26T00:00:00"/>
    <x v="1"/>
    <n v="8"/>
    <x v="3"/>
    <x v="2"/>
    <n v="185"/>
    <n v="185"/>
    <n v="0"/>
    <n v="10"/>
    <n v="0.71153846153846156"/>
    <n v="35"/>
    <n v="33"/>
    <n v="0.94285714285714284"/>
    <n v="6840"/>
    <n v="1618.75"/>
    <n v="5250"/>
    <n v="13708.75"/>
    <n v="74.101351351351354"/>
  </r>
  <r>
    <d v="2023-09-02T00:00:00"/>
    <x v="1"/>
    <n v="9"/>
    <x v="3"/>
    <x v="2"/>
    <n v="184"/>
    <n v="184"/>
    <n v="0"/>
    <n v="10"/>
    <n v="0.70769230769230773"/>
    <n v="35"/>
    <n v="35"/>
    <n v="1"/>
    <n v="6840"/>
    <n v="1610"/>
    <n v="5250"/>
    <n v="13700"/>
    <n v="74.456521739130437"/>
  </r>
  <r>
    <d v="2023-09-09T00:00:00"/>
    <x v="1"/>
    <n v="9"/>
    <x v="3"/>
    <x v="2"/>
    <n v="181"/>
    <n v="181"/>
    <n v="0"/>
    <n v="10"/>
    <n v="0.69615384615384612"/>
    <n v="35"/>
    <n v="35"/>
    <n v="1"/>
    <n v="6840"/>
    <n v="1583.75"/>
    <n v="5250"/>
    <n v="13673.75"/>
    <n v="75.545580110497241"/>
  </r>
  <r>
    <d v="2023-09-16T00:00:00"/>
    <x v="1"/>
    <n v="9"/>
    <x v="3"/>
    <x v="2"/>
    <n v="181"/>
    <n v="181"/>
    <n v="0"/>
    <n v="10"/>
    <n v="0.69615384615384612"/>
    <n v="35"/>
    <n v="31"/>
    <n v="0.88571428571428568"/>
    <n v="6840"/>
    <n v="1583.75"/>
    <n v="5250"/>
    <n v="13673.75"/>
    <n v="75.545580110497241"/>
  </r>
  <r>
    <d v="2023-09-23T00:00:00"/>
    <x v="1"/>
    <n v="9"/>
    <x v="3"/>
    <x v="2"/>
    <n v="182"/>
    <n v="182"/>
    <n v="0"/>
    <n v="10"/>
    <n v="0.7"/>
    <n v="35"/>
    <n v="35"/>
    <n v="1"/>
    <n v="6840"/>
    <n v="1592.5"/>
    <n v="5250"/>
    <n v="13682.5"/>
    <n v="75.178571428571431"/>
  </r>
  <r>
    <d v="2023-09-30T00:00:00"/>
    <x v="1"/>
    <n v="9"/>
    <x v="3"/>
    <x v="2"/>
    <n v="176"/>
    <n v="176"/>
    <n v="0"/>
    <n v="10"/>
    <n v="0.67692307692307696"/>
    <n v="35"/>
    <n v="35"/>
    <n v="1"/>
    <n v="6840"/>
    <n v="1540"/>
    <n v="5250"/>
    <n v="13630"/>
    <n v="77.443181818181813"/>
  </r>
  <r>
    <d v="2023-10-07T00:00:00"/>
    <x v="1"/>
    <n v="10"/>
    <x v="3"/>
    <x v="2"/>
    <n v="179"/>
    <n v="179"/>
    <n v="0"/>
    <n v="10"/>
    <n v="0.68846153846153846"/>
    <n v="35"/>
    <n v="33"/>
    <n v="0.94285714285714284"/>
    <n v="6840"/>
    <n v="1566.25"/>
    <n v="5250"/>
    <n v="13656.25"/>
    <n v="76.291899441340789"/>
  </r>
  <r>
    <d v="2023-10-14T00:00:00"/>
    <x v="1"/>
    <n v="10"/>
    <x v="3"/>
    <x v="2"/>
    <n v="184"/>
    <n v="184"/>
    <n v="0"/>
    <n v="10"/>
    <n v="0.70769230769230773"/>
    <n v="35"/>
    <n v="35"/>
    <n v="1"/>
    <n v="6840"/>
    <n v="1610"/>
    <n v="5250"/>
    <n v="13700"/>
    <n v="74.456521739130437"/>
  </r>
  <r>
    <d v="2023-10-21T00:00:00"/>
    <x v="1"/>
    <n v="10"/>
    <x v="3"/>
    <x v="2"/>
    <n v="202"/>
    <n v="202"/>
    <n v="0"/>
    <n v="11"/>
    <n v="0.70629370629370625"/>
    <n v="35"/>
    <n v="35"/>
    <n v="1"/>
    <n v="7524"/>
    <n v="1767.5"/>
    <n v="5250"/>
    <n v="14541.5"/>
    <n v="71.987623762376231"/>
  </r>
  <r>
    <d v="2023-10-28T00:00:00"/>
    <x v="1"/>
    <n v="10"/>
    <x v="3"/>
    <x v="2"/>
    <n v="194"/>
    <n v="194"/>
    <n v="0"/>
    <n v="11"/>
    <n v="0.67832167832167833"/>
    <n v="35"/>
    <n v="34"/>
    <n v="0.97142857142857142"/>
    <n v="7524"/>
    <n v="1697.5"/>
    <n v="5250"/>
    <n v="14471.5"/>
    <n v="74.595360824742272"/>
  </r>
  <r>
    <d v="2023-11-04T00:00:00"/>
    <x v="1"/>
    <n v="11"/>
    <x v="3"/>
    <x v="2"/>
    <n v="207"/>
    <n v="207"/>
    <n v="0"/>
    <n v="11"/>
    <n v="0.72377622377622375"/>
    <n v="35"/>
    <n v="34"/>
    <n v="0.97142857142857142"/>
    <n v="7524"/>
    <n v="1811.25"/>
    <n v="5250"/>
    <n v="14585.25"/>
    <n v="70.460144927536234"/>
  </r>
  <r>
    <d v="2023-11-11T00:00:00"/>
    <x v="1"/>
    <n v="11"/>
    <x v="3"/>
    <x v="2"/>
    <n v="208"/>
    <n v="208"/>
    <n v="0"/>
    <n v="11"/>
    <n v="0.72727272727272729"/>
    <n v="35"/>
    <n v="34"/>
    <n v="0.97142857142857142"/>
    <n v="7524"/>
    <n v="1820"/>
    <n v="5250"/>
    <n v="14594"/>
    <n v="70.163461538461533"/>
  </r>
  <r>
    <d v="2023-11-18T00:00:00"/>
    <x v="1"/>
    <n v="11"/>
    <x v="3"/>
    <x v="2"/>
    <n v="241"/>
    <n v="240"/>
    <n v="1"/>
    <n v="13"/>
    <n v="0.7100591715976331"/>
    <n v="35"/>
    <n v="35"/>
    <n v="1"/>
    <n v="8892"/>
    <n v="2100"/>
    <n v="5250"/>
    <n v="16242"/>
    <n v="67.674999999999997"/>
  </r>
  <r>
    <d v="2023-11-25T00:00:00"/>
    <x v="1"/>
    <n v="11"/>
    <x v="3"/>
    <x v="2"/>
    <n v="258"/>
    <n v="254"/>
    <n v="5"/>
    <n v="13"/>
    <n v="0.75147928994082835"/>
    <n v="35"/>
    <n v="34"/>
    <n v="0.97142857142857142"/>
    <n v="8892"/>
    <n v="2222.5"/>
    <n v="5250"/>
    <n v="16364.5"/>
    <n v="64.427165354330711"/>
  </r>
  <r>
    <d v="2023-12-02T00:00:00"/>
    <x v="1"/>
    <n v="12"/>
    <x v="3"/>
    <x v="2"/>
    <n v="290"/>
    <n v="272"/>
    <n v="23"/>
    <n v="13"/>
    <n v="0.80473372781065089"/>
    <n v="35"/>
    <n v="33"/>
    <n v="0.94285714285714284"/>
    <n v="8892"/>
    <n v="2380"/>
    <n v="5250"/>
    <n v="16522"/>
    <n v="60.742647058823529"/>
  </r>
  <r>
    <d v="2023-12-09T00:00:00"/>
    <x v="1"/>
    <n v="12"/>
    <x v="3"/>
    <x v="2"/>
    <n v="290"/>
    <n v="276"/>
    <n v="37"/>
    <n v="13"/>
    <n v="0.81656804733727806"/>
    <n v="35"/>
    <n v="34"/>
    <n v="0.97142857142857142"/>
    <n v="8892"/>
    <n v="2415"/>
    <n v="5250"/>
    <n v="16557"/>
    <n v="59.989130434782609"/>
  </r>
  <r>
    <d v="2023-12-16T00:00:00"/>
    <x v="1"/>
    <n v="12"/>
    <x v="3"/>
    <x v="2"/>
    <n v="305"/>
    <n v="279"/>
    <n v="63"/>
    <n v="13"/>
    <n v="0.82544378698224852"/>
    <n v="35"/>
    <n v="35"/>
    <n v="1"/>
    <n v="8892"/>
    <n v="2441.25"/>
    <n v="5250"/>
    <n v="16583.25"/>
    <n v="59.438172043010752"/>
  </r>
  <r>
    <d v="2023-12-23T00:00:00"/>
    <x v="1"/>
    <n v="12"/>
    <x v="3"/>
    <x v="2"/>
    <n v="239"/>
    <n v="269"/>
    <n v="33"/>
    <n v="13"/>
    <n v="0.79585798816568043"/>
    <n v="35"/>
    <n v="35"/>
    <n v="1"/>
    <n v="8892"/>
    <n v="2353.75"/>
    <n v="5250"/>
    <n v="16495.75"/>
    <n v="61.322490706319712"/>
  </r>
  <r>
    <d v="2023-12-30T00:00:00"/>
    <x v="1"/>
    <n v="12"/>
    <x v="3"/>
    <x v="2"/>
    <n v="217"/>
    <n v="244"/>
    <n v="6"/>
    <n v="12"/>
    <n v="0.78205128205128205"/>
    <n v="35"/>
    <n v="33"/>
    <n v="0.94285714285714284"/>
    <n v="8208"/>
    <n v="2135"/>
    <n v="5250"/>
    <n v="15593"/>
    <n v="63.905737704918032"/>
  </r>
  <r>
    <d v="2024-01-06T00:00:00"/>
    <x v="2"/>
    <n v="1"/>
    <x v="3"/>
    <x v="2"/>
    <n v="183"/>
    <n v="189"/>
    <n v="0"/>
    <n v="11"/>
    <n v="0.66083916083916083"/>
    <n v="35"/>
    <n v="33"/>
    <n v="0.94285714285714284"/>
    <n v="7524"/>
    <n v="1653.75"/>
    <n v="5250"/>
    <n v="14427.75"/>
    <n v="76.337301587301582"/>
  </r>
  <r>
    <d v="2024-01-13T00:00:00"/>
    <x v="2"/>
    <n v="1"/>
    <x v="3"/>
    <x v="2"/>
    <n v="145"/>
    <n v="145"/>
    <n v="0"/>
    <n v="8"/>
    <n v="0.69711538461538458"/>
    <n v="35"/>
    <n v="35"/>
    <n v="1"/>
    <n v="5472"/>
    <n v="1268.75"/>
    <n v="5250"/>
    <n v="11990.75"/>
    <n v="82.694827586206898"/>
  </r>
  <r>
    <d v="2024-01-20T00:00:00"/>
    <x v="2"/>
    <n v="1"/>
    <x v="3"/>
    <x v="2"/>
    <n v="149"/>
    <n v="149"/>
    <n v="0"/>
    <n v="8"/>
    <n v="0.71634615384615385"/>
    <n v="35"/>
    <n v="32"/>
    <n v="0.91428571428571426"/>
    <n v="5472"/>
    <n v="1303.75"/>
    <n v="5250"/>
    <n v="12025.75"/>
    <n v="80.709731543624159"/>
  </r>
  <r>
    <d v="2024-01-27T00:00:00"/>
    <x v="2"/>
    <n v="1"/>
    <x v="3"/>
    <x v="2"/>
    <n v="159"/>
    <n v="159"/>
    <n v="0"/>
    <n v="10"/>
    <n v="0.61153846153846159"/>
    <n v="35"/>
    <n v="33"/>
    <n v="0.94285714285714284"/>
    <n v="6840"/>
    <n v="1391.25"/>
    <n v="5250"/>
    <n v="13481.25"/>
    <n v="84.787735849056602"/>
  </r>
  <r>
    <d v="2024-02-03T00:00:00"/>
    <x v="2"/>
    <n v="2"/>
    <x v="3"/>
    <x v="2"/>
    <n v="165"/>
    <n v="165"/>
    <n v="0"/>
    <n v="10"/>
    <n v="0.63461538461538458"/>
    <n v="35"/>
    <n v="33"/>
    <n v="0.94285714285714284"/>
    <n v="6840"/>
    <n v="1443.75"/>
    <n v="5250"/>
    <n v="13533.75"/>
    <n v="82.022727272727266"/>
  </r>
  <r>
    <d v="2024-02-10T00:00:00"/>
    <x v="2"/>
    <n v="2"/>
    <x v="3"/>
    <x v="2"/>
    <n v="181"/>
    <n v="181"/>
    <n v="0"/>
    <n v="10"/>
    <n v="0.69615384615384612"/>
    <n v="35"/>
    <n v="34"/>
    <n v="0.97142857142857142"/>
    <n v="6840"/>
    <n v="1583.75"/>
    <n v="5250"/>
    <n v="13673.75"/>
    <n v="75.545580110497241"/>
  </r>
  <r>
    <d v="2024-02-17T00:00:00"/>
    <x v="2"/>
    <n v="2"/>
    <x v="3"/>
    <x v="2"/>
    <n v="178"/>
    <n v="178"/>
    <n v="0"/>
    <n v="10"/>
    <n v="0.68461538461538463"/>
    <n v="35"/>
    <n v="33"/>
    <n v="0.94285714285714284"/>
    <n v="6840"/>
    <n v="1557.5"/>
    <n v="5250"/>
    <n v="13647.5"/>
    <n v="76.671348314606746"/>
  </r>
  <r>
    <d v="2024-02-24T00:00:00"/>
    <x v="2"/>
    <n v="2"/>
    <x v="3"/>
    <x v="2"/>
    <n v="171"/>
    <n v="171"/>
    <n v="0"/>
    <n v="9"/>
    <n v="0.73076923076923073"/>
    <n v="35"/>
    <n v="33"/>
    <n v="0.94285714285714284"/>
    <n v="6156"/>
    <n v="1496.25"/>
    <n v="5250"/>
    <n v="12902.25"/>
    <n v="75.451754385964918"/>
  </r>
  <r>
    <d v="2024-03-02T00:00:00"/>
    <x v="2"/>
    <n v="3"/>
    <x v="3"/>
    <x v="2"/>
    <n v="183"/>
    <n v="183"/>
    <n v="0"/>
    <n v="10"/>
    <n v="0.7038461538461539"/>
    <n v="35"/>
    <n v="34"/>
    <n v="0.97142857142857142"/>
    <n v="6840"/>
    <n v="1601.25"/>
    <n v="5250"/>
    <n v="13691.25"/>
    <n v="74.81557377049181"/>
  </r>
  <r>
    <d v="2024-03-09T00:00:00"/>
    <x v="2"/>
    <n v="3"/>
    <x v="3"/>
    <x v="2"/>
    <n v="179"/>
    <n v="179"/>
    <n v="0"/>
    <n v="10"/>
    <n v="0.68846153846153846"/>
    <n v="35"/>
    <n v="35"/>
    <n v="1"/>
    <n v="6840"/>
    <n v="1566.25"/>
    <n v="5250"/>
    <n v="13656.25"/>
    <n v="76.291899441340789"/>
  </r>
  <r>
    <d v="2024-03-16T00:00:00"/>
    <x v="2"/>
    <n v="3"/>
    <x v="3"/>
    <x v="2"/>
    <n v="191"/>
    <n v="191"/>
    <n v="0"/>
    <n v="10"/>
    <n v="0.73461538461538467"/>
    <n v="35"/>
    <n v="35"/>
    <n v="1"/>
    <n v="6840"/>
    <n v="1671.25"/>
    <n v="5250"/>
    <n v="13761.25"/>
    <n v="72.048429319371721"/>
  </r>
  <r>
    <d v="2024-03-23T00:00:00"/>
    <x v="2"/>
    <n v="3"/>
    <x v="3"/>
    <x v="2"/>
    <n v="190"/>
    <n v="190"/>
    <n v="0"/>
    <n v="10"/>
    <n v="0.73076923076923073"/>
    <n v="35"/>
    <n v="33"/>
    <n v="0.94285714285714284"/>
    <n v="6840"/>
    <n v="1662.5"/>
    <n v="5250"/>
    <n v="13752.5"/>
    <n v="72.381578947368425"/>
  </r>
  <r>
    <d v="2024-03-30T00:00:00"/>
    <x v="2"/>
    <n v="3"/>
    <x v="3"/>
    <x v="2"/>
    <n v="191"/>
    <n v="191"/>
    <n v="0"/>
    <n v="10"/>
    <n v="0.73461538461538467"/>
    <n v="35"/>
    <n v="34"/>
    <n v="0.97142857142857142"/>
    <n v="6840"/>
    <n v="1671.25"/>
    <n v="5250"/>
    <n v="13761.25"/>
    <n v="72.048429319371721"/>
  </r>
  <r>
    <d v="2024-04-06T00:00:00"/>
    <x v="2"/>
    <n v="4"/>
    <x v="3"/>
    <x v="2"/>
    <n v="185"/>
    <n v="185"/>
    <n v="0"/>
    <n v="10"/>
    <n v="0.71153846153846156"/>
    <n v="35"/>
    <n v="35"/>
    <n v="1"/>
    <n v="6840"/>
    <n v="1618.75"/>
    <n v="5250"/>
    <n v="13708.75"/>
    <n v="74.101351351351354"/>
  </r>
  <r>
    <d v="2024-04-13T00:00:00"/>
    <x v="2"/>
    <n v="4"/>
    <x v="3"/>
    <x v="2"/>
    <n v="187"/>
    <n v="187"/>
    <n v="0"/>
    <n v="10"/>
    <n v="0.71923076923076923"/>
    <n v="35"/>
    <n v="34"/>
    <n v="0.97142857142857142"/>
    <n v="6840"/>
    <n v="1636.25"/>
    <n v="5250"/>
    <n v="13726.25"/>
    <n v="73.402406417112303"/>
  </r>
  <r>
    <d v="2024-04-20T00:00:00"/>
    <x v="2"/>
    <n v="4"/>
    <x v="3"/>
    <x v="2"/>
    <n v="191"/>
    <n v="191"/>
    <n v="0"/>
    <n v="11"/>
    <n v="0.66783216783216781"/>
    <n v="35"/>
    <n v="34"/>
    <n v="0.97142857142857142"/>
    <n v="7524"/>
    <n v="1671.25"/>
    <n v="5250"/>
    <n v="14445.25"/>
    <n v="75.629581151832454"/>
  </r>
  <r>
    <d v="2024-04-27T00:00:00"/>
    <x v="2"/>
    <n v="4"/>
    <x v="3"/>
    <x v="2"/>
    <n v="178"/>
    <n v="178"/>
    <n v="0"/>
    <n v="10"/>
    <n v="0.68461538461538463"/>
    <n v="35"/>
    <n v="34"/>
    <n v="0.97142857142857142"/>
    <n v="6840"/>
    <n v="1557.5"/>
    <n v="5250"/>
    <n v="13647.5"/>
    <n v="76.671348314606746"/>
  </r>
  <r>
    <d v="2024-05-04T00:00:00"/>
    <x v="2"/>
    <n v="5"/>
    <x v="3"/>
    <x v="2"/>
    <n v="201"/>
    <n v="201"/>
    <n v="0"/>
    <n v="11"/>
    <n v="0.70279720279720281"/>
    <n v="35"/>
    <n v="35"/>
    <n v="1"/>
    <n v="7524"/>
    <n v="1758.75"/>
    <n v="5250"/>
    <n v="14532.75"/>
    <n v="72.302238805970148"/>
  </r>
  <r>
    <d v="2024-05-11T00:00:00"/>
    <x v="2"/>
    <n v="5"/>
    <x v="3"/>
    <x v="2"/>
    <n v="204"/>
    <n v="204"/>
    <n v="0"/>
    <n v="11"/>
    <n v="0.71328671328671334"/>
    <n v="35"/>
    <n v="33"/>
    <n v="0.94285714285714284"/>
    <n v="7524"/>
    <n v="1785"/>
    <n v="5250"/>
    <n v="14559"/>
    <n v="71.367647058823536"/>
  </r>
  <r>
    <d v="2024-05-18T00:00:00"/>
    <x v="2"/>
    <n v="5"/>
    <x v="3"/>
    <x v="2"/>
    <n v="197"/>
    <n v="197"/>
    <n v="0"/>
    <n v="11"/>
    <n v="0.68881118881118886"/>
    <n v="35"/>
    <n v="34"/>
    <n v="0.97142857142857142"/>
    <n v="7524"/>
    <n v="1723.75"/>
    <n v="5250"/>
    <n v="14497.75"/>
    <n v="73.592639593908629"/>
  </r>
  <r>
    <d v="2024-05-25T00:00:00"/>
    <x v="2"/>
    <n v="5"/>
    <x v="3"/>
    <x v="2"/>
    <n v="196"/>
    <n v="196"/>
    <n v="0"/>
    <n v="10"/>
    <n v="0.75384615384615383"/>
    <n v="35"/>
    <n v="33"/>
    <n v="0.94285714285714284"/>
    <n v="6840"/>
    <n v="1715"/>
    <n v="5250"/>
    <n v="13805"/>
    <n v="70.433673469387756"/>
  </r>
  <r>
    <d v="2024-06-01T00:00:00"/>
    <x v="2"/>
    <n v="6"/>
    <x v="3"/>
    <x v="2"/>
    <n v="194"/>
    <n v="194"/>
    <n v="0"/>
    <n v="10"/>
    <n v="0.74615384615384617"/>
    <n v="35"/>
    <n v="34"/>
    <n v="0.97142857142857142"/>
    <n v="6840"/>
    <n v="1697.5"/>
    <n v="5250"/>
    <n v="13787.5"/>
    <n v="71.069587628865975"/>
  </r>
  <r>
    <d v="2024-06-08T00:00:00"/>
    <x v="2"/>
    <n v="6"/>
    <x v="3"/>
    <x v="2"/>
    <n v="207"/>
    <n v="207"/>
    <n v="0"/>
    <n v="11"/>
    <n v="0.72377622377622375"/>
    <n v="35"/>
    <n v="35"/>
    <n v="1"/>
    <n v="7524"/>
    <n v="1811.25"/>
    <n v="5250"/>
    <n v="14585.25"/>
    <n v="70.460144927536234"/>
  </r>
  <r>
    <d v="2024-06-15T00:00:00"/>
    <x v="2"/>
    <n v="6"/>
    <x v="3"/>
    <x v="2"/>
    <n v="198"/>
    <n v="198"/>
    <n v="0"/>
    <n v="11"/>
    <n v="0.69230769230769229"/>
    <n v="35"/>
    <n v="34"/>
    <n v="0.97142857142857142"/>
    <n v="7524"/>
    <n v="1732.5"/>
    <n v="5250"/>
    <n v="14506.5"/>
    <n v="73.265151515151516"/>
  </r>
  <r>
    <d v="2024-06-22T00:00:00"/>
    <x v="2"/>
    <n v="6"/>
    <x v="3"/>
    <x v="2"/>
    <n v="194"/>
    <n v="194"/>
    <n v="0"/>
    <n v="11"/>
    <n v="0.67832167832167833"/>
    <n v="35"/>
    <n v="35"/>
    <n v="1"/>
    <n v="7524"/>
    <n v="1697.5"/>
    <n v="5250"/>
    <n v="14471.5"/>
    <n v="74.595360824742272"/>
  </r>
  <r>
    <d v="2024-06-29T00:00:00"/>
    <x v="2"/>
    <n v="6"/>
    <x v="3"/>
    <x v="2"/>
    <n v="189"/>
    <n v="189"/>
    <n v="0"/>
    <n v="11"/>
    <n v="0.66083916083916083"/>
    <n v="35"/>
    <n v="35"/>
    <n v="1"/>
    <n v="7524"/>
    <n v="1653.75"/>
    <n v="5250"/>
    <n v="14427.75"/>
    <n v="76.337301587301582"/>
  </r>
  <r>
    <d v="2024-07-06T00:00:00"/>
    <x v="2"/>
    <n v="7"/>
    <x v="3"/>
    <x v="2"/>
    <n v="191"/>
    <n v="191"/>
    <n v="0"/>
    <n v="11"/>
    <n v="0.66783216783216781"/>
    <n v="35"/>
    <n v="34"/>
    <n v="0.97142857142857142"/>
    <n v="7524"/>
    <n v="1671.25"/>
    <n v="5250"/>
    <n v="14445.25"/>
    <n v="75.629581151832454"/>
  </r>
  <r>
    <d v="2024-07-13T00:00:00"/>
    <x v="2"/>
    <n v="7"/>
    <x v="3"/>
    <x v="2"/>
    <n v="198"/>
    <n v="198"/>
    <n v="0"/>
    <n v="11"/>
    <n v="0.69230769230769229"/>
    <n v="35"/>
    <n v="35"/>
    <n v="1"/>
    <n v="7524"/>
    <n v="1732.5"/>
    <n v="5250"/>
    <n v="14506.5"/>
    <n v="73.265151515151516"/>
  </r>
  <r>
    <d v="2024-07-20T00:00:00"/>
    <x v="2"/>
    <n v="7"/>
    <x v="3"/>
    <x v="2"/>
    <n v="195"/>
    <n v="195"/>
    <n v="0"/>
    <n v="10"/>
    <n v="0.75"/>
    <n v="35"/>
    <n v="32"/>
    <n v="0.91428571428571426"/>
    <n v="6840"/>
    <n v="1706.25"/>
    <n v="5250"/>
    <n v="13796.25"/>
    <n v="70.75"/>
  </r>
  <r>
    <d v="2024-07-27T00:00:00"/>
    <x v="2"/>
    <n v="7"/>
    <x v="3"/>
    <x v="2"/>
    <n v="195"/>
    <n v="195"/>
    <n v="0"/>
    <n v="10"/>
    <n v="0.75"/>
    <n v="35"/>
    <n v="35"/>
    <n v="1"/>
    <n v="6840"/>
    <n v="1706.25"/>
    <n v="5250"/>
    <n v="13796.25"/>
    <n v="70.75"/>
  </r>
  <r>
    <d v="2024-08-03T00:00:00"/>
    <x v="2"/>
    <n v="8"/>
    <x v="3"/>
    <x v="2"/>
    <n v="200"/>
    <n v="200"/>
    <n v="0"/>
    <n v="10"/>
    <n v="0.76923076923076927"/>
    <n v="35"/>
    <n v="35"/>
    <n v="1"/>
    <n v="6840"/>
    <n v="1750"/>
    <n v="5250"/>
    <n v="13840"/>
    <n v="69.2"/>
  </r>
  <r>
    <d v="2024-08-10T00:00:00"/>
    <x v="2"/>
    <n v="8"/>
    <x v="3"/>
    <x v="2"/>
    <n v="204"/>
    <n v="204"/>
    <n v="0"/>
    <n v="11"/>
    <n v="0.71328671328671334"/>
    <n v="35"/>
    <n v="33"/>
    <n v="0.94285714285714284"/>
    <n v="7524"/>
    <n v="1785"/>
    <n v="5250"/>
    <n v="14559"/>
    <n v="71.367647058823536"/>
  </r>
  <r>
    <d v="2024-08-17T00:00:00"/>
    <x v="2"/>
    <n v="8"/>
    <x v="3"/>
    <x v="2"/>
    <n v="203"/>
    <n v="203"/>
    <n v="0"/>
    <n v="11"/>
    <n v="0.70979020979020979"/>
    <n v="35"/>
    <n v="33"/>
    <n v="0.94285714285714284"/>
    <n v="7524"/>
    <n v="1776.25"/>
    <n v="5250"/>
    <n v="14550.25"/>
    <n v="71.676108374384242"/>
  </r>
  <r>
    <d v="2024-08-24T00:00:00"/>
    <x v="2"/>
    <n v="8"/>
    <x v="3"/>
    <x v="2"/>
    <n v="195"/>
    <n v="195"/>
    <n v="0"/>
    <n v="11"/>
    <n v="0.68181818181818177"/>
    <n v="35"/>
    <n v="35"/>
    <n v="1"/>
    <n v="7524"/>
    <n v="1706.25"/>
    <n v="5250"/>
    <n v="14480.25"/>
    <n v="74.257692307692309"/>
  </r>
  <r>
    <d v="2024-08-31T00:00:00"/>
    <x v="2"/>
    <n v="8"/>
    <x v="3"/>
    <x v="2"/>
    <n v="188"/>
    <n v="188"/>
    <n v="0"/>
    <n v="11"/>
    <n v="0.65734265734265729"/>
    <n v="35"/>
    <n v="33"/>
    <n v="0.94285714285714284"/>
    <n v="7524"/>
    <n v="1645"/>
    <n v="5250"/>
    <n v="14419"/>
    <n v="76.696808510638292"/>
  </r>
  <r>
    <d v="2024-09-07T00:00:00"/>
    <x v="2"/>
    <n v="9"/>
    <x v="3"/>
    <x v="2"/>
    <n v="180"/>
    <n v="180"/>
    <n v="0"/>
    <n v="10"/>
    <n v="0.69230769230769229"/>
    <n v="35"/>
    <n v="31"/>
    <n v="0.88571428571428568"/>
    <n v="6840"/>
    <n v="1575"/>
    <n v="5250"/>
    <n v="13665"/>
    <n v="75.916666666666671"/>
  </r>
  <r>
    <d v="2024-09-14T00:00:00"/>
    <x v="2"/>
    <n v="9"/>
    <x v="3"/>
    <x v="2"/>
    <n v="179"/>
    <n v="179"/>
    <n v="0"/>
    <n v="10"/>
    <n v="0.68846153846153846"/>
    <n v="35"/>
    <n v="35"/>
    <n v="1"/>
    <n v="6840"/>
    <n v="1566.25"/>
    <n v="5250"/>
    <n v="13656.25"/>
    <n v="76.291899441340789"/>
  </r>
  <r>
    <d v="2024-09-21T00:00:00"/>
    <x v="2"/>
    <n v="9"/>
    <x v="3"/>
    <x v="2"/>
    <n v="173"/>
    <n v="173"/>
    <n v="0"/>
    <n v="10"/>
    <n v="0.66538461538461535"/>
    <n v="35"/>
    <n v="35"/>
    <n v="1"/>
    <n v="6840"/>
    <n v="1513.75"/>
    <n v="5250"/>
    <n v="13603.75"/>
    <n v="78.634393063583815"/>
  </r>
  <r>
    <d v="2024-09-28T00:00:00"/>
    <x v="2"/>
    <n v="9"/>
    <x v="3"/>
    <x v="2"/>
    <n v="191"/>
    <n v="191"/>
    <n v="0"/>
    <n v="11"/>
    <n v="0.66783216783216781"/>
    <n v="35"/>
    <n v="35"/>
    <n v="1"/>
    <n v="7524"/>
    <n v="1671.25"/>
    <n v="5250"/>
    <n v="14445.25"/>
    <n v="75.629581151832454"/>
  </r>
  <r>
    <d v="2024-10-05T00:00:00"/>
    <x v="2"/>
    <n v="10"/>
    <x v="3"/>
    <x v="2"/>
    <n v="178"/>
    <n v="178"/>
    <n v="0"/>
    <n v="10"/>
    <n v="0.68461538461538463"/>
    <n v="35"/>
    <n v="35"/>
    <n v="1"/>
    <n v="6840"/>
    <n v="1557.5"/>
    <n v="5250"/>
    <n v="13647.5"/>
    <n v="76.671348314606746"/>
  </r>
  <r>
    <d v="2024-10-12T00:00:00"/>
    <x v="2"/>
    <n v="10"/>
    <x v="3"/>
    <x v="2"/>
    <n v="186"/>
    <n v="186"/>
    <n v="0"/>
    <n v="10"/>
    <n v="0.7153846153846154"/>
    <n v="35"/>
    <n v="35"/>
    <n v="1"/>
    <n v="6840"/>
    <n v="1627.5"/>
    <n v="5250"/>
    <n v="13717.5"/>
    <n v="73.75"/>
  </r>
  <r>
    <d v="2024-10-19T00:00:00"/>
    <x v="2"/>
    <n v="10"/>
    <x v="3"/>
    <x v="2"/>
    <n v="199"/>
    <n v="199"/>
    <n v="0"/>
    <n v="10"/>
    <n v="0.76538461538461533"/>
    <n v="35"/>
    <n v="35"/>
    <n v="1"/>
    <n v="6840"/>
    <n v="1741.25"/>
    <n v="5250"/>
    <n v="13831.25"/>
    <n v="69.503768844221099"/>
  </r>
  <r>
    <d v="2024-10-26T00:00:00"/>
    <x v="2"/>
    <n v="10"/>
    <x v="3"/>
    <x v="2"/>
    <n v="205"/>
    <n v="205"/>
    <n v="0"/>
    <n v="11"/>
    <n v="0.71678321678321677"/>
    <n v="35"/>
    <n v="34"/>
    <n v="0.97142857142857142"/>
    <n v="7524"/>
    <n v="1793.75"/>
    <n v="5250"/>
    <n v="14567.75"/>
    <n v="71.06219512195122"/>
  </r>
  <r>
    <d v="2024-11-02T00:00:00"/>
    <x v="2"/>
    <n v="11"/>
    <x v="3"/>
    <x v="2"/>
    <n v="219"/>
    <n v="219"/>
    <n v="0"/>
    <n v="11"/>
    <n v="0.76573426573426573"/>
    <n v="35"/>
    <n v="34"/>
    <n v="0.97142857142857142"/>
    <n v="7524"/>
    <n v="1916.25"/>
    <n v="5250"/>
    <n v="14690.25"/>
    <n v="67.078767123287676"/>
  </r>
  <r>
    <d v="2024-11-09T00:00:00"/>
    <x v="2"/>
    <n v="11"/>
    <x v="3"/>
    <x v="2"/>
    <n v="216"/>
    <n v="216"/>
    <n v="0"/>
    <n v="11"/>
    <n v="0.75524475524475521"/>
    <n v="35"/>
    <n v="35"/>
    <n v="1"/>
    <n v="7524"/>
    <n v="1890"/>
    <n v="5250"/>
    <n v="14664"/>
    <n v="67.888888888888886"/>
  </r>
  <r>
    <d v="2024-11-16T00:00:00"/>
    <x v="2"/>
    <n v="11"/>
    <x v="3"/>
    <x v="2"/>
    <n v="235"/>
    <n v="234"/>
    <n v="1"/>
    <n v="13"/>
    <n v="0.69230769230769229"/>
    <n v="35"/>
    <n v="34"/>
    <n v="0.97142857142857142"/>
    <n v="8892"/>
    <n v="2047.5"/>
    <n v="5250"/>
    <n v="16189.5"/>
    <n v="69.185897435897431"/>
  </r>
  <r>
    <d v="2024-11-23T00:00:00"/>
    <x v="2"/>
    <n v="11"/>
    <x v="3"/>
    <x v="2"/>
    <n v="268"/>
    <n v="262"/>
    <n v="7"/>
    <n v="13"/>
    <n v="0.7751479289940828"/>
    <n v="38"/>
    <n v="38"/>
    <n v="1"/>
    <n v="8892"/>
    <n v="2292.5"/>
    <n v="5700"/>
    <n v="16884.5"/>
    <n v="64.444656488549612"/>
  </r>
  <r>
    <d v="2024-11-30T00:00:00"/>
    <x v="2"/>
    <n v="11"/>
    <x v="3"/>
    <x v="2"/>
    <n v="294"/>
    <n v="279"/>
    <n v="22"/>
    <n v="14"/>
    <n v="0.76648351648351654"/>
    <n v="38"/>
    <n v="37"/>
    <n v="0.97368421052631582"/>
    <n v="9576"/>
    <n v="2441.25"/>
    <n v="5700"/>
    <n v="17717.25"/>
    <n v="63.502688172043008"/>
  </r>
  <r>
    <d v="2024-12-07T00:00:00"/>
    <x v="2"/>
    <n v="12"/>
    <x v="3"/>
    <x v="2"/>
    <n v="303"/>
    <n v="287"/>
    <n v="38"/>
    <n v="14"/>
    <n v="0.78846153846153844"/>
    <n v="38"/>
    <n v="36"/>
    <n v="0.94736842105263153"/>
    <n v="9576"/>
    <n v="2511.25"/>
    <n v="5700"/>
    <n v="17787.25"/>
    <n v="61.976480836236931"/>
  </r>
  <r>
    <d v="2024-12-14T00:00:00"/>
    <x v="2"/>
    <n v="12"/>
    <x v="3"/>
    <x v="2"/>
    <n v="319"/>
    <n v="292"/>
    <n v="65"/>
    <n v="13"/>
    <n v="0.86390532544378695"/>
    <n v="38"/>
    <n v="37"/>
    <n v="0.97368421052631582"/>
    <n v="8892"/>
    <n v="2555"/>
    <n v="5700"/>
    <n v="17147"/>
    <n v="58.722602739726028"/>
  </r>
  <r>
    <d v="2024-12-21T00:00:00"/>
    <x v="2"/>
    <n v="12"/>
    <x v="3"/>
    <x v="2"/>
    <n v="269"/>
    <n v="276"/>
    <n v="58"/>
    <n v="13"/>
    <n v="0.81656804733727806"/>
    <n v="38"/>
    <n v="38"/>
    <n v="1"/>
    <n v="8892"/>
    <n v="2415"/>
    <n v="5700"/>
    <n v="17007"/>
    <n v="61.619565217391298"/>
  </r>
  <r>
    <d v="2024-12-28T00:00:00"/>
    <x v="2"/>
    <n v="12"/>
    <x v="3"/>
    <x v="2"/>
    <n v="239"/>
    <n v="270"/>
    <n v="27"/>
    <n v="13"/>
    <n v="0.79881656804733725"/>
    <n v="38"/>
    <n v="35"/>
    <n v="0.92105263157894735"/>
    <n v="8892"/>
    <n v="2362.5"/>
    <n v="5700"/>
    <n v="16954.5"/>
    <n v="62.794444444444437"/>
  </r>
  <r>
    <d v="2025-01-04T00:00:00"/>
    <x v="3"/>
    <n v="1"/>
    <x v="3"/>
    <x v="2"/>
    <n v="198"/>
    <n v="222"/>
    <n v="3"/>
    <n v="11"/>
    <n v="0.77622377622377625"/>
    <n v="38"/>
    <n v="37"/>
    <n v="0.97368421052631582"/>
    <n v="7524"/>
    <n v="1942.5"/>
    <n v="5700"/>
    <n v="15166.5"/>
    <n v="68.317567567567565"/>
  </r>
  <r>
    <d v="2025-01-11T00:00:00"/>
    <x v="3"/>
    <n v="1"/>
    <x v="3"/>
    <x v="2"/>
    <n v="171"/>
    <n v="174"/>
    <n v="0"/>
    <n v="9"/>
    <n v="0.74358974358974361"/>
    <n v="38"/>
    <n v="37"/>
    <n v="0.97368421052631582"/>
    <n v="6156"/>
    <n v="1522.5"/>
    <n v="5700"/>
    <n v="13378.5"/>
    <n v="76.887931034482762"/>
  </r>
  <r>
    <d v="2025-01-18T00:00:00"/>
    <x v="3"/>
    <n v="1"/>
    <x v="3"/>
    <x v="2"/>
    <n v="165"/>
    <n v="165"/>
    <n v="0"/>
    <n v="10"/>
    <n v="0.63461538461538458"/>
    <n v="38"/>
    <n v="37"/>
    <n v="0.97368421052631582"/>
    <n v="6840"/>
    <n v="1443.75"/>
    <n v="5700"/>
    <n v="13983.75"/>
    <n v="84.75"/>
  </r>
  <r>
    <d v="2025-01-25T00:00:00"/>
    <x v="3"/>
    <n v="1"/>
    <x v="3"/>
    <x v="2"/>
    <n v="167"/>
    <n v="167"/>
    <n v="0"/>
    <n v="10"/>
    <n v="0.64230769230769236"/>
    <n v="38"/>
    <n v="38"/>
    <n v="1"/>
    <n v="6840"/>
    <n v="1461.25"/>
    <n v="5700"/>
    <n v="14001.25"/>
    <n v="83.839820359281433"/>
  </r>
  <r>
    <d v="2025-02-01T00:00:00"/>
    <x v="3"/>
    <n v="2"/>
    <x v="3"/>
    <x v="2"/>
    <n v="179"/>
    <n v="179"/>
    <n v="0"/>
    <n v="11"/>
    <n v="0.62587412587412583"/>
    <n v="38"/>
    <n v="37"/>
    <n v="0.97368421052631582"/>
    <n v="7524"/>
    <n v="1566.25"/>
    <n v="5700"/>
    <n v="14790.25"/>
    <n v="82.627094972067042"/>
  </r>
  <r>
    <d v="2025-02-08T00:00:00"/>
    <x v="3"/>
    <n v="2"/>
    <x v="3"/>
    <x v="2"/>
    <n v="192"/>
    <n v="192"/>
    <n v="0"/>
    <n v="11"/>
    <n v="0.67132867132867136"/>
    <n v="38"/>
    <n v="37"/>
    <n v="0.97368421052631582"/>
    <n v="7524"/>
    <n v="1680"/>
    <n v="5700"/>
    <n v="14904"/>
    <n v="77.625"/>
  </r>
  <r>
    <d v="2025-02-15T00:00:00"/>
    <x v="3"/>
    <n v="2"/>
    <x v="3"/>
    <x v="2"/>
    <n v="191"/>
    <n v="191"/>
    <n v="0"/>
    <n v="10"/>
    <n v="0.73461538461538467"/>
    <n v="38"/>
    <n v="38"/>
    <n v="1"/>
    <n v="6840"/>
    <n v="1671.25"/>
    <n v="5700"/>
    <n v="14211.25"/>
    <n v="74.404450261780099"/>
  </r>
  <r>
    <d v="2025-02-22T00:00:00"/>
    <x v="3"/>
    <n v="2"/>
    <x v="3"/>
    <x v="2"/>
    <n v="197"/>
    <n v="197"/>
    <n v="0"/>
    <n v="11"/>
    <n v="0.68881118881118886"/>
    <n v="38"/>
    <n v="37"/>
    <n v="0.97368421052631582"/>
    <n v="7524"/>
    <n v="1723.75"/>
    <n v="5700"/>
    <n v="14947.75"/>
    <n v="75.876903553299499"/>
  </r>
  <r>
    <d v="2025-03-01T00:00:00"/>
    <x v="3"/>
    <n v="3"/>
    <x v="3"/>
    <x v="2"/>
    <n v="207"/>
    <n v="207"/>
    <n v="0"/>
    <n v="11"/>
    <n v="0.72377622377622375"/>
    <n v="38"/>
    <n v="38"/>
    <n v="1"/>
    <n v="7524"/>
    <n v="1811.25"/>
    <n v="5700"/>
    <n v="15035.25"/>
    <n v="72.634057971014499"/>
  </r>
  <r>
    <d v="2025-03-08T00:00:00"/>
    <x v="3"/>
    <n v="3"/>
    <x v="3"/>
    <x v="2"/>
    <n v="202"/>
    <n v="202"/>
    <n v="0"/>
    <n v="11"/>
    <n v="0.70629370629370625"/>
    <n v="38"/>
    <n v="37"/>
    <n v="0.97368421052631582"/>
    <n v="7524"/>
    <n v="1767.5"/>
    <n v="5700"/>
    <n v="14991.5"/>
    <n v="74.215346534653463"/>
  </r>
  <r>
    <d v="2025-03-15T00:00:00"/>
    <x v="3"/>
    <n v="3"/>
    <x v="3"/>
    <x v="2"/>
    <n v="212"/>
    <n v="212"/>
    <n v="0"/>
    <n v="11"/>
    <n v="0.74125874125874125"/>
    <n v="38"/>
    <n v="36"/>
    <n v="0.94736842105263153"/>
    <n v="7524"/>
    <n v="1855"/>
    <n v="5700"/>
    <n v="15079"/>
    <n v="71.127358490566039"/>
  </r>
  <r>
    <d v="2025-03-22T00:00:00"/>
    <x v="3"/>
    <n v="3"/>
    <x v="3"/>
    <x v="2"/>
    <n v="207"/>
    <n v="207"/>
    <n v="0"/>
    <n v="11"/>
    <n v="0.72377622377622375"/>
    <n v="38"/>
    <n v="38"/>
    <n v="1"/>
    <n v="7524"/>
    <n v="1811.25"/>
    <n v="5700"/>
    <n v="15035.25"/>
    <n v="72.634057971014499"/>
  </r>
  <r>
    <d v="2025-03-29T00:00:00"/>
    <x v="3"/>
    <n v="3"/>
    <x v="3"/>
    <x v="2"/>
    <n v="203"/>
    <n v="203"/>
    <n v="0"/>
    <n v="11"/>
    <n v="0.70979020979020979"/>
    <n v="38"/>
    <n v="36"/>
    <n v="0.94736842105263153"/>
    <n v="7524"/>
    <n v="1776.25"/>
    <n v="5700"/>
    <n v="15000.25"/>
    <n v="73.892857142857139"/>
  </r>
  <r>
    <d v="2025-04-05T00:00:00"/>
    <x v="3"/>
    <n v="4"/>
    <x v="3"/>
    <x v="2"/>
    <n v="207"/>
    <n v="207"/>
    <n v="0"/>
    <n v="11"/>
    <n v="0.72377622377622375"/>
    <n v="38"/>
    <n v="38"/>
    <n v="1"/>
    <n v="7524"/>
    <n v="1811.25"/>
    <n v="5700"/>
    <n v="15035.25"/>
    <n v="72.634057971014499"/>
  </r>
  <r>
    <d v="2025-04-12T00:00:00"/>
    <x v="3"/>
    <n v="4"/>
    <x v="3"/>
    <x v="2"/>
    <n v="212"/>
    <n v="212"/>
    <n v="0"/>
    <n v="11"/>
    <n v="0.74125874125874125"/>
    <n v="38"/>
    <n v="36"/>
    <n v="0.94736842105263153"/>
    <n v="7524"/>
    <n v="1855"/>
    <n v="5700"/>
    <n v="15079"/>
    <n v="71.127358490566039"/>
  </r>
  <r>
    <d v="2025-04-19T00:00:00"/>
    <x v="3"/>
    <n v="4"/>
    <x v="3"/>
    <x v="2"/>
    <n v="222"/>
    <n v="222"/>
    <n v="0"/>
    <n v="11"/>
    <n v="0.77622377622377625"/>
    <n v="38"/>
    <n v="37"/>
    <n v="0.97368421052631582"/>
    <n v="7524"/>
    <n v="1942.5"/>
    <n v="5700"/>
    <n v="15166.5"/>
    <n v="68.317567567567565"/>
  </r>
  <r>
    <d v="2025-04-26T00:00:00"/>
    <x v="3"/>
    <n v="4"/>
    <x v="3"/>
    <x v="2"/>
    <n v="212"/>
    <n v="212"/>
    <n v="0"/>
    <n v="11"/>
    <n v="0.74125874125874125"/>
    <n v="38"/>
    <n v="35"/>
    <n v="0.92105263157894735"/>
    <n v="7524"/>
    <n v="1855"/>
    <n v="5700"/>
    <n v="15079"/>
    <n v="71.127358490566039"/>
  </r>
  <r>
    <d v="2025-05-03T00:00:00"/>
    <x v="3"/>
    <n v="5"/>
    <x v="3"/>
    <x v="2"/>
    <n v="217"/>
    <n v="217"/>
    <n v="0"/>
    <n v="11"/>
    <n v="0.75874125874125875"/>
    <n v="38"/>
    <n v="38"/>
    <n v="1"/>
    <n v="7524"/>
    <n v="1898.75"/>
    <n v="5700"/>
    <n v="15122.75"/>
    <n v="69.690092165898619"/>
  </r>
  <r>
    <d v="2025-05-10T00:00:00"/>
    <x v="3"/>
    <n v="5"/>
    <x v="3"/>
    <x v="2"/>
    <n v="227"/>
    <n v="227"/>
    <n v="0"/>
    <n v="12"/>
    <n v="0.72756410256410253"/>
    <n v="38"/>
    <n v="38"/>
    <n v="1"/>
    <n v="8208"/>
    <n v="1986.25"/>
    <n v="5700"/>
    <n v="15894.25"/>
    <n v="70.018722466960355"/>
  </r>
  <r>
    <d v="2025-05-17T00:00:00"/>
    <x v="3"/>
    <n v="5"/>
    <x v="3"/>
    <x v="2"/>
    <n v="226"/>
    <n v="226"/>
    <n v="0"/>
    <n v="12"/>
    <n v="0.72435897435897434"/>
    <n v="38"/>
    <n v="35"/>
    <n v="0.92105263157894735"/>
    <n v="8208"/>
    <n v="1977.5"/>
    <n v="5700"/>
    <n v="15885.5"/>
    <n v="70.289823008849552"/>
  </r>
  <r>
    <d v="2025-05-24T00:00:00"/>
    <x v="3"/>
    <n v="5"/>
    <x v="3"/>
    <x v="2"/>
    <n v="227"/>
    <n v="227"/>
    <n v="0"/>
    <n v="13"/>
    <n v="0.67159763313609466"/>
    <n v="38"/>
    <n v="38"/>
    <n v="1"/>
    <n v="8892"/>
    <n v="1986.25"/>
    <n v="5700"/>
    <n v="16578.25"/>
    <n v="73.031938325991192"/>
  </r>
  <r>
    <d v="2025-05-31T00:00:00"/>
    <x v="3"/>
    <n v="5"/>
    <x v="3"/>
    <x v="2"/>
    <n v="220"/>
    <n v="220"/>
    <n v="0"/>
    <n v="11"/>
    <n v="0.76923076923076927"/>
    <n v="38"/>
    <n v="38"/>
    <n v="1"/>
    <n v="7524"/>
    <n v="1925"/>
    <n v="5700"/>
    <n v="15149"/>
    <n v="68.859090909090909"/>
  </r>
  <r>
    <d v="2025-06-07T00:00:00"/>
    <x v="3"/>
    <n v="6"/>
    <x v="3"/>
    <x v="2"/>
    <n v="210"/>
    <n v="210"/>
    <n v="0"/>
    <n v="11"/>
    <n v="0.73426573426573427"/>
    <n v="38"/>
    <n v="37"/>
    <n v="0.97368421052631582"/>
    <n v="7524"/>
    <n v="1837.5"/>
    <n v="5700"/>
    <n v="15061.5"/>
    <n v="71.721428571428575"/>
  </r>
  <r>
    <d v="2025-06-14T00:00:00"/>
    <x v="3"/>
    <n v="6"/>
    <x v="3"/>
    <x v="2"/>
    <n v="201"/>
    <n v="201"/>
    <n v="0"/>
    <n v="11"/>
    <n v="0.70279720279720281"/>
    <n v="38"/>
    <n v="38"/>
    <n v="1"/>
    <n v="7524"/>
    <n v="1758.75"/>
    <n v="5700"/>
    <n v="14982.75"/>
    <n v="74.541044776119406"/>
  </r>
  <r>
    <d v="2025-06-21T00:00:00"/>
    <x v="3"/>
    <n v="6"/>
    <x v="3"/>
    <x v="2"/>
    <n v="218"/>
    <n v="218"/>
    <n v="0"/>
    <n v="11"/>
    <n v="0.76223776223776218"/>
    <n v="38"/>
    <n v="37"/>
    <n v="0.97368421052631582"/>
    <n v="7524"/>
    <n v="1907.5"/>
    <n v="5700"/>
    <n v="15131.5"/>
    <n v="69.410550458715591"/>
  </r>
  <r>
    <d v="2025-06-28T00:00:00"/>
    <x v="3"/>
    <n v="6"/>
    <x v="3"/>
    <x v="2"/>
    <n v="214"/>
    <n v="214"/>
    <n v="0"/>
    <n v="11"/>
    <n v="0.74825174825174823"/>
    <n v="38"/>
    <n v="37"/>
    <n v="0.97368421052631582"/>
    <n v="7524"/>
    <n v="1872.5"/>
    <n v="5700"/>
    <n v="15096.5"/>
    <n v="70.544392523364479"/>
  </r>
  <r>
    <d v="2025-07-05T00:00:00"/>
    <x v="3"/>
    <n v="7"/>
    <x v="3"/>
    <x v="2"/>
    <n v="223"/>
    <n v="223"/>
    <n v="0"/>
    <n v="11"/>
    <n v="0.77972027972027969"/>
    <n v="38"/>
    <n v="38"/>
    <n v="1"/>
    <n v="7524"/>
    <n v="1951.25"/>
    <n v="5700"/>
    <n v="15175.25"/>
    <n v="68.050448430493276"/>
  </r>
  <r>
    <d v="2025-07-12T00:00:00"/>
    <x v="3"/>
    <n v="7"/>
    <x v="3"/>
    <x v="2"/>
    <n v="222"/>
    <n v="222"/>
    <n v="0"/>
    <n v="11"/>
    <n v="0.77622377622377625"/>
    <n v="38"/>
    <n v="38"/>
    <n v="1"/>
    <n v="7524"/>
    <n v="1942.5"/>
    <n v="5700"/>
    <n v="15166.5"/>
    <n v="68.317567567567565"/>
  </r>
  <r>
    <d v="2025-07-19T00:00:00"/>
    <x v="3"/>
    <n v="7"/>
    <x v="3"/>
    <x v="2"/>
    <n v="219"/>
    <n v="219"/>
    <n v="0"/>
    <n v="11"/>
    <n v="0.76573426573426573"/>
    <n v="38"/>
    <n v="37"/>
    <n v="0.97368421052631582"/>
    <n v="7524"/>
    <n v="1916.25"/>
    <n v="5700"/>
    <n v="15140.25"/>
    <n v="69.13356164383562"/>
  </r>
  <r>
    <d v="2025-07-26T00:00:00"/>
    <x v="3"/>
    <n v="7"/>
    <x v="3"/>
    <x v="2"/>
    <n v="225"/>
    <n v="225"/>
    <n v="0"/>
    <n v="12"/>
    <n v="0.72115384615384615"/>
    <n v="38"/>
    <n v="36"/>
    <n v="0.94736842105263153"/>
    <n v="8208"/>
    <n v="1968.75"/>
    <n v="5700"/>
    <n v="15876.75"/>
    <n v="70.563333333333333"/>
  </r>
  <r>
    <d v="2025-08-02T00:00:00"/>
    <x v="3"/>
    <n v="8"/>
    <x v="3"/>
    <x v="2"/>
    <n v="233"/>
    <n v="232"/>
    <n v="1"/>
    <n v="13"/>
    <n v="0.68639053254437865"/>
    <n v="38"/>
    <n v="37"/>
    <n v="0.97368421052631582"/>
    <n v="8892"/>
    <n v="2030"/>
    <n v="5700"/>
    <n v="16622"/>
    <n v="71.646551724137936"/>
  </r>
  <r>
    <d v="2025-08-09T00:00:00"/>
    <x v="3"/>
    <n v="8"/>
    <x v="3"/>
    <x v="2"/>
    <n v="226"/>
    <n v="227"/>
    <n v="0"/>
    <n v="12"/>
    <n v="0.72756410256410253"/>
    <n v="38"/>
    <n v="36"/>
    <n v="0.94736842105263153"/>
    <n v="8208"/>
    <n v="1986.25"/>
    <n v="5700"/>
    <n v="15894.25"/>
    <n v="70.018722466960355"/>
  </r>
  <r>
    <d v="2025-08-16T00:00:00"/>
    <x v="3"/>
    <n v="8"/>
    <x v="3"/>
    <x v="2"/>
    <n v="223"/>
    <n v="223"/>
    <n v="0"/>
    <n v="13"/>
    <n v="0.65976331360946749"/>
    <n v="38"/>
    <n v="38"/>
    <n v="1"/>
    <n v="8892"/>
    <n v="1951.25"/>
    <n v="5700"/>
    <n v="16543.25"/>
    <n v="74.18497757847534"/>
  </r>
  <r>
    <d v="2025-08-23T00:00:00"/>
    <x v="3"/>
    <n v="8"/>
    <x v="3"/>
    <x v="2"/>
    <n v="224"/>
    <n v="224"/>
    <n v="0"/>
    <n v="12"/>
    <n v="0.71794871794871795"/>
    <n v="38"/>
    <n v="37"/>
    <n v="0.97368421052631582"/>
    <n v="8208"/>
    <n v="1960"/>
    <n v="5700"/>
    <n v="15868"/>
    <n v="70.839285714285708"/>
  </r>
  <r>
    <d v="2025-08-30T00:00:00"/>
    <x v="3"/>
    <n v="8"/>
    <x v="3"/>
    <x v="2"/>
    <n v="215"/>
    <n v="215"/>
    <n v="0"/>
    <n v="11"/>
    <n v="0.75174825174825177"/>
    <n v="38"/>
    <n v="37"/>
    <n v="0.97368421052631582"/>
    <n v="7524"/>
    <n v="1881.25"/>
    <n v="5700"/>
    <n v="15105.25"/>
    <n v="70.256976744186048"/>
  </r>
  <r>
    <d v="2025-09-06T00:00:00"/>
    <x v="3"/>
    <n v="9"/>
    <x v="3"/>
    <x v="2"/>
    <n v="203"/>
    <n v="203"/>
    <n v="0"/>
    <n v="11"/>
    <n v="0.70979020979020979"/>
    <n v="38"/>
    <n v="38"/>
    <n v="1"/>
    <n v="7524"/>
    <n v="1776.25"/>
    <n v="5700"/>
    <n v="15000.25"/>
    <n v="73.892857142857139"/>
  </r>
  <r>
    <d v="2025-09-13T00:00:00"/>
    <x v="3"/>
    <n v="9"/>
    <x v="3"/>
    <x v="2"/>
    <n v="194"/>
    <n v="194"/>
    <n v="0"/>
    <n v="11"/>
    <n v="0.67832167832167833"/>
    <n v="38"/>
    <n v="37"/>
    <n v="0.97368421052631582"/>
    <n v="7524"/>
    <n v="1697.5"/>
    <n v="5700"/>
    <n v="14921.5"/>
    <n v="76.914948453608247"/>
  </r>
  <r>
    <d v="2025-09-20T00:00:00"/>
    <x v="3"/>
    <n v="9"/>
    <x v="3"/>
    <x v="2"/>
    <n v="197"/>
    <n v="197"/>
    <n v="0"/>
    <n v="10"/>
    <n v="0.75769230769230766"/>
    <n v="38"/>
    <n v="38"/>
    <n v="1"/>
    <n v="6840"/>
    <n v="1723.75"/>
    <n v="5700"/>
    <n v="14263.75"/>
    <n v="72.404822335025386"/>
  </r>
  <r>
    <d v="2025-09-27T00:00:00"/>
    <x v="3"/>
    <n v="9"/>
    <x v="3"/>
    <x v="2"/>
    <n v="203"/>
    <n v="203"/>
    <n v="0"/>
    <n v="11"/>
    <n v="0.70979020979020979"/>
    <n v="38"/>
    <n v="38"/>
    <n v="1"/>
    <n v="7524"/>
    <n v="1776.25"/>
    <n v="5700"/>
    <n v="15000.25"/>
    <n v="73.892857142857139"/>
  </r>
  <r>
    <d v="2025-10-04T00:00:00"/>
    <x v="3"/>
    <n v="10"/>
    <x v="3"/>
    <x v="2"/>
    <n v="222"/>
    <n v="222"/>
    <n v="0"/>
    <n v="12"/>
    <n v="0.71153846153846156"/>
    <n v="38"/>
    <n v="38"/>
    <n v="1"/>
    <n v="8208"/>
    <n v="1942.5"/>
    <n v="5700"/>
    <n v="15850.5"/>
    <n v="71.398648648648646"/>
  </r>
  <r>
    <d v="2025-10-11T00:00:00"/>
    <x v="3"/>
    <n v="10"/>
    <x v="3"/>
    <x v="2"/>
    <n v="207"/>
    <n v="207"/>
    <n v="0"/>
    <n v="11"/>
    <n v="0.72377622377622375"/>
    <n v="38"/>
    <n v="35"/>
    <n v="0.92105263157894735"/>
    <n v="7524"/>
    <n v="1811.25"/>
    <n v="5700"/>
    <n v="15035.25"/>
    <n v="72.634057971014499"/>
  </r>
  <r>
    <d v="2025-10-18T00:00:00"/>
    <x v="3"/>
    <n v="10"/>
    <x v="3"/>
    <x v="2"/>
    <n v="231"/>
    <n v="231"/>
    <n v="0"/>
    <n v="13"/>
    <n v="0.68343195266272194"/>
    <n v="38"/>
    <n v="34"/>
    <n v="0.89473684210526316"/>
    <n v="8892"/>
    <n v="2021.25"/>
    <n v="5700"/>
    <n v="16613.25"/>
    <n v="71.918831168831176"/>
  </r>
  <r>
    <d v="2025-10-25T00:00:00"/>
    <x v="3"/>
    <n v="10"/>
    <x v="3"/>
    <x v="2"/>
    <n v="235"/>
    <n v="235"/>
    <n v="0"/>
    <n v="13"/>
    <n v="0.69526627218934911"/>
    <n v="38"/>
    <n v="37"/>
    <n v="0.97368421052631582"/>
    <n v="8892"/>
    <n v="2056.25"/>
    <n v="5700"/>
    <n v="16648.25"/>
    <n v="70.8436170212766"/>
  </r>
  <r>
    <d v="2025-11-01T00:00:00"/>
    <x v="3"/>
    <n v="11"/>
    <x v="3"/>
    <x v="2"/>
    <n v="241"/>
    <n v="241"/>
    <n v="0"/>
    <n v="12"/>
    <n v="0.77243589743589747"/>
    <n v="38"/>
    <n v="38"/>
    <n v="1"/>
    <n v="8208"/>
    <n v="2108.75"/>
    <n v="5700"/>
    <n v="16016.75"/>
    <n v="66.459543568464724"/>
  </r>
  <r>
    <d v="2025-11-08T00:00:00"/>
    <x v="3"/>
    <n v="11"/>
    <x v="3"/>
    <x v="2"/>
    <n v="258"/>
    <n v="257"/>
    <n v="1"/>
    <n v="13"/>
    <n v="0.76035502958579881"/>
    <n v="38"/>
    <n v="38"/>
    <n v="1"/>
    <n v="8892"/>
    <n v="2248.75"/>
    <n v="5700"/>
    <n v="16840.75"/>
    <n v="65.528210116731515"/>
  </r>
  <r>
    <d v="2025-11-15T00:00:00"/>
    <x v="3"/>
    <n v="11"/>
    <x v="3"/>
    <x v="2"/>
    <n v="273"/>
    <n v="272"/>
    <n v="2"/>
    <n v="13"/>
    <n v="0.80473372781065089"/>
    <n v="38"/>
    <n v="37"/>
    <n v="0.97368421052631582"/>
    <n v="8892"/>
    <n v="2380"/>
    <n v="5700"/>
    <n v="16972"/>
    <n v="62.397058823529413"/>
  </r>
  <r>
    <d v="2025-11-22T00:00:00"/>
    <x v="3"/>
    <n v="11"/>
    <x v="3"/>
    <x v="2"/>
    <n v="294"/>
    <n v="282"/>
    <n v="14"/>
    <n v="13"/>
    <n v="0.83431952662721898"/>
    <n v="38"/>
    <n v="37"/>
    <n v="0.97368421052631582"/>
    <n v="8892"/>
    <n v="2467.5"/>
    <n v="5700"/>
    <n v="17059.5"/>
    <n v="60.494680851063833"/>
  </r>
  <r>
    <d v="2025-11-29T00:00:00"/>
    <x v="3"/>
    <n v="11"/>
    <x v="3"/>
    <x v="2"/>
    <n v="311"/>
    <n v="293"/>
    <n v="32"/>
    <n v="13"/>
    <n v="0.86686390532544377"/>
    <n v="38"/>
    <n v="38"/>
    <n v="1"/>
    <n v="8892"/>
    <n v="2563.75"/>
    <n v="5700"/>
    <n v="17155.75"/>
    <n v="58.552047781569968"/>
  </r>
  <r>
    <d v="2025-12-06T00:00:00"/>
    <x v="3"/>
    <n v="12"/>
    <x v="3"/>
    <x v="2"/>
    <n v="329"/>
    <n v="298"/>
    <n v="63"/>
    <n v="14"/>
    <n v="0.81868131868131866"/>
    <n v="38"/>
    <n v="35"/>
    <n v="0.92105263157894735"/>
    <n v="9576"/>
    <n v="2607.5"/>
    <n v="5700"/>
    <n v="17883.5"/>
    <n v="60.011744966442947"/>
  </r>
  <r>
    <d v="2025-12-13T00:00:00"/>
    <x v="3"/>
    <n v="12"/>
    <x v="3"/>
    <x v="2"/>
    <n v="332"/>
    <n v="299"/>
    <n v="96"/>
    <n v="14"/>
    <n v="0.8214285714285714"/>
    <n v="38"/>
    <n v="36"/>
    <n v="0.94736842105263153"/>
    <n v="9576"/>
    <n v="2616.25"/>
    <n v="5700"/>
    <n v="17892.25"/>
    <n v="59.840301003344479"/>
  </r>
  <r>
    <d v="2025-12-20T00:00:00"/>
    <x v="3"/>
    <n v="12"/>
    <x v="3"/>
    <x v="2"/>
    <n v="306"/>
    <n v="292"/>
    <n v="110"/>
    <n v="14"/>
    <n v="0.80219780219780223"/>
    <n v="38"/>
    <n v="37"/>
    <n v="0.97368421052631582"/>
    <n v="9576"/>
    <n v="2555"/>
    <n v="5700"/>
    <n v="17831"/>
    <n v="61.065068493150683"/>
  </r>
  <r>
    <d v="2025-12-27T00:00:00"/>
    <x v="3"/>
    <n v="12"/>
    <x v="3"/>
    <x v="2"/>
    <n v="256"/>
    <n v="288"/>
    <n v="78"/>
    <n v="13"/>
    <n v="0.85207100591715978"/>
    <n v="38"/>
    <n v="37"/>
    <n v="0.97368421052631582"/>
    <n v="8892"/>
    <n v="2520"/>
    <n v="5700"/>
    <n v="17112"/>
    <n v="59.416666666666657"/>
  </r>
  <r>
    <d v="2026-01-03T00:00:00"/>
    <x v="4"/>
    <n v="1"/>
    <x v="3"/>
    <x v="2"/>
    <n v="217"/>
    <n v="260"/>
    <n v="35"/>
    <n v="13"/>
    <n v="0.76923076923076927"/>
    <n v="38"/>
    <n v="36"/>
    <n v="0.94736842105263153"/>
    <n v="8892"/>
    <n v="2275"/>
    <n v="5700"/>
    <n v="16867"/>
    <n v="64.873076923076923"/>
  </r>
  <r>
    <d v="2026-01-10T00:00:00"/>
    <x v="4"/>
    <n v="1"/>
    <x v="3"/>
    <x v="2"/>
    <n v="178"/>
    <n v="210"/>
    <n v="3"/>
    <n v="11"/>
    <n v="0.73426573426573427"/>
    <n v="38"/>
    <n v="36"/>
    <n v="0.94736842105263153"/>
    <n v="7524"/>
    <n v="1837.5"/>
    <n v="5700"/>
    <n v="15061.5"/>
    <n v="71.721428571428575"/>
  </r>
  <r>
    <d v="2026-01-17T00:00:00"/>
    <x v="4"/>
    <n v="1"/>
    <x v="3"/>
    <x v="2"/>
    <n v="171"/>
    <n v="174"/>
    <n v="0"/>
    <n v="10"/>
    <n v="0.66923076923076918"/>
    <n v="38"/>
    <n v="37"/>
    <n v="0.97368421052631582"/>
    <n v="6840"/>
    <n v="1522.5"/>
    <n v="5700"/>
    <n v="14062.5"/>
    <n v="80.818965517241381"/>
  </r>
  <r>
    <d v="2026-01-24T00:00:00"/>
    <x v="4"/>
    <n v="1"/>
    <x v="3"/>
    <x v="2"/>
    <n v="190"/>
    <n v="190"/>
    <n v="0"/>
    <n v="10"/>
    <n v="0.73076923076923073"/>
    <n v="38"/>
    <n v="36"/>
    <n v="0.94736842105263153"/>
    <n v="6840"/>
    <n v="1662.5"/>
    <n v="5700"/>
    <n v="14202.5"/>
    <n v="74.75"/>
  </r>
  <r>
    <d v="2026-01-31T00:00:00"/>
    <x v="4"/>
    <n v="1"/>
    <x v="3"/>
    <x v="2"/>
    <n v="178"/>
    <n v="178"/>
    <n v="0"/>
    <n v="10"/>
    <n v="0.68461538461538463"/>
    <n v="38"/>
    <n v="36"/>
    <n v="0.94736842105263153"/>
    <n v="6840"/>
    <n v="1557.5"/>
    <n v="5700"/>
    <n v="14097.5"/>
    <n v="79.199438202247194"/>
  </r>
  <r>
    <d v="2026-02-07T00:00:00"/>
    <x v="4"/>
    <n v="2"/>
    <x v="3"/>
    <x v="2"/>
    <n v="198"/>
    <n v="198"/>
    <n v="0"/>
    <n v="11"/>
    <n v="0.69230769230769229"/>
    <n v="38"/>
    <n v="36"/>
    <n v="0.94736842105263153"/>
    <n v="7524"/>
    <n v="1732.5"/>
    <n v="5700"/>
    <n v="14956.5"/>
    <n v="75.537878787878782"/>
  </r>
  <r>
    <d v="2026-02-14T00:00:00"/>
    <x v="4"/>
    <n v="2"/>
    <x v="3"/>
    <x v="2"/>
    <n v="204"/>
    <n v="204"/>
    <n v="0"/>
    <n v="11"/>
    <n v="0.71328671328671334"/>
    <n v="38"/>
    <n v="38"/>
    <n v="1"/>
    <n v="7524"/>
    <n v="1785"/>
    <n v="5700"/>
    <n v="15009"/>
    <n v="73.57352941176471"/>
  </r>
  <r>
    <d v="2026-02-21T00:00:00"/>
    <x v="4"/>
    <n v="2"/>
    <x v="3"/>
    <x v="2"/>
    <n v="208"/>
    <n v="208"/>
    <n v="0"/>
    <n v="10"/>
    <n v="0.8"/>
    <n v="38"/>
    <n v="38"/>
    <n v="1"/>
    <n v="6840"/>
    <n v="1820"/>
    <n v="5700"/>
    <n v="14360"/>
    <n v="69.038461538461533"/>
  </r>
  <r>
    <d v="2026-02-28T00:00:00"/>
    <x v="4"/>
    <n v="2"/>
    <x v="3"/>
    <x v="2"/>
    <n v="204"/>
    <n v="204"/>
    <n v="0"/>
    <n v="11"/>
    <n v="0.71328671328671334"/>
    <n v="38"/>
    <n v="36"/>
    <n v="0.94736842105263153"/>
    <n v="7524"/>
    <n v="1785"/>
    <n v="5700"/>
    <n v="15009"/>
    <n v="73.57352941176471"/>
  </r>
  <r>
    <d v="2026-03-07T00:00:00"/>
    <x v="4"/>
    <n v="3"/>
    <x v="3"/>
    <x v="2"/>
    <n v="218"/>
    <n v="218"/>
    <n v="0"/>
    <n v="11"/>
    <n v="0.76223776223776218"/>
    <n v="38"/>
    <n v="37"/>
    <n v="0.97368421052631582"/>
    <n v="7524"/>
    <n v="1907.5"/>
    <n v="5700"/>
    <n v="15131.5"/>
    <n v="69.410550458715591"/>
  </r>
  <r>
    <d v="2026-03-14T00:00:00"/>
    <x v="4"/>
    <n v="3"/>
    <x v="3"/>
    <x v="2"/>
    <n v="224"/>
    <n v="224"/>
    <n v="0"/>
    <n v="13"/>
    <n v="0.66272189349112431"/>
    <n v="38"/>
    <n v="38"/>
    <n v="1"/>
    <n v="8892"/>
    <n v="1960"/>
    <n v="5700"/>
    <n v="16552"/>
    <n v="73.892857142857139"/>
  </r>
  <r>
    <d v="2026-03-21T00:00:00"/>
    <x v="4"/>
    <n v="3"/>
    <x v="3"/>
    <x v="2"/>
    <n v="230"/>
    <n v="230"/>
    <n v="0"/>
    <n v="11"/>
    <n v="0.80419580419580416"/>
    <n v="38"/>
    <n v="38"/>
    <n v="1"/>
    <n v="7524"/>
    <n v="2012.5"/>
    <n v="5700"/>
    <n v="15236.5"/>
    <n v="66.245652173913044"/>
  </r>
  <r>
    <d v="2026-03-28T00:00:00"/>
    <x v="4"/>
    <n v="3"/>
    <x v="3"/>
    <x v="2"/>
    <n v="224"/>
    <n v="224"/>
    <n v="0"/>
    <n v="12"/>
    <n v="0.71794871794871795"/>
    <n v="38"/>
    <n v="35"/>
    <n v="0.92105263157894735"/>
    <n v="8208"/>
    <n v="1960"/>
    <n v="5700"/>
    <n v="15868"/>
    <n v="70.839285714285708"/>
  </r>
  <r>
    <d v="2026-04-04T00:00:00"/>
    <x v="4"/>
    <n v="4"/>
    <x v="3"/>
    <x v="2"/>
    <n v="218"/>
    <n v="218"/>
    <n v="0"/>
    <n v="11"/>
    <n v="0.76223776223776218"/>
    <n v="38"/>
    <n v="37"/>
    <n v="0.97368421052631582"/>
    <n v="7524"/>
    <n v="1907.5"/>
    <n v="5700"/>
    <n v="15131.5"/>
    <n v="69.410550458715591"/>
  </r>
  <r>
    <d v="2026-04-11T00:00:00"/>
    <x v="4"/>
    <n v="4"/>
    <x v="3"/>
    <x v="2"/>
    <n v="232"/>
    <n v="232"/>
    <n v="0"/>
    <n v="12"/>
    <n v="0.74358974358974361"/>
    <n v="38"/>
    <n v="38"/>
    <n v="1"/>
    <n v="8208"/>
    <n v="2030"/>
    <n v="5700"/>
    <n v="15938"/>
    <n v="68.698275862068968"/>
  </r>
  <r>
    <d v="2026-04-18T00:00:00"/>
    <x v="4"/>
    <n v="4"/>
    <x v="3"/>
    <x v="2"/>
    <n v="226"/>
    <n v="226"/>
    <n v="0"/>
    <n v="12"/>
    <n v="0.72435897435897434"/>
    <n v="38"/>
    <n v="38"/>
    <n v="1"/>
    <n v="8208"/>
    <n v="1977.5"/>
    <n v="5700"/>
    <n v="15885.5"/>
    <n v="70.289823008849552"/>
  </r>
  <r>
    <d v="2026-04-25T00:00:00"/>
    <x v="4"/>
    <n v="4"/>
    <x v="3"/>
    <x v="2"/>
    <n v="231"/>
    <n v="231"/>
    <n v="0"/>
    <n v="12"/>
    <n v="0.74038461538461542"/>
    <n v="38"/>
    <n v="37"/>
    <n v="0.97368421052631582"/>
    <n v="8208"/>
    <n v="2021.25"/>
    <n v="5700"/>
    <n v="15929.25"/>
    <n v="68.95779220779221"/>
  </r>
  <r>
    <d v="2026-05-02T00:00:00"/>
    <x v="4"/>
    <n v="5"/>
    <x v="3"/>
    <x v="2"/>
    <n v="233"/>
    <n v="233"/>
    <n v="0"/>
    <n v="13"/>
    <n v="0.68934911242603547"/>
    <n v="38"/>
    <n v="37"/>
    <n v="0.97368421052631582"/>
    <n v="8892"/>
    <n v="2038.75"/>
    <n v="5700"/>
    <n v="16630.75"/>
    <n v="71.376609442060087"/>
  </r>
  <r>
    <d v="2026-05-09T00:00:00"/>
    <x v="4"/>
    <n v="5"/>
    <x v="3"/>
    <x v="2"/>
    <n v="238"/>
    <n v="238"/>
    <n v="0"/>
    <n v="12"/>
    <n v="0.76282051282051277"/>
    <n v="38"/>
    <n v="38"/>
    <n v="1"/>
    <n v="8208"/>
    <n v="2082.5"/>
    <n v="5700"/>
    <n v="15990.5"/>
    <n v="67.186974789915965"/>
  </r>
  <r>
    <d v="2026-05-16T00:00:00"/>
    <x v="4"/>
    <n v="5"/>
    <x v="3"/>
    <x v="2"/>
    <n v="249"/>
    <n v="248"/>
    <n v="1"/>
    <n v="13"/>
    <n v="0.73372781065088755"/>
    <n v="38"/>
    <n v="38"/>
    <n v="1"/>
    <n v="8892"/>
    <n v="2170"/>
    <n v="5700"/>
    <n v="16762"/>
    <n v="67.588709677419359"/>
  </r>
  <r>
    <d v="2026-05-23T00:00:00"/>
    <x v="4"/>
    <n v="5"/>
    <x v="3"/>
    <x v="2"/>
    <n v="242"/>
    <n v="243"/>
    <n v="0"/>
    <n v="13"/>
    <n v="0.71893491124260356"/>
    <n v="38"/>
    <n v="35"/>
    <n v="0.92105263157894735"/>
    <n v="8892"/>
    <n v="2126.25"/>
    <n v="5700"/>
    <n v="16718.25"/>
    <n v="68.799382716049379"/>
  </r>
  <r>
    <d v="2026-05-30T00:00:00"/>
    <x v="4"/>
    <n v="5"/>
    <x v="3"/>
    <x v="2"/>
    <n v="227"/>
    <n v="227"/>
    <n v="0"/>
    <n v="11"/>
    <n v="0.79370629370629375"/>
    <n v="38"/>
    <n v="36"/>
    <n v="0.94736842105263153"/>
    <n v="7524"/>
    <n v="1986.25"/>
    <n v="5700"/>
    <n v="15210.25"/>
    <n v="67.005506607929519"/>
  </r>
  <r>
    <d v="2026-06-06T00:00:00"/>
    <x v="4"/>
    <n v="6"/>
    <x v="3"/>
    <x v="2"/>
    <n v="223"/>
    <n v="223"/>
    <n v="0"/>
    <n v="11"/>
    <n v="0.77972027972027969"/>
    <n v="38"/>
    <n v="37"/>
    <n v="0.97368421052631582"/>
    <n v="7524"/>
    <n v="1951.25"/>
    <n v="5700"/>
    <n v="15175.25"/>
    <n v="68.050448430493276"/>
  </r>
  <r>
    <d v="2026-06-13T00:00:00"/>
    <x v="4"/>
    <n v="6"/>
    <x v="3"/>
    <x v="2"/>
    <n v="215"/>
    <n v="215"/>
    <n v="0"/>
    <n v="11"/>
    <n v="0.75174825174825177"/>
    <n v="38"/>
    <n v="37"/>
    <n v="0.97368421052631582"/>
    <n v="7524"/>
    <n v="1881.25"/>
    <n v="5700"/>
    <n v="15105.25"/>
    <n v="70.256976744186048"/>
  </r>
  <r>
    <d v="2026-06-20T00:00:00"/>
    <x v="4"/>
    <n v="6"/>
    <x v="3"/>
    <x v="2"/>
    <n v="221"/>
    <n v="221"/>
    <n v="0"/>
    <n v="11"/>
    <n v="0.77272727272727271"/>
    <n v="38"/>
    <n v="37"/>
    <n v="0.97368421052631582"/>
    <n v="7524"/>
    <n v="1933.75"/>
    <n v="5700"/>
    <n v="15157.75"/>
    <n v="68.587104072398191"/>
  </r>
  <r>
    <d v="2026-06-27T00:00:00"/>
    <x v="4"/>
    <n v="6"/>
    <x v="3"/>
    <x v="2"/>
    <n v="231"/>
    <n v="231"/>
    <n v="0"/>
    <n v="11"/>
    <n v="0.80769230769230771"/>
    <n v="38"/>
    <n v="37"/>
    <n v="0.97368421052631582"/>
    <n v="7524"/>
    <n v="2021.25"/>
    <n v="5700"/>
    <n v="15245.25"/>
    <n v="65.996753246753244"/>
  </r>
  <r>
    <d v="2026-07-04T00:00:00"/>
    <x v="4"/>
    <n v="7"/>
    <x v="3"/>
    <x v="2"/>
    <n v="221"/>
    <n v="221"/>
    <n v="0"/>
    <n v="12"/>
    <n v="0.70833333333333337"/>
    <n v="38"/>
    <n v="36"/>
    <n v="0.94736842105263153"/>
    <n v="8208"/>
    <n v="1933.75"/>
    <n v="5700"/>
    <n v="15841.75"/>
    <n v="71.682126696832583"/>
  </r>
  <r>
    <d v="2026-07-11T00:00:00"/>
    <x v="4"/>
    <n v="7"/>
    <x v="3"/>
    <x v="2"/>
    <n v="238"/>
    <n v="237"/>
    <n v="1"/>
    <n v="13"/>
    <n v="0.70118343195266275"/>
    <n v="38"/>
    <n v="38"/>
    <n v="1"/>
    <n v="8892"/>
    <n v="2073.75"/>
    <n v="5700"/>
    <n v="16665.75"/>
    <n v="70.319620253164558"/>
  </r>
  <r>
    <d v="2026-07-18T00:00:00"/>
    <x v="4"/>
    <n v="7"/>
    <x v="3"/>
    <x v="2"/>
    <n v="240"/>
    <n v="241"/>
    <n v="0"/>
    <n v="13"/>
    <n v="0.71301775147928992"/>
    <n v="38"/>
    <n v="37"/>
    <n v="0.97368421052631582"/>
    <n v="8892"/>
    <n v="2108.75"/>
    <n v="5700"/>
    <n v="16700.75"/>
    <n v="69.29771784232365"/>
  </r>
  <r>
    <d v="2026-07-25T00:00:00"/>
    <x v="4"/>
    <n v="7"/>
    <x v="3"/>
    <x v="2"/>
    <n v="227"/>
    <n v="227"/>
    <n v="0"/>
    <n v="11"/>
    <n v="0.79370629370629375"/>
    <n v="38"/>
    <n v="38"/>
    <n v="1"/>
    <n v="7524"/>
    <n v="1986.25"/>
    <n v="5700"/>
    <n v="15210.25"/>
    <n v="67.005506607929519"/>
  </r>
  <r>
    <d v="2022-08-06T00:00:00"/>
    <x v="0"/>
    <n v="8"/>
    <x v="4"/>
    <x v="2"/>
    <n v="276"/>
    <n v="276"/>
    <n v="0"/>
    <n v="14"/>
    <n v="0.75824175824175821"/>
    <n v="43"/>
    <n v="42"/>
    <n v="0.97674418604651159"/>
    <n v="17640"/>
    <n v="2553"/>
    <n v="7310"/>
    <n v="27503"/>
    <n v="99.648550724637687"/>
  </r>
  <r>
    <d v="2022-08-13T00:00:00"/>
    <x v="0"/>
    <n v="8"/>
    <x v="4"/>
    <x v="2"/>
    <n v="262"/>
    <n v="262"/>
    <n v="0"/>
    <n v="14"/>
    <n v="0.71978021978021978"/>
    <n v="43"/>
    <n v="43"/>
    <n v="1"/>
    <n v="17640"/>
    <n v="2423.5"/>
    <n v="7310"/>
    <n v="27373.5"/>
    <n v="104.4790076335878"/>
  </r>
  <r>
    <d v="2022-08-20T00:00:00"/>
    <x v="0"/>
    <n v="8"/>
    <x v="4"/>
    <x v="2"/>
    <n v="255"/>
    <n v="255"/>
    <n v="0"/>
    <n v="13"/>
    <n v="0.75443786982248517"/>
    <n v="43"/>
    <n v="40"/>
    <n v="0.93023255813953487"/>
    <n v="16380"/>
    <n v="2358.75"/>
    <n v="7310"/>
    <n v="26048.75"/>
    <n v="102.1519607843137"/>
  </r>
  <r>
    <d v="2022-08-27T00:00:00"/>
    <x v="0"/>
    <n v="8"/>
    <x v="4"/>
    <x v="2"/>
    <n v="249"/>
    <n v="249"/>
    <n v="0"/>
    <n v="12"/>
    <n v="0.79807692307692313"/>
    <n v="43"/>
    <n v="43"/>
    <n v="1"/>
    <n v="15120"/>
    <n v="2303.25"/>
    <n v="7310"/>
    <n v="24733.25"/>
    <n v="99.330321285140556"/>
  </r>
  <r>
    <d v="2022-09-03T00:00:00"/>
    <x v="0"/>
    <n v="9"/>
    <x v="4"/>
    <x v="2"/>
    <n v="239"/>
    <n v="239"/>
    <n v="0"/>
    <n v="12"/>
    <n v="0.76602564102564108"/>
    <n v="43"/>
    <n v="42"/>
    <n v="0.97674418604651159"/>
    <n v="15120"/>
    <n v="2210.75"/>
    <n v="7310"/>
    <n v="24640.75"/>
    <n v="103.0993723849372"/>
  </r>
  <r>
    <d v="2022-09-10T00:00:00"/>
    <x v="0"/>
    <n v="9"/>
    <x v="4"/>
    <x v="2"/>
    <n v="244"/>
    <n v="244"/>
    <n v="0"/>
    <n v="13"/>
    <n v="0.72189349112426038"/>
    <n v="43"/>
    <n v="43"/>
    <n v="1"/>
    <n v="16380"/>
    <n v="2257"/>
    <n v="7310"/>
    <n v="25947"/>
    <n v="106.3401639344262"/>
  </r>
  <r>
    <d v="2022-09-17T00:00:00"/>
    <x v="0"/>
    <n v="9"/>
    <x v="4"/>
    <x v="2"/>
    <n v="256"/>
    <n v="256"/>
    <n v="0"/>
    <n v="12"/>
    <n v="0.82051282051282048"/>
    <n v="43"/>
    <n v="41"/>
    <n v="0.95348837209302328"/>
    <n v="15120"/>
    <n v="2368"/>
    <n v="7310"/>
    <n v="24798"/>
    <n v="96.8671875"/>
  </r>
  <r>
    <d v="2022-09-24T00:00:00"/>
    <x v="0"/>
    <n v="9"/>
    <x v="4"/>
    <x v="2"/>
    <n v="241"/>
    <n v="241"/>
    <n v="0"/>
    <n v="13"/>
    <n v="0.71301775147928992"/>
    <n v="43"/>
    <n v="41"/>
    <n v="0.95348837209302328"/>
    <n v="16380"/>
    <n v="2229.25"/>
    <n v="7310"/>
    <n v="25919.25"/>
    <n v="107.548755186722"/>
  </r>
  <r>
    <d v="2022-10-01T00:00:00"/>
    <x v="0"/>
    <n v="10"/>
    <x v="4"/>
    <x v="2"/>
    <n v="250"/>
    <n v="250"/>
    <n v="0"/>
    <n v="13"/>
    <n v="0.73964497041420119"/>
    <n v="43"/>
    <n v="42"/>
    <n v="0.97674418604651159"/>
    <n v="16380"/>
    <n v="2312.5"/>
    <n v="7310"/>
    <n v="26002.5"/>
    <n v="104.01"/>
  </r>
  <r>
    <d v="2022-10-08T00:00:00"/>
    <x v="0"/>
    <n v="10"/>
    <x v="4"/>
    <x v="2"/>
    <n v="241"/>
    <n v="241"/>
    <n v="0"/>
    <n v="12"/>
    <n v="0.77243589743589747"/>
    <n v="43"/>
    <n v="39"/>
    <n v="0.90697674418604646"/>
    <n v="15120"/>
    <n v="2229.25"/>
    <n v="7310"/>
    <n v="24659.25"/>
    <n v="102.3205394190871"/>
  </r>
  <r>
    <d v="2022-10-15T00:00:00"/>
    <x v="0"/>
    <n v="10"/>
    <x v="4"/>
    <x v="2"/>
    <n v="269"/>
    <n v="269"/>
    <n v="0"/>
    <n v="14"/>
    <n v="0.73901098901098905"/>
    <n v="43"/>
    <n v="43"/>
    <n v="1"/>
    <n v="17640"/>
    <n v="2488.25"/>
    <n v="7310"/>
    <n v="27438.25"/>
    <n v="102.0009293680297"/>
  </r>
  <r>
    <d v="2022-10-22T00:00:00"/>
    <x v="0"/>
    <n v="10"/>
    <x v="4"/>
    <x v="2"/>
    <n v="274"/>
    <n v="274"/>
    <n v="0"/>
    <n v="14"/>
    <n v="0.75274725274725274"/>
    <n v="43"/>
    <n v="43"/>
    <n v="1"/>
    <n v="17640"/>
    <n v="2534.5"/>
    <n v="7310"/>
    <n v="27484.5"/>
    <n v="100.3083941605839"/>
  </r>
  <r>
    <d v="2022-10-29T00:00:00"/>
    <x v="0"/>
    <n v="10"/>
    <x v="4"/>
    <x v="2"/>
    <n v="286"/>
    <n v="286"/>
    <n v="0"/>
    <n v="15"/>
    <n v="0.73333333333333328"/>
    <n v="43"/>
    <n v="40"/>
    <n v="0.93023255813953487"/>
    <n v="18900"/>
    <n v="2645.5"/>
    <n v="7310"/>
    <n v="28855.5"/>
    <n v="100.8933566433566"/>
  </r>
  <r>
    <d v="2022-11-05T00:00:00"/>
    <x v="0"/>
    <n v="11"/>
    <x v="4"/>
    <x v="2"/>
    <n v="285"/>
    <n v="285"/>
    <n v="0"/>
    <n v="14"/>
    <n v="0.78296703296703296"/>
    <n v="43"/>
    <n v="42"/>
    <n v="0.97674418604651159"/>
    <n v="17640"/>
    <n v="2636.25"/>
    <n v="7310"/>
    <n v="27586.25"/>
    <n v="96.793859649122808"/>
  </r>
  <r>
    <d v="2022-11-12T00:00:00"/>
    <x v="0"/>
    <n v="11"/>
    <x v="4"/>
    <x v="2"/>
    <n v="304"/>
    <n v="304"/>
    <n v="0"/>
    <n v="14"/>
    <n v="0.8351648351648352"/>
    <n v="43"/>
    <n v="43"/>
    <n v="1"/>
    <n v="17640"/>
    <n v="2812"/>
    <n v="7310"/>
    <n v="27762"/>
    <n v="91.32236842105263"/>
  </r>
  <r>
    <d v="2022-11-19T00:00:00"/>
    <x v="0"/>
    <n v="11"/>
    <x v="4"/>
    <x v="2"/>
    <n v="337"/>
    <n v="337"/>
    <n v="0"/>
    <n v="15"/>
    <n v="0.86410256410256414"/>
    <n v="43"/>
    <n v="40"/>
    <n v="0.93023255813953487"/>
    <n v="18900"/>
    <n v="3117.25"/>
    <n v="7310"/>
    <n v="29327.25"/>
    <n v="87.024480712166167"/>
  </r>
  <r>
    <d v="2022-11-26T00:00:00"/>
    <x v="0"/>
    <n v="11"/>
    <x v="4"/>
    <x v="2"/>
    <n v="347"/>
    <n v="346"/>
    <n v="1"/>
    <n v="17"/>
    <n v="0.78280542986425339"/>
    <n v="43"/>
    <n v="43"/>
    <n v="1"/>
    <n v="21420"/>
    <n v="3200.5"/>
    <n v="7310"/>
    <n v="31930.5"/>
    <n v="92.284682080924853"/>
  </r>
  <r>
    <d v="2022-12-03T00:00:00"/>
    <x v="0"/>
    <n v="12"/>
    <x v="4"/>
    <x v="2"/>
    <n v="389"/>
    <n v="374"/>
    <n v="16"/>
    <n v="18"/>
    <n v="0.79914529914529919"/>
    <n v="43"/>
    <n v="40"/>
    <n v="0.93023255813953487"/>
    <n v="22680"/>
    <n v="3459.5"/>
    <n v="7310"/>
    <n v="33449.5"/>
    <n v="89.43716577540107"/>
  </r>
  <r>
    <d v="2022-12-10T00:00:00"/>
    <x v="0"/>
    <n v="12"/>
    <x v="4"/>
    <x v="2"/>
    <n v="404"/>
    <n v="380"/>
    <n v="40"/>
    <n v="18"/>
    <n v="0.81196581196581197"/>
    <n v="43"/>
    <n v="41"/>
    <n v="0.95348837209302328"/>
    <n v="22680"/>
    <n v="3515"/>
    <n v="7310"/>
    <n v="33505"/>
    <n v="88.171052631578945"/>
  </r>
  <r>
    <d v="2022-12-17T00:00:00"/>
    <x v="0"/>
    <n v="12"/>
    <x v="4"/>
    <x v="2"/>
    <n v="362"/>
    <n v="371"/>
    <n v="31"/>
    <n v="18"/>
    <n v="0.79273504273504269"/>
    <n v="43"/>
    <n v="42"/>
    <n v="0.97674418604651159"/>
    <n v="22680"/>
    <n v="3431.75"/>
    <n v="7310"/>
    <n v="33421.75"/>
    <n v="90.085579514824801"/>
  </r>
  <r>
    <d v="2022-12-24T00:00:00"/>
    <x v="0"/>
    <n v="12"/>
    <x v="4"/>
    <x v="2"/>
    <n v="338"/>
    <n v="352"/>
    <n v="17"/>
    <n v="16"/>
    <n v="0.84615384615384615"/>
    <n v="43"/>
    <n v="43"/>
    <n v="1"/>
    <n v="20160"/>
    <n v="3256"/>
    <n v="7310"/>
    <n v="30726"/>
    <n v="87.289772727272734"/>
  </r>
  <r>
    <d v="2022-12-31T00:00:00"/>
    <x v="0"/>
    <n v="12"/>
    <x v="4"/>
    <x v="2"/>
    <n v="283"/>
    <n v="299"/>
    <n v="1"/>
    <n v="15"/>
    <n v="0.76666666666666672"/>
    <n v="43"/>
    <n v="43"/>
    <n v="1"/>
    <n v="18900"/>
    <n v="2765.75"/>
    <n v="7310"/>
    <n v="28975.75"/>
    <n v="96.908862876254176"/>
  </r>
  <r>
    <d v="2023-01-07T00:00:00"/>
    <x v="1"/>
    <n v="1"/>
    <x v="4"/>
    <x v="2"/>
    <n v="233"/>
    <n v="234"/>
    <n v="0"/>
    <n v="11"/>
    <n v="0.81818181818181823"/>
    <n v="43"/>
    <n v="41"/>
    <n v="0.95348837209302328"/>
    <n v="13860"/>
    <n v="2164.5"/>
    <n v="7310"/>
    <n v="23334.5"/>
    <n v="99.720085470085465"/>
  </r>
  <r>
    <d v="2023-01-14T00:00:00"/>
    <x v="1"/>
    <n v="1"/>
    <x v="4"/>
    <x v="2"/>
    <n v="200"/>
    <n v="200"/>
    <n v="0"/>
    <n v="11"/>
    <n v="0.69930069930069927"/>
    <n v="43"/>
    <n v="40"/>
    <n v="0.93023255813953487"/>
    <n v="13860"/>
    <n v="1850"/>
    <n v="7310"/>
    <n v="23020"/>
    <n v="115.1"/>
  </r>
  <r>
    <d v="2023-01-21T00:00:00"/>
    <x v="1"/>
    <n v="1"/>
    <x v="4"/>
    <x v="2"/>
    <n v="206"/>
    <n v="206"/>
    <n v="0"/>
    <n v="11"/>
    <n v="0.72027972027972031"/>
    <n v="43"/>
    <n v="41"/>
    <n v="0.95348837209302328"/>
    <n v="13860"/>
    <n v="1905.5"/>
    <n v="7310"/>
    <n v="23075.5"/>
    <n v="112.0169902912621"/>
  </r>
  <r>
    <d v="2023-01-28T00:00:00"/>
    <x v="1"/>
    <n v="1"/>
    <x v="4"/>
    <x v="2"/>
    <n v="224"/>
    <n v="224"/>
    <n v="0"/>
    <n v="11"/>
    <n v="0.78321678321678323"/>
    <n v="43"/>
    <n v="40"/>
    <n v="0.93023255813953487"/>
    <n v="13860"/>
    <n v="2072"/>
    <n v="7310"/>
    <n v="23242"/>
    <n v="103.7589285714286"/>
  </r>
  <r>
    <d v="2023-02-04T00:00:00"/>
    <x v="1"/>
    <n v="2"/>
    <x v="4"/>
    <x v="2"/>
    <n v="226"/>
    <n v="226"/>
    <n v="0"/>
    <n v="11"/>
    <n v="0.79020979020979021"/>
    <n v="43"/>
    <n v="40"/>
    <n v="0.93023255813953487"/>
    <n v="13860"/>
    <n v="2090.5"/>
    <n v="7310"/>
    <n v="23260.5"/>
    <n v="102.9225663716814"/>
  </r>
  <r>
    <d v="2023-02-11T00:00:00"/>
    <x v="1"/>
    <n v="2"/>
    <x v="4"/>
    <x v="2"/>
    <n v="236"/>
    <n v="236"/>
    <n v="0"/>
    <n v="12"/>
    <n v="0.75641025641025639"/>
    <n v="43"/>
    <n v="40"/>
    <n v="0.93023255813953487"/>
    <n v="15120"/>
    <n v="2183"/>
    <n v="7310"/>
    <n v="24613"/>
    <n v="104.2923728813559"/>
  </r>
  <r>
    <d v="2023-02-18T00:00:00"/>
    <x v="1"/>
    <n v="2"/>
    <x v="4"/>
    <x v="2"/>
    <n v="240"/>
    <n v="240"/>
    <n v="0"/>
    <n v="14"/>
    <n v="0.65934065934065933"/>
    <n v="43"/>
    <n v="40"/>
    <n v="0.93023255813953487"/>
    <n v="17640"/>
    <n v="2220"/>
    <n v="7310"/>
    <n v="27170"/>
    <n v="113.2083333333333"/>
  </r>
  <r>
    <d v="2023-02-25T00:00:00"/>
    <x v="1"/>
    <n v="2"/>
    <x v="4"/>
    <x v="2"/>
    <n v="239"/>
    <n v="239"/>
    <n v="0"/>
    <n v="12"/>
    <n v="0.76602564102564108"/>
    <n v="43"/>
    <n v="40"/>
    <n v="0.93023255813953487"/>
    <n v="15120"/>
    <n v="2210.75"/>
    <n v="7310"/>
    <n v="24640.75"/>
    <n v="103.0993723849372"/>
  </r>
  <r>
    <d v="2023-03-04T00:00:00"/>
    <x v="1"/>
    <n v="3"/>
    <x v="4"/>
    <x v="2"/>
    <n v="246"/>
    <n v="246"/>
    <n v="0"/>
    <n v="14"/>
    <n v="0.67582417582417587"/>
    <n v="43"/>
    <n v="43"/>
    <n v="1"/>
    <n v="17640"/>
    <n v="2275.5"/>
    <n v="7310"/>
    <n v="27225.5"/>
    <n v="110.6727642276423"/>
  </r>
  <r>
    <d v="2023-03-11T00:00:00"/>
    <x v="1"/>
    <n v="3"/>
    <x v="4"/>
    <x v="2"/>
    <n v="240"/>
    <n v="240"/>
    <n v="0"/>
    <n v="12"/>
    <n v="0.76923076923076927"/>
    <n v="43"/>
    <n v="43"/>
    <n v="1"/>
    <n v="15120"/>
    <n v="2220"/>
    <n v="7310"/>
    <n v="24650"/>
    <n v="102.7083333333333"/>
  </r>
  <r>
    <d v="2023-03-18T00:00:00"/>
    <x v="1"/>
    <n v="3"/>
    <x v="4"/>
    <x v="2"/>
    <n v="246"/>
    <n v="246"/>
    <n v="0"/>
    <n v="14"/>
    <n v="0.67582417582417587"/>
    <n v="43"/>
    <n v="42"/>
    <n v="0.97674418604651159"/>
    <n v="17640"/>
    <n v="2275.5"/>
    <n v="7310"/>
    <n v="27225.5"/>
    <n v="110.6727642276423"/>
  </r>
  <r>
    <d v="2023-03-25T00:00:00"/>
    <x v="1"/>
    <n v="3"/>
    <x v="4"/>
    <x v="2"/>
    <n v="258"/>
    <n v="258"/>
    <n v="0"/>
    <n v="14"/>
    <n v="0.70879120879120883"/>
    <n v="43"/>
    <n v="42"/>
    <n v="0.97674418604651159"/>
    <n v="17640"/>
    <n v="2386.5"/>
    <n v="7310"/>
    <n v="27336.5"/>
    <n v="105.9554263565891"/>
  </r>
  <r>
    <d v="2023-04-01T00:00:00"/>
    <x v="1"/>
    <n v="4"/>
    <x v="4"/>
    <x v="2"/>
    <n v="263"/>
    <n v="263"/>
    <n v="0"/>
    <n v="14"/>
    <n v="0.72252747252747251"/>
    <n v="43"/>
    <n v="41"/>
    <n v="0.95348837209302328"/>
    <n v="17640"/>
    <n v="2432.75"/>
    <n v="7310"/>
    <n v="27382.75"/>
    <n v="104.1169201520913"/>
  </r>
  <r>
    <d v="2023-04-08T00:00:00"/>
    <x v="1"/>
    <n v="4"/>
    <x v="4"/>
    <x v="2"/>
    <n v="248"/>
    <n v="248"/>
    <n v="0"/>
    <n v="13"/>
    <n v="0.73372781065088755"/>
    <n v="43"/>
    <n v="40"/>
    <n v="0.93023255813953487"/>
    <n v="16380"/>
    <n v="2294"/>
    <n v="7310"/>
    <n v="25984"/>
    <n v="104.7741935483871"/>
  </r>
  <r>
    <d v="2023-04-15T00:00:00"/>
    <x v="1"/>
    <n v="4"/>
    <x v="4"/>
    <x v="2"/>
    <n v="252"/>
    <n v="252"/>
    <n v="0"/>
    <n v="12"/>
    <n v="0.80769230769230771"/>
    <n v="43"/>
    <n v="42"/>
    <n v="0.97674418604651159"/>
    <n v="15120"/>
    <n v="2331"/>
    <n v="7310"/>
    <n v="24761"/>
    <n v="98.257936507936506"/>
  </r>
  <r>
    <d v="2023-04-22T00:00:00"/>
    <x v="1"/>
    <n v="4"/>
    <x v="4"/>
    <x v="2"/>
    <n v="268"/>
    <n v="268"/>
    <n v="0"/>
    <n v="14"/>
    <n v="0.73626373626373631"/>
    <n v="43"/>
    <n v="43"/>
    <n v="1"/>
    <n v="17640"/>
    <n v="2479"/>
    <n v="7310"/>
    <n v="27429"/>
    <n v="102.3470149253731"/>
  </r>
  <r>
    <d v="2023-04-29T00:00:00"/>
    <x v="1"/>
    <n v="4"/>
    <x v="4"/>
    <x v="2"/>
    <n v="270"/>
    <n v="270"/>
    <n v="0"/>
    <n v="14"/>
    <n v="0.74175824175824179"/>
    <n v="43"/>
    <n v="42"/>
    <n v="0.97674418604651159"/>
    <n v="17640"/>
    <n v="2497.5"/>
    <n v="7310"/>
    <n v="27447.5"/>
    <n v="101.6574074074074"/>
  </r>
  <r>
    <d v="2023-05-06T00:00:00"/>
    <x v="1"/>
    <n v="5"/>
    <x v="4"/>
    <x v="2"/>
    <n v="261"/>
    <n v="261"/>
    <n v="0"/>
    <n v="13"/>
    <n v="0.77218934911242598"/>
    <n v="43"/>
    <n v="43"/>
    <n v="1"/>
    <n v="16380"/>
    <n v="2414.25"/>
    <n v="7310"/>
    <n v="26104.25"/>
    <n v="100.0162835249042"/>
  </r>
  <r>
    <d v="2023-05-13T00:00:00"/>
    <x v="1"/>
    <n v="5"/>
    <x v="4"/>
    <x v="2"/>
    <n v="274"/>
    <n v="274"/>
    <n v="0"/>
    <n v="14"/>
    <n v="0.75274725274725274"/>
    <n v="43"/>
    <n v="38"/>
    <n v="0.88372093023255816"/>
    <n v="17640"/>
    <n v="2534.5"/>
    <n v="7310"/>
    <n v="27484.5"/>
    <n v="100.3083941605839"/>
  </r>
  <r>
    <d v="2023-05-20T00:00:00"/>
    <x v="1"/>
    <n v="5"/>
    <x v="4"/>
    <x v="2"/>
    <n v="278"/>
    <n v="278"/>
    <n v="0"/>
    <n v="14"/>
    <n v="0.76373626373626369"/>
    <n v="43"/>
    <n v="43"/>
    <n v="1"/>
    <n v="17640"/>
    <n v="2571.5"/>
    <n v="7310"/>
    <n v="27521.5"/>
    <n v="98.998201438848923"/>
  </r>
  <r>
    <d v="2023-05-27T00:00:00"/>
    <x v="1"/>
    <n v="5"/>
    <x v="4"/>
    <x v="2"/>
    <n v="259"/>
    <n v="259"/>
    <n v="0"/>
    <n v="14"/>
    <n v="0.71153846153846156"/>
    <n v="43"/>
    <n v="41"/>
    <n v="0.95348837209302328"/>
    <n v="17640"/>
    <n v="2395.75"/>
    <n v="7310"/>
    <n v="27345.75"/>
    <n v="105.5820463320463"/>
  </r>
  <r>
    <d v="2023-06-03T00:00:00"/>
    <x v="1"/>
    <n v="6"/>
    <x v="4"/>
    <x v="2"/>
    <n v="280"/>
    <n v="280"/>
    <n v="0"/>
    <n v="14"/>
    <n v="0.76923076923076927"/>
    <n v="43"/>
    <n v="42"/>
    <n v="0.97674418604651159"/>
    <n v="17640"/>
    <n v="2590"/>
    <n v="7310"/>
    <n v="27540"/>
    <n v="98.357142857142861"/>
  </r>
  <r>
    <d v="2023-06-10T00:00:00"/>
    <x v="1"/>
    <n v="6"/>
    <x v="4"/>
    <x v="2"/>
    <n v="266"/>
    <n v="266"/>
    <n v="0"/>
    <n v="14"/>
    <n v="0.73076923076923073"/>
    <n v="43"/>
    <n v="42"/>
    <n v="0.97674418604651159"/>
    <n v="17640"/>
    <n v="2460.5"/>
    <n v="7310"/>
    <n v="27410.5"/>
    <n v="103.04699248120301"/>
  </r>
  <r>
    <d v="2023-06-17T00:00:00"/>
    <x v="1"/>
    <n v="6"/>
    <x v="4"/>
    <x v="2"/>
    <n v="257"/>
    <n v="257"/>
    <n v="0"/>
    <n v="12"/>
    <n v="0.82371794871794868"/>
    <n v="43"/>
    <n v="43"/>
    <n v="1"/>
    <n v="15120"/>
    <n v="2377.25"/>
    <n v="7310"/>
    <n v="24807.25"/>
    <n v="96.526264591439684"/>
  </r>
  <r>
    <d v="2023-06-24T00:00:00"/>
    <x v="1"/>
    <n v="6"/>
    <x v="4"/>
    <x v="2"/>
    <n v="251"/>
    <n v="251"/>
    <n v="0"/>
    <n v="13"/>
    <n v="0.74260355029585801"/>
    <n v="43"/>
    <n v="42"/>
    <n v="0.97674418604651159"/>
    <n v="16380"/>
    <n v="2321.75"/>
    <n v="7310"/>
    <n v="26011.75"/>
    <n v="103.6324701195219"/>
  </r>
  <r>
    <d v="2023-07-01T00:00:00"/>
    <x v="1"/>
    <n v="7"/>
    <x v="4"/>
    <x v="2"/>
    <n v="269"/>
    <n v="269"/>
    <n v="0"/>
    <n v="14"/>
    <n v="0.73901098901098905"/>
    <n v="43"/>
    <n v="42"/>
    <n v="0.97674418604651159"/>
    <n v="17640"/>
    <n v="2488.25"/>
    <n v="7310"/>
    <n v="27438.25"/>
    <n v="102.0009293680297"/>
  </r>
  <r>
    <d v="2023-07-08T00:00:00"/>
    <x v="1"/>
    <n v="7"/>
    <x v="4"/>
    <x v="2"/>
    <n v="253"/>
    <n v="253"/>
    <n v="0"/>
    <n v="14"/>
    <n v="0.69505494505494503"/>
    <n v="43"/>
    <n v="42"/>
    <n v="0.97674418604651159"/>
    <n v="17640"/>
    <n v="2340.25"/>
    <n v="7310"/>
    <n v="27290.25"/>
    <n v="107.8666007905138"/>
  </r>
  <r>
    <d v="2023-07-15T00:00:00"/>
    <x v="1"/>
    <n v="7"/>
    <x v="4"/>
    <x v="2"/>
    <n v="251"/>
    <n v="251"/>
    <n v="0"/>
    <n v="13"/>
    <n v="0.74260355029585801"/>
    <n v="43"/>
    <n v="42"/>
    <n v="0.97674418604651159"/>
    <n v="16380"/>
    <n v="2321.75"/>
    <n v="7310"/>
    <n v="26011.75"/>
    <n v="103.6324701195219"/>
  </r>
  <r>
    <d v="2023-07-22T00:00:00"/>
    <x v="1"/>
    <n v="7"/>
    <x v="4"/>
    <x v="2"/>
    <n v="271"/>
    <n v="271"/>
    <n v="0"/>
    <n v="14"/>
    <n v="0.74450549450549453"/>
    <n v="43"/>
    <n v="41"/>
    <n v="0.95348837209302328"/>
    <n v="17640"/>
    <n v="2506.75"/>
    <n v="7310"/>
    <n v="27456.75"/>
    <n v="101.3164206642066"/>
  </r>
  <r>
    <d v="2023-07-29T00:00:00"/>
    <x v="1"/>
    <n v="7"/>
    <x v="4"/>
    <x v="2"/>
    <n v="273"/>
    <n v="273"/>
    <n v="0"/>
    <n v="14"/>
    <n v="0.75"/>
    <n v="43"/>
    <n v="41"/>
    <n v="0.95348837209302328"/>
    <n v="17640"/>
    <n v="2525.25"/>
    <n v="7310"/>
    <n v="27475.25"/>
    <n v="100.6419413919414"/>
  </r>
  <r>
    <d v="2023-08-05T00:00:00"/>
    <x v="1"/>
    <n v="8"/>
    <x v="4"/>
    <x v="2"/>
    <n v="282"/>
    <n v="282"/>
    <n v="0"/>
    <n v="15"/>
    <n v="0.72307692307692306"/>
    <n v="43"/>
    <n v="39"/>
    <n v="0.90697674418604646"/>
    <n v="18900"/>
    <n v="2608.5"/>
    <n v="7310"/>
    <n v="28818.5"/>
    <n v="102.1932624113475"/>
  </r>
  <r>
    <d v="2023-08-12T00:00:00"/>
    <x v="1"/>
    <n v="8"/>
    <x v="4"/>
    <x v="2"/>
    <n v="270"/>
    <n v="270"/>
    <n v="0"/>
    <n v="14"/>
    <n v="0.74175824175824179"/>
    <n v="43"/>
    <n v="43"/>
    <n v="1"/>
    <n v="17640"/>
    <n v="2497.5"/>
    <n v="7310"/>
    <n v="27447.5"/>
    <n v="101.6574074074074"/>
  </r>
  <r>
    <d v="2023-08-19T00:00:00"/>
    <x v="1"/>
    <n v="8"/>
    <x v="4"/>
    <x v="2"/>
    <n v="271"/>
    <n v="271"/>
    <n v="0"/>
    <n v="14"/>
    <n v="0.74450549450549453"/>
    <n v="43"/>
    <n v="43"/>
    <n v="1"/>
    <n v="17640"/>
    <n v="2506.75"/>
    <n v="7310"/>
    <n v="27456.75"/>
    <n v="101.3164206642066"/>
  </r>
  <r>
    <d v="2023-08-26T00:00:00"/>
    <x v="1"/>
    <n v="8"/>
    <x v="4"/>
    <x v="2"/>
    <n v="255"/>
    <n v="255"/>
    <n v="0"/>
    <n v="14"/>
    <n v="0.7005494505494505"/>
    <n v="43"/>
    <n v="42"/>
    <n v="0.97674418604651159"/>
    <n v="17640"/>
    <n v="2358.75"/>
    <n v="7310"/>
    <n v="27308.75"/>
    <n v="107.093137254902"/>
  </r>
  <r>
    <d v="2023-09-02T00:00:00"/>
    <x v="1"/>
    <n v="9"/>
    <x v="4"/>
    <x v="2"/>
    <n v="248"/>
    <n v="248"/>
    <n v="0"/>
    <n v="12"/>
    <n v="0.79487179487179482"/>
    <n v="43"/>
    <n v="41"/>
    <n v="0.95348837209302328"/>
    <n v="15120"/>
    <n v="2294"/>
    <n v="7310"/>
    <n v="24724"/>
    <n v="99.693548387096769"/>
  </r>
  <r>
    <d v="2023-09-09T00:00:00"/>
    <x v="1"/>
    <n v="9"/>
    <x v="4"/>
    <x v="2"/>
    <n v="242"/>
    <n v="242"/>
    <n v="0"/>
    <n v="11"/>
    <n v="0.84615384615384615"/>
    <n v="43"/>
    <n v="42"/>
    <n v="0.97674418604651159"/>
    <n v="13860"/>
    <n v="2238.5"/>
    <n v="7310"/>
    <n v="23408.5"/>
    <n v="96.72933884297521"/>
  </r>
  <r>
    <d v="2023-09-16T00:00:00"/>
    <x v="1"/>
    <n v="9"/>
    <x v="4"/>
    <x v="2"/>
    <n v="251"/>
    <n v="251"/>
    <n v="0"/>
    <n v="13"/>
    <n v="0.74260355029585801"/>
    <n v="43"/>
    <n v="43"/>
    <n v="1"/>
    <n v="16380"/>
    <n v="2321.75"/>
    <n v="7310"/>
    <n v="26011.75"/>
    <n v="103.6324701195219"/>
  </r>
  <r>
    <d v="2023-09-23T00:00:00"/>
    <x v="1"/>
    <n v="9"/>
    <x v="4"/>
    <x v="2"/>
    <n v="253"/>
    <n v="253"/>
    <n v="0"/>
    <n v="12"/>
    <n v="0.8108974358974359"/>
    <n v="43"/>
    <n v="42"/>
    <n v="0.97674418604651159"/>
    <n v="15120"/>
    <n v="2340.25"/>
    <n v="7310"/>
    <n v="24770.25"/>
    <n v="97.906126482213438"/>
  </r>
  <r>
    <d v="2023-09-30T00:00:00"/>
    <x v="1"/>
    <n v="9"/>
    <x v="4"/>
    <x v="2"/>
    <n v="249"/>
    <n v="249"/>
    <n v="0"/>
    <n v="13"/>
    <n v="0.73668639053254437"/>
    <n v="43"/>
    <n v="43"/>
    <n v="1"/>
    <n v="16380"/>
    <n v="2303.25"/>
    <n v="7310"/>
    <n v="25993.25"/>
    <n v="104.39056224899601"/>
  </r>
  <r>
    <d v="2023-10-07T00:00:00"/>
    <x v="1"/>
    <n v="10"/>
    <x v="4"/>
    <x v="2"/>
    <n v="251"/>
    <n v="251"/>
    <n v="0"/>
    <n v="14"/>
    <n v="0.68956043956043955"/>
    <n v="43"/>
    <n v="42"/>
    <n v="0.97674418604651159"/>
    <n v="17640"/>
    <n v="2321.75"/>
    <n v="7310"/>
    <n v="27271.75"/>
    <n v="108.652390438247"/>
  </r>
  <r>
    <d v="2023-10-14T00:00:00"/>
    <x v="1"/>
    <n v="10"/>
    <x v="4"/>
    <x v="2"/>
    <n v="246"/>
    <n v="246"/>
    <n v="0"/>
    <n v="13"/>
    <n v="0.72781065088757402"/>
    <n v="43"/>
    <n v="43"/>
    <n v="1"/>
    <n v="16380"/>
    <n v="2275.5"/>
    <n v="7310"/>
    <n v="25965.5"/>
    <n v="105.55081300813011"/>
  </r>
  <r>
    <d v="2023-10-21T00:00:00"/>
    <x v="1"/>
    <n v="10"/>
    <x v="4"/>
    <x v="2"/>
    <n v="270"/>
    <n v="270"/>
    <n v="0"/>
    <n v="14"/>
    <n v="0.74175824175824179"/>
    <n v="43"/>
    <n v="43"/>
    <n v="1"/>
    <n v="17640"/>
    <n v="2497.5"/>
    <n v="7310"/>
    <n v="27447.5"/>
    <n v="101.6574074074074"/>
  </r>
  <r>
    <d v="2023-10-28T00:00:00"/>
    <x v="1"/>
    <n v="10"/>
    <x v="4"/>
    <x v="2"/>
    <n v="302"/>
    <n v="302"/>
    <n v="0"/>
    <n v="15"/>
    <n v="0.77435897435897438"/>
    <n v="43"/>
    <n v="43"/>
    <n v="1"/>
    <n v="18900"/>
    <n v="2793.5"/>
    <n v="7310"/>
    <n v="29003.5"/>
    <n v="96.038079470198682"/>
  </r>
  <r>
    <d v="2023-11-04T00:00:00"/>
    <x v="1"/>
    <n v="11"/>
    <x v="4"/>
    <x v="2"/>
    <n v="287"/>
    <n v="287"/>
    <n v="0"/>
    <n v="14"/>
    <n v="0.78846153846153844"/>
    <n v="43"/>
    <n v="42"/>
    <n v="0.97674418604651159"/>
    <n v="17640"/>
    <n v="2654.75"/>
    <n v="7310"/>
    <n v="27604.75"/>
    <n v="96.183797909407659"/>
  </r>
  <r>
    <d v="2023-11-11T00:00:00"/>
    <x v="1"/>
    <n v="11"/>
    <x v="4"/>
    <x v="2"/>
    <n v="308"/>
    <n v="308"/>
    <n v="0"/>
    <n v="14"/>
    <n v="0.84615384615384615"/>
    <n v="43"/>
    <n v="40"/>
    <n v="0.93023255813953487"/>
    <n v="17640"/>
    <n v="2849"/>
    <n v="7310"/>
    <n v="27799"/>
    <n v="90.256493506493513"/>
  </r>
  <r>
    <d v="2023-11-18T00:00:00"/>
    <x v="1"/>
    <n v="11"/>
    <x v="4"/>
    <x v="2"/>
    <n v="325"/>
    <n v="324"/>
    <n v="1"/>
    <n v="16"/>
    <n v="0.77884615384615385"/>
    <n v="43"/>
    <n v="42"/>
    <n v="0.97674418604651159"/>
    <n v="20160"/>
    <n v="2997"/>
    <n v="7310"/>
    <n v="30467"/>
    <n v="94.033950617283949"/>
  </r>
  <r>
    <d v="2023-11-25T00:00:00"/>
    <x v="1"/>
    <n v="11"/>
    <x v="4"/>
    <x v="2"/>
    <n v="359"/>
    <n v="359"/>
    <n v="1"/>
    <n v="17"/>
    <n v="0.81221719457013575"/>
    <n v="43"/>
    <n v="37"/>
    <n v="0.86046511627906974"/>
    <n v="21420"/>
    <n v="3320.75"/>
    <n v="7310"/>
    <n v="32050.75"/>
    <n v="89.277855153203348"/>
  </r>
  <r>
    <d v="2023-12-02T00:00:00"/>
    <x v="1"/>
    <n v="12"/>
    <x v="4"/>
    <x v="2"/>
    <n v="375"/>
    <n v="361"/>
    <n v="15"/>
    <n v="18"/>
    <n v="0.7713675213675214"/>
    <n v="43"/>
    <n v="43"/>
    <n v="1"/>
    <n v="22680"/>
    <n v="3339.25"/>
    <n v="7310"/>
    <n v="33329.25"/>
    <n v="92.32479224376732"/>
  </r>
  <r>
    <d v="2023-12-09T00:00:00"/>
    <x v="1"/>
    <n v="12"/>
    <x v="4"/>
    <x v="2"/>
    <n v="399"/>
    <n v="377"/>
    <n v="37"/>
    <n v="18"/>
    <n v="0.80555555555555558"/>
    <n v="43"/>
    <n v="40"/>
    <n v="0.93023255813953487"/>
    <n v="22680"/>
    <n v="3487.25"/>
    <n v="7310"/>
    <n v="33477.25"/>
    <n v="88.799071618037132"/>
  </r>
  <r>
    <d v="2023-12-16T00:00:00"/>
    <x v="1"/>
    <n v="12"/>
    <x v="4"/>
    <x v="2"/>
    <n v="393"/>
    <n v="377"/>
    <n v="53"/>
    <n v="19"/>
    <n v="0.76315789473684215"/>
    <n v="43"/>
    <n v="42"/>
    <n v="0.97674418604651159"/>
    <n v="23940"/>
    <n v="3487.25"/>
    <n v="7310"/>
    <n v="34737.25"/>
    <n v="92.141246684350136"/>
  </r>
  <r>
    <d v="2023-12-23T00:00:00"/>
    <x v="1"/>
    <n v="12"/>
    <x v="4"/>
    <x v="2"/>
    <n v="336"/>
    <n v="361"/>
    <n v="28"/>
    <n v="19"/>
    <n v="0.73076923076923073"/>
    <n v="43"/>
    <n v="43"/>
    <n v="1"/>
    <n v="23940"/>
    <n v="3339.25"/>
    <n v="7310"/>
    <n v="34589.25"/>
    <n v="95.81509695290859"/>
  </r>
  <r>
    <d v="2023-12-30T00:00:00"/>
    <x v="1"/>
    <n v="12"/>
    <x v="4"/>
    <x v="2"/>
    <n v="286"/>
    <n v="306"/>
    <n v="8"/>
    <n v="15"/>
    <n v="0.7846153846153846"/>
    <n v="43"/>
    <n v="42"/>
    <n v="0.97674418604651159"/>
    <n v="18900"/>
    <n v="2830.5"/>
    <n v="7310"/>
    <n v="29040.5"/>
    <n v="94.903594771241828"/>
  </r>
  <r>
    <d v="2024-01-06T00:00:00"/>
    <x v="2"/>
    <n v="1"/>
    <x v="4"/>
    <x v="2"/>
    <n v="238"/>
    <n v="246"/>
    <n v="0"/>
    <n v="13"/>
    <n v="0.72781065088757402"/>
    <n v="43"/>
    <n v="40"/>
    <n v="0.93023255813953487"/>
    <n v="16380"/>
    <n v="2275.5"/>
    <n v="7310"/>
    <n v="25965.5"/>
    <n v="105.55081300813011"/>
  </r>
  <r>
    <d v="2024-01-13T00:00:00"/>
    <x v="2"/>
    <n v="1"/>
    <x v="4"/>
    <x v="2"/>
    <n v="200"/>
    <n v="200"/>
    <n v="0"/>
    <n v="11"/>
    <n v="0.69930069930069927"/>
    <n v="43"/>
    <n v="41"/>
    <n v="0.95348837209302328"/>
    <n v="13860"/>
    <n v="1850"/>
    <n v="7310"/>
    <n v="23020"/>
    <n v="115.1"/>
  </r>
  <r>
    <d v="2024-01-20T00:00:00"/>
    <x v="2"/>
    <n v="1"/>
    <x v="4"/>
    <x v="2"/>
    <n v="216"/>
    <n v="216"/>
    <n v="0"/>
    <n v="11"/>
    <n v="0.75524475524475521"/>
    <n v="43"/>
    <n v="40"/>
    <n v="0.93023255813953487"/>
    <n v="13860"/>
    <n v="1998"/>
    <n v="7310"/>
    <n v="23168"/>
    <n v="107.2592592592593"/>
  </r>
  <r>
    <d v="2024-01-27T00:00:00"/>
    <x v="2"/>
    <n v="1"/>
    <x v="4"/>
    <x v="2"/>
    <n v="221"/>
    <n v="221"/>
    <n v="0"/>
    <n v="11"/>
    <n v="0.77272727272727271"/>
    <n v="43"/>
    <n v="43"/>
    <n v="1"/>
    <n v="13860"/>
    <n v="2044.25"/>
    <n v="7310"/>
    <n v="23214.25"/>
    <n v="105.0418552036199"/>
  </r>
  <r>
    <d v="2024-02-03T00:00:00"/>
    <x v="2"/>
    <n v="2"/>
    <x v="4"/>
    <x v="2"/>
    <n v="227"/>
    <n v="227"/>
    <n v="0"/>
    <n v="11"/>
    <n v="0.79370629370629375"/>
    <n v="43"/>
    <n v="42"/>
    <n v="0.97674418604651159"/>
    <n v="13860"/>
    <n v="2099.75"/>
    <n v="7310"/>
    <n v="23269.75"/>
    <n v="102.5099118942731"/>
  </r>
  <r>
    <d v="2024-02-10T00:00:00"/>
    <x v="2"/>
    <n v="2"/>
    <x v="4"/>
    <x v="2"/>
    <n v="232"/>
    <n v="232"/>
    <n v="0"/>
    <n v="11"/>
    <n v="0.81118881118881114"/>
    <n v="43"/>
    <n v="38"/>
    <n v="0.88372093023255816"/>
    <n v="13860"/>
    <n v="2146"/>
    <n v="7310"/>
    <n v="23316"/>
    <n v="100.5"/>
  </r>
  <r>
    <d v="2024-02-17T00:00:00"/>
    <x v="2"/>
    <n v="2"/>
    <x v="4"/>
    <x v="2"/>
    <n v="238"/>
    <n v="238"/>
    <n v="0"/>
    <n v="12"/>
    <n v="0.76282051282051277"/>
    <n v="43"/>
    <n v="39"/>
    <n v="0.90697674418604646"/>
    <n v="15120"/>
    <n v="2201.5"/>
    <n v="7310"/>
    <n v="24631.5"/>
    <n v="103.49369747899161"/>
  </r>
  <r>
    <d v="2024-02-24T00:00:00"/>
    <x v="2"/>
    <n v="2"/>
    <x v="4"/>
    <x v="2"/>
    <n v="260"/>
    <n v="260"/>
    <n v="0"/>
    <n v="13"/>
    <n v="0.76923076923076927"/>
    <n v="43"/>
    <n v="39"/>
    <n v="0.90697674418604646"/>
    <n v="16380"/>
    <n v="2405"/>
    <n v="7310"/>
    <n v="26095"/>
    <n v="100.3653846153846"/>
  </r>
  <r>
    <d v="2024-03-02T00:00:00"/>
    <x v="2"/>
    <n v="3"/>
    <x v="4"/>
    <x v="2"/>
    <n v="261"/>
    <n v="261"/>
    <n v="0"/>
    <n v="13"/>
    <n v="0.77218934911242598"/>
    <n v="43"/>
    <n v="43"/>
    <n v="1"/>
    <n v="16380"/>
    <n v="2414.25"/>
    <n v="7310"/>
    <n v="26104.25"/>
    <n v="100.0162835249042"/>
  </r>
  <r>
    <d v="2024-03-09T00:00:00"/>
    <x v="2"/>
    <n v="3"/>
    <x v="4"/>
    <x v="2"/>
    <n v="272"/>
    <n v="272"/>
    <n v="0"/>
    <n v="14"/>
    <n v="0.74725274725274726"/>
    <n v="43"/>
    <n v="42"/>
    <n v="0.97674418604651159"/>
    <n v="17640"/>
    <n v="2516"/>
    <n v="7310"/>
    <n v="27466"/>
    <n v="100.97794117647059"/>
  </r>
  <r>
    <d v="2024-03-16T00:00:00"/>
    <x v="2"/>
    <n v="3"/>
    <x v="4"/>
    <x v="2"/>
    <n v="260"/>
    <n v="260"/>
    <n v="0"/>
    <n v="14"/>
    <n v="0.7142857142857143"/>
    <n v="43"/>
    <n v="39"/>
    <n v="0.90697674418604646"/>
    <n v="17640"/>
    <n v="2405"/>
    <n v="7310"/>
    <n v="27355"/>
    <n v="105.2115384615385"/>
  </r>
  <r>
    <d v="2024-03-23T00:00:00"/>
    <x v="2"/>
    <n v="3"/>
    <x v="4"/>
    <x v="2"/>
    <n v="257"/>
    <n v="257"/>
    <n v="0"/>
    <n v="14"/>
    <n v="0.70604395604395609"/>
    <n v="43"/>
    <n v="43"/>
    <n v="1"/>
    <n v="17640"/>
    <n v="2377.25"/>
    <n v="7310"/>
    <n v="27327.25"/>
    <n v="106.3317120622568"/>
  </r>
  <r>
    <d v="2024-03-30T00:00:00"/>
    <x v="2"/>
    <n v="3"/>
    <x v="4"/>
    <x v="2"/>
    <n v="251"/>
    <n v="251"/>
    <n v="0"/>
    <n v="13"/>
    <n v="0.74260355029585801"/>
    <n v="43"/>
    <n v="42"/>
    <n v="0.97674418604651159"/>
    <n v="16380"/>
    <n v="2321.75"/>
    <n v="7310"/>
    <n v="26011.75"/>
    <n v="103.6324701195219"/>
  </r>
  <r>
    <d v="2024-04-06T00:00:00"/>
    <x v="2"/>
    <n v="4"/>
    <x v="4"/>
    <x v="2"/>
    <n v="256"/>
    <n v="256"/>
    <n v="0"/>
    <n v="14"/>
    <n v="0.70329670329670335"/>
    <n v="43"/>
    <n v="42"/>
    <n v="0.97674418604651159"/>
    <n v="17640"/>
    <n v="2368"/>
    <n v="7310"/>
    <n v="27318"/>
    <n v="106.7109375"/>
  </r>
  <r>
    <d v="2024-04-13T00:00:00"/>
    <x v="2"/>
    <n v="4"/>
    <x v="4"/>
    <x v="2"/>
    <n v="250"/>
    <n v="250"/>
    <n v="0"/>
    <n v="14"/>
    <n v="0.68681318681318682"/>
    <n v="43"/>
    <n v="41"/>
    <n v="0.95348837209302328"/>
    <n v="17640"/>
    <n v="2312.5"/>
    <n v="7310"/>
    <n v="27262.5"/>
    <n v="109.05"/>
  </r>
  <r>
    <d v="2024-04-20T00:00:00"/>
    <x v="2"/>
    <n v="4"/>
    <x v="4"/>
    <x v="2"/>
    <n v="275"/>
    <n v="275"/>
    <n v="0"/>
    <n v="14"/>
    <n v="0.75549450549450547"/>
    <n v="43"/>
    <n v="42"/>
    <n v="0.97674418604651159"/>
    <n v="17640"/>
    <n v="2543.75"/>
    <n v="7310"/>
    <n v="27493.75"/>
    <n v="99.977272727272734"/>
  </r>
  <r>
    <d v="2024-04-27T00:00:00"/>
    <x v="2"/>
    <n v="4"/>
    <x v="4"/>
    <x v="2"/>
    <n v="266"/>
    <n v="266"/>
    <n v="0"/>
    <n v="14"/>
    <n v="0.73076923076923073"/>
    <n v="43"/>
    <n v="42"/>
    <n v="0.97674418604651159"/>
    <n v="17640"/>
    <n v="2460.5"/>
    <n v="7310"/>
    <n v="27410.5"/>
    <n v="103.04699248120301"/>
  </r>
  <r>
    <d v="2024-05-04T00:00:00"/>
    <x v="2"/>
    <n v="5"/>
    <x v="4"/>
    <x v="2"/>
    <n v="273"/>
    <n v="273"/>
    <n v="0"/>
    <n v="14"/>
    <n v="0.75"/>
    <n v="43"/>
    <n v="43"/>
    <n v="1"/>
    <n v="17640"/>
    <n v="2525.25"/>
    <n v="7310"/>
    <n v="27475.25"/>
    <n v="100.6419413919414"/>
  </r>
  <r>
    <d v="2024-05-11T00:00:00"/>
    <x v="2"/>
    <n v="5"/>
    <x v="4"/>
    <x v="2"/>
    <n v="277"/>
    <n v="277"/>
    <n v="0"/>
    <n v="14"/>
    <n v="0.76098901098901095"/>
    <n v="43"/>
    <n v="43"/>
    <n v="1"/>
    <n v="17640"/>
    <n v="2562.25"/>
    <n v="7310"/>
    <n v="27512.25"/>
    <n v="99.322202166064983"/>
  </r>
  <r>
    <d v="2024-05-18T00:00:00"/>
    <x v="2"/>
    <n v="5"/>
    <x v="4"/>
    <x v="2"/>
    <n v="284"/>
    <n v="284"/>
    <n v="0"/>
    <n v="14"/>
    <n v="0.78021978021978022"/>
    <n v="43"/>
    <n v="41"/>
    <n v="0.95348837209302328"/>
    <n v="17640"/>
    <n v="2627"/>
    <n v="7310"/>
    <n v="27577"/>
    <n v="97.102112676056336"/>
  </r>
  <r>
    <d v="2024-05-25T00:00:00"/>
    <x v="2"/>
    <n v="5"/>
    <x v="4"/>
    <x v="2"/>
    <n v="271"/>
    <n v="271"/>
    <n v="0"/>
    <n v="13"/>
    <n v="0.80177514792899407"/>
    <n v="43"/>
    <n v="43"/>
    <n v="1"/>
    <n v="16380"/>
    <n v="2506.75"/>
    <n v="7310"/>
    <n v="26196.75"/>
    <n v="96.666974169741692"/>
  </r>
  <r>
    <d v="2024-06-01T00:00:00"/>
    <x v="2"/>
    <n v="6"/>
    <x v="4"/>
    <x v="2"/>
    <n v="282"/>
    <n v="282"/>
    <n v="0"/>
    <n v="14"/>
    <n v="0.77472527472527475"/>
    <n v="43"/>
    <n v="43"/>
    <n v="1"/>
    <n v="17640"/>
    <n v="2608.5"/>
    <n v="7310"/>
    <n v="27558.5"/>
    <n v="97.725177304964532"/>
  </r>
  <r>
    <d v="2024-06-08T00:00:00"/>
    <x v="2"/>
    <n v="6"/>
    <x v="4"/>
    <x v="2"/>
    <n v="285"/>
    <n v="285"/>
    <n v="0"/>
    <n v="14"/>
    <n v="0.78296703296703296"/>
    <n v="43"/>
    <n v="40"/>
    <n v="0.93023255813953487"/>
    <n v="17640"/>
    <n v="2636.25"/>
    <n v="7310"/>
    <n v="27586.25"/>
    <n v="96.793859649122808"/>
  </r>
  <r>
    <d v="2024-06-15T00:00:00"/>
    <x v="2"/>
    <n v="6"/>
    <x v="4"/>
    <x v="2"/>
    <n v="266"/>
    <n v="266"/>
    <n v="0"/>
    <n v="13"/>
    <n v="0.78698224852071008"/>
    <n v="43"/>
    <n v="42"/>
    <n v="0.97674418604651159"/>
    <n v="16380"/>
    <n v="2460.5"/>
    <n v="7310"/>
    <n v="26150.5"/>
    <n v="98.310150375939855"/>
  </r>
  <r>
    <d v="2024-06-22T00:00:00"/>
    <x v="2"/>
    <n v="6"/>
    <x v="4"/>
    <x v="2"/>
    <n v="263"/>
    <n v="263"/>
    <n v="0"/>
    <n v="14"/>
    <n v="0.72252747252747251"/>
    <n v="43"/>
    <n v="43"/>
    <n v="1"/>
    <n v="17640"/>
    <n v="2432.75"/>
    <n v="7310"/>
    <n v="27382.75"/>
    <n v="104.1169201520913"/>
  </r>
  <r>
    <d v="2024-06-29T00:00:00"/>
    <x v="2"/>
    <n v="6"/>
    <x v="4"/>
    <x v="2"/>
    <n v="268"/>
    <n v="268"/>
    <n v="0"/>
    <n v="14"/>
    <n v="0.73626373626373631"/>
    <n v="43"/>
    <n v="41"/>
    <n v="0.95348837209302328"/>
    <n v="17640"/>
    <n v="2479"/>
    <n v="7310"/>
    <n v="27429"/>
    <n v="102.3470149253731"/>
  </r>
  <r>
    <d v="2024-07-06T00:00:00"/>
    <x v="2"/>
    <n v="7"/>
    <x v="4"/>
    <x v="2"/>
    <n v="260"/>
    <n v="260"/>
    <n v="0"/>
    <n v="14"/>
    <n v="0.7142857142857143"/>
    <n v="43"/>
    <n v="40"/>
    <n v="0.93023255813953487"/>
    <n v="17640"/>
    <n v="2405"/>
    <n v="7310"/>
    <n v="27355"/>
    <n v="105.2115384615385"/>
  </r>
  <r>
    <d v="2024-07-13T00:00:00"/>
    <x v="2"/>
    <n v="7"/>
    <x v="4"/>
    <x v="2"/>
    <n v="267"/>
    <n v="267"/>
    <n v="0"/>
    <n v="13"/>
    <n v="0.7899408284023669"/>
    <n v="43"/>
    <n v="43"/>
    <n v="1"/>
    <n v="16380"/>
    <n v="2469.75"/>
    <n v="7310"/>
    <n v="26159.75"/>
    <n v="97.976591760299627"/>
  </r>
  <r>
    <d v="2024-07-20T00:00:00"/>
    <x v="2"/>
    <n v="7"/>
    <x v="4"/>
    <x v="2"/>
    <n v="276"/>
    <n v="276"/>
    <n v="0"/>
    <n v="14"/>
    <n v="0.75824175824175821"/>
    <n v="43"/>
    <n v="43"/>
    <n v="1"/>
    <n v="17640"/>
    <n v="2553"/>
    <n v="7310"/>
    <n v="27503"/>
    <n v="99.648550724637687"/>
  </r>
  <r>
    <d v="2024-07-27T00:00:00"/>
    <x v="2"/>
    <n v="7"/>
    <x v="4"/>
    <x v="2"/>
    <n v="273"/>
    <n v="273"/>
    <n v="0"/>
    <n v="14"/>
    <n v="0.75"/>
    <n v="43"/>
    <n v="41"/>
    <n v="0.95348837209302328"/>
    <n v="17640"/>
    <n v="2525.25"/>
    <n v="7310"/>
    <n v="27475.25"/>
    <n v="100.6419413919414"/>
  </r>
  <r>
    <d v="2024-08-03T00:00:00"/>
    <x v="2"/>
    <n v="8"/>
    <x v="4"/>
    <x v="2"/>
    <n v="280"/>
    <n v="280"/>
    <n v="0"/>
    <n v="14"/>
    <n v="0.76923076923076927"/>
    <n v="43"/>
    <n v="43"/>
    <n v="1"/>
    <n v="17640"/>
    <n v="2590"/>
    <n v="7310"/>
    <n v="27540"/>
    <n v="98.357142857142861"/>
  </r>
  <r>
    <d v="2024-08-10T00:00:00"/>
    <x v="2"/>
    <n v="8"/>
    <x v="4"/>
    <x v="2"/>
    <n v="274"/>
    <n v="274"/>
    <n v="0"/>
    <n v="14"/>
    <n v="0.75274725274725274"/>
    <n v="43"/>
    <n v="41"/>
    <n v="0.95348837209302328"/>
    <n v="17640"/>
    <n v="2534.5"/>
    <n v="7310"/>
    <n v="27484.5"/>
    <n v="100.3083941605839"/>
  </r>
  <r>
    <d v="2024-08-17T00:00:00"/>
    <x v="2"/>
    <n v="8"/>
    <x v="4"/>
    <x v="2"/>
    <n v="274"/>
    <n v="274"/>
    <n v="0"/>
    <n v="14"/>
    <n v="0.75274725274725274"/>
    <n v="43"/>
    <n v="41"/>
    <n v="0.95348837209302328"/>
    <n v="17640"/>
    <n v="2534.5"/>
    <n v="7310"/>
    <n v="27484.5"/>
    <n v="100.3083941605839"/>
  </r>
  <r>
    <d v="2024-08-24T00:00:00"/>
    <x v="2"/>
    <n v="8"/>
    <x v="4"/>
    <x v="2"/>
    <n v="279"/>
    <n v="279"/>
    <n v="0"/>
    <n v="14"/>
    <n v="0.76648351648351654"/>
    <n v="43"/>
    <n v="38"/>
    <n v="0.88372093023255816"/>
    <n v="17640"/>
    <n v="2580.75"/>
    <n v="7310"/>
    <n v="27530.75"/>
    <n v="98.676523297491045"/>
  </r>
  <r>
    <d v="2024-08-31T00:00:00"/>
    <x v="2"/>
    <n v="8"/>
    <x v="4"/>
    <x v="2"/>
    <n v="254"/>
    <n v="254"/>
    <n v="0"/>
    <n v="12"/>
    <n v="0.8141025641025641"/>
    <n v="43"/>
    <n v="42"/>
    <n v="0.97674418604651159"/>
    <n v="15120"/>
    <n v="2349.5"/>
    <n v="7310"/>
    <n v="24779.5"/>
    <n v="97.55708661417323"/>
  </r>
  <r>
    <d v="2024-09-07T00:00:00"/>
    <x v="2"/>
    <n v="9"/>
    <x v="4"/>
    <x v="2"/>
    <n v="254"/>
    <n v="254"/>
    <n v="0"/>
    <n v="13"/>
    <n v="0.75147928994082835"/>
    <n v="43"/>
    <n v="43"/>
    <n v="1"/>
    <n v="16380"/>
    <n v="2349.5"/>
    <n v="7310"/>
    <n v="26039.5"/>
    <n v="102.5177165354331"/>
  </r>
  <r>
    <d v="2024-09-14T00:00:00"/>
    <x v="2"/>
    <n v="9"/>
    <x v="4"/>
    <x v="2"/>
    <n v="238"/>
    <n v="238"/>
    <n v="0"/>
    <n v="11"/>
    <n v="0.83216783216783219"/>
    <n v="43"/>
    <n v="42"/>
    <n v="0.97674418604651159"/>
    <n v="13860"/>
    <n v="2201.5"/>
    <n v="7310"/>
    <n v="23371.5"/>
    <n v="98.199579831932766"/>
  </r>
  <r>
    <d v="2024-09-21T00:00:00"/>
    <x v="2"/>
    <n v="9"/>
    <x v="4"/>
    <x v="2"/>
    <n v="248"/>
    <n v="248"/>
    <n v="0"/>
    <n v="13"/>
    <n v="0.73372781065088755"/>
    <n v="43"/>
    <n v="43"/>
    <n v="1"/>
    <n v="16380"/>
    <n v="2294"/>
    <n v="7310"/>
    <n v="25984"/>
    <n v="104.7741935483871"/>
  </r>
  <r>
    <d v="2024-09-28T00:00:00"/>
    <x v="2"/>
    <n v="9"/>
    <x v="4"/>
    <x v="2"/>
    <n v="252"/>
    <n v="252"/>
    <n v="0"/>
    <n v="13"/>
    <n v="0.74556213017751483"/>
    <n v="43"/>
    <n v="42"/>
    <n v="0.97674418604651159"/>
    <n v="16380"/>
    <n v="2331"/>
    <n v="7310"/>
    <n v="26021"/>
    <n v="103.25793650793651"/>
  </r>
  <r>
    <d v="2024-10-05T00:00:00"/>
    <x v="2"/>
    <n v="10"/>
    <x v="4"/>
    <x v="2"/>
    <n v="267"/>
    <n v="267"/>
    <n v="0"/>
    <n v="14"/>
    <n v="0.73351648351648346"/>
    <n v="43"/>
    <n v="42"/>
    <n v="0.97674418604651159"/>
    <n v="17640"/>
    <n v="2469.75"/>
    <n v="7310"/>
    <n v="27419.75"/>
    <n v="102.69569288389511"/>
  </r>
  <r>
    <d v="2024-10-12T00:00:00"/>
    <x v="2"/>
    <n v="10"/>
    <x v="4"/>
    <x v="2"/>
    <n v="263"/>
    <n v="263"/>
    <n v="0"/>
    <n v="14"/>
    <n v="0.72252747252747251"/>
    <n v="43"/>
    <n v="41"/>
    <n v="0.95348837209302328"/>
    <n v="17640"/>
    <n v="2432.75"/>
    <n v="7310"/>
    <n v="27382.75"/>
    <n v="104.1169201520913"/>
  </r>
  <r>
    <d v="2024-10-19T00:00:00"/>
    <x v="2"/>
    <n v="10"/>
    <x v="4"/>
    <x v="2"/>
    <n v="275"/>
    <n v="275"/>
    <n v="0"/>
    <n v="14"/>
    <n v="0.75549450549450547"/>
    <n v="43"/>
    <n v="43"/>
    <n v="1"/>
    <n v="17640"/>
    <n v="2543.75"/>
    <n v="7310"/>
    <n v="27493.75"/>
    <n v="99.977272727272734"/>
  </r>
  <r>
    <d v="2024-10-26T00:00:00"/>
    <x v="2"/>
    <n v="10"/>
    <x v="4"/>
    <x v="2"/>
    <n v="300"/>
    <n v="300"/>
    <n v="0"/>
    <n v="15"/>
    <n v="0.76923076923076927"/>
    <n v="43"/>
    <n v="42"/>
    <n v="0.97674418604651159"/>
    <n v="18900"/>
    <n v="2775"/>
    <n v="7310"/>
    <n v="28985"/>
    <n v="96.61666666666666"/>
  </r>
  <r>
    <d v="2024-11-02T00:00:00"/>
    <x v="2"/>
    <n v="11"/>
    <x v="4"/>
    <x v="2"/>
    <n v="298"/>
    <n v="298"/>
    <n v="0"/>
    <n v="15"/>
    <n v="0.76410256410256405"/>
    <n v="43"/>
    <n v="41"/>
    <n v="0.95348837209302328"/>
    <n v="18900"/>
    <n v="2756.5"/>
    <n v="7310"/>
    <n v="28966.5"/>
    <n v="97.203020134228183"/>
  </r>
  <r>
    <d v="2024-11-09T00:00:00"/>
    <x v="2"/>
    <n v="11"/>
    <x v="4"/>
    <x v="2"/>
    <n v="313"/>
    <n v="313"/>
    <n v="0"/>
    <n v="15"/>
    <n v="0.8025641025641026"/>
    <n v="43"/>
    <n v="43"/>
    <n v="1"/>
    <n v="18900"/>
    <n v="2895.25"/>
    <n v="7310"/>
    <n v="29105.25"/>
    <n v="92.988019169329078"/>
  </r>
  <r>
    <d v="2024-11-16T00:00:00"/>
    <x v="2"/>
    <n v="11"/>
    <x v="4"/>
    <x v="2"/>
    <n v="323"/>
    <n v="322"/>
    <n v="1"/>
    <n v="14"/>
    <n v="0.88461538461538458"/>
    <n v="43"/>
    <n v="39"/>
    <n v="0.90697674418604646"/>
    <n v="17640"/>
    <n v="2978.5"/>
    <n v="7310"/>
    <n v="27928.5"/>
    <n v="86.734472049689444"/>
  </r>
  <r>
    <d v="2024-11-23T00:00:00"/>
    <x v="2"/>
    <n v="11"/>
    <x v="4"/>
    <x v="2"/>
    <n v="360"/>
    <n v="358"/>
    <n v="3"/>
    <n v="16"/>
    <n v="0.86057692307692313"/>
    <n v="43"/>
    <n v="41"/>
    <n v="0.95348837209302328"/>
    <n v="20160"/>
    <n v="3311.5"/>
    <n v="7310"/>
    <n v="30781.5"/>
    <n v="85.981843575418992"/>
  </r>
  <r>
    <d v="2024-11-30T00:00:00"/>
    <x v="2"/>
    <n v="11"/>
    <x v="4"/>
    <x v="2"/>
    <n v="384"/>
    <n v="370"/>
    <n v="17"/>
    <n v="17"/>
    <n v="0.83710407239819007"/>
    <n v="43"/>
    <n v="40"/>
    <n v="0.93023255813953487"/>
    <n v="21420"/>
    <n v="3422.5"/>
    <n v="7310"/>
    <n v="32152.5"/>
    <n v="86.898648648648646"/>
  </r>
  <r>
    <d v="2024-12-07T00:00:00"/>
    <x v="2"/>
    <n v="12"/>
    <x v="4"/>
    <x v="2"/>
    <n v="428"/>
    <n v="380"/>
    <n v="65"/>
    <n v="19"/>
    <n v="0.76923076923076927"/>
    <n v="43"/>
    <n v="39"/>
    <n v="0.90697674418604646"/>
    <n v="23940"/>
    <n v="3515"/>
    <n v="7310"/>
    <n v="34765"/>
    <n v="91.486842105263165"/>
  </r>
  <r>
    <d v="2024-12-14T00:00:00"/>
    <x v="2"/>
    <n v="12"/>
    <x v="4"/>
    <x v="2"/>
    <n v="406"/>
    <n v="382"/>
    <n v="89"/>
    <n v="18"/>
    <n v="0.81623931623931623"/>
    <n v="43"/>
    <n v="43"/>
    <n v="1"/>
    <n v="22680"/>
    <n v="3533.5"/>
    <n v="7310"/>
    <n v="33523.5"/>
    <n v="87.757853403141368"/>
  </r>
  <r>
    <d v="2024-12-21T00:00:00"/>
    <x v="2"/>
    <n v="12"/>
    <x v="4"/>
    <x v="2"/>
    <n v="366"/>
    <n v="377"/>
    <n v="78"/>
    <n v="19"/>
    <n v="0.76315789473684215"/>
    <n v="43"/>
    <n v="41"/>
    <n v="0.95348837209302328"/>
    <n v="23940"/>
    <n v="3487.25"/>
    <n v="7310"/>
    <n v="34737.25"/>
    <n v="92.141246684350136"/>
  </r>
  <r>
    <d v="2024-12-28T00:00:00"/>
    <x v="2"/>
    <n v="12"/>
    <x v="4"/>
    <x v="2"/>
    <n v="311"/>
    <n v="358"/>
    <n v="31"/>
    <n v="18"/>
    <n v="0.7649572649572649"/>
    <n v="43"/>
    <n v="43"/>
    <n v="1"/>
    <n v="22680"/>
    <n v="3311.5"/>
    <n v="7310"/>
    <n v="33301.5"/>
    <n v="93.020949720670387"/>
  </r>
  <r>
    <d v="2025-01-04T00:00:00"/>
    <x v="3"/>
    <n v="1"/>
    <x v="4"/>
    <x v="2"/>
    <n v="266"/>
    <n v="295"/>
    <n v="2"/>
    <n v="14"/>
    <n v="0.81043956043956045"/>
    <n v="43"/>
    <n v="41"/>
    <n v="0.95348837209302328"/>
    <n v="17640"/>
    <n v="2728.75"/>
    <n v="7310"/>
    <n v="27678.75"/>
    <n v="93.826271186440678"/>
  </r>
  <r>
    <d v="2025-01-11T00:00:00"/>
    <x v="3"/>
    <n v="1"/>
    <x v="4"/>
    <x v="2"/>
    <n v="212"/>
    <n v="214"/>
    <n v="0"/>
    <n v="11"/>
    <n v="0.74825174825174823"/>
    <n v="43"/>
    <n v="41"/>
    <n v="0.95348837209302328"/>
    <n v="13860"/>
    <n v="1979.5"/>
    <n v="7310"/>
    <n v="23149.5"/>
    <n v="108.1752336448598"/>
  </r>
  <r>
    <d v="2025-01-18T00:00:00"/>
    <x v="3"/>
    <n v="1"/>
    <x v="4"/>
    <x v="2"/>
    <n v="221"/>
    <n v="221"/>
    <n v="0"/>
    <n v="11"/>
    <n v="0.77272727272727271"/>
    <n v="43"/>
    <n v="43"/>
    <n v="1"/>
    <n v="13860"/>
    <n v="2044.25"/>
    <n v="7310"/>
    <n v="23214.25"/>
    <n v="105.0418552036199"/>
  </r>
  <r>
    <d v="2025-01-25T00:00:00"/>
    <x v="3"/>
    <n v="1"/>
    <x v="4"/>
    <x v="2"/>
    <n v="231"/>
    <n v="231"/>
    <n v="0"/>
    <n v="12"/>
    <n v="0.74038461538461542"/>
    <n v="43"/>
    <n v="39"/>
    <n v="0.90697674418604646"/>
    <n v="15120"/>
    <n v="2136.75"/>
    <n v="7310"/>
    <n v="24566.75"/>
    <n v="106.3495670995671"/>
  </r>
  <r>
    <d v="2025-02-01T00:00:00"/>
    <x v="3"/>
    <n v="2"/>
    <x v="4"/>
    <x v="2"/>
    <n v="224"/>
    <n v="224"/>
    <n v="0"/>
    <n v="11"/>
    <n v="0.78321678321678323"/>
    <n v="43"/>
    <n v="38"/>
    <n v="0.88372093023255816"/>
    <n v="13860"/>
    <n v="2072"/>
    <n v="7310"/>
    <n v="23242"/>
    <n v="103.7589285714286"/>
  </r>
  <r>
    <d v="2025-02-08T00:00:00"/>
    <x v="3"/>
    <n v="2"/>
    <x v="4"/>
    <x v="2"/>
    <n v="253"/>
    <n v="253"/>
    <n v="0"/>
    <n v="13"/>
    <n v="0.74852071005917165"/>
    <n v="43"/>
    <n v="39"/>
    <n v="0.90697674418604646"/>
    <n v="16380"/>
    <n v="2340.25"/>
    <n v="7310"/>
    <n v="26030.25"/>
    <n v="102.8863636363636"/>
  </r>
  <r>
    <d v="2025-02-15T00:00:00"/>
    <x v="3"/>
    <n v="2"/>
    <x v="4"/>
    <x v="2"/>
    <n v="257"/>
    <n v="257"/>
    <n v="0"/>
    <n v="12"/>
    <n v="0.82371794871794868"/>
    <n v="43"/>
    <n v="38"/>
    <n v="0.88372093023255816"/>
    <n v="15120"/>
    <n v="2377.25"/>
    <n v="7310"/>
    <n v="24807.25"/>
    <n v="96.526264591439684"/>
  </r>
  <r>
    <d v="2025-02-22T00:00:00"/>
    <x v="3"/>
    <n v="2"/>
    <x v="4"/>
    <x v="2"/>
    <n v="256"/>
    <n v="256"/>
    <n v="0"/>
    <n v="13"/>
    <n v="0.75739644970414199"/>
    <n v="43"/>
    <n v="41"/>
    <n v="0.95348837209302328"/>
    <n v="16380"/>
    <n v="2368"/>
    <n v="7310"/>
    <n v="26058"/>
    <n v="101.7890625"/>
  </r>
  <r>
    <d v="2025-03-01T00:00:00"/>
    <x v="3"/>
    <n v="3"/>
    <x v="4"/>
    <x v="2"/>
    <n v="259"/>
    <n v="259"/>
    <n v="0"/>
    <n v="13"/>
    <n v="0.76627218934911245"/>
    <n v="43"/>
    <n v="41"/>
    <n v="0.95348837209302328"/>
    <n v="16380"/>
    <n v="2395.75"/>
    <n v="7310"/>
    <n v="26085.75"/>
    <n v="100.7171814671815"/>
  </r>
  <r>
    <d v="2025-03-08T00:00:00"/>
    <x v="3"/>
    <n v="3"/>
    <x v="4"/>
    <x v="2"/>
    <n v="270"/>
    <n v="270"/>
    <n v="0"/>
    <n v="14"/>
    <n v="0.74175824175824179"/>
    <n v="43"/>
    <n v="42"/>
    <n v="0.97674418604651159"/>
    <n v="17640"/>
    <n v="2497.5"/>
    <n v="7310"/>
    <n v="27447.5"/>
    <n v="101.6574074074074"/>
  </r>
  <r>
    <d v="2025-03-15T00:00:00"/>
    <x v="3"/>
    <n v="3"/>
    <x v="4"/>
    <x v="2"/>
    <n v="258"/>
    <n v="258"/>
    <n v="0"/>
    <n v="13"/>
    <n v="0.76331360946745563"/>
    <n v="43"/>
    <n v="42"/>
    <n v="0.97674418604651159"/>
    <n v="16380"/>
    <n v="2386.5"/>
    <n v="7310"/>
    <n v="26076.5"/>
    <n v="101.0717054263566"/>
  </r>
  <r>
    <d v="2025-03-22T00:00:00"/>
    <x v="3"/>
    <n v="3"/>
    <x v="4"/>
    <x v="2"/>
    <n v="274"/>
    <n v="274"/>
    <n v="0"/>
    <n v="14"/>
    <n v="0.75274725274725274"/>
    <n v="43"/>
    <n v="43"/>
    <n v="1"/>
    <n v="17640"/>
    <n v="2534.5"/>
    <n v="7310"/>
    <n v="27484.5"/>
    <n v="100.3083941605839"/>
  </r>
  <r>
    <d v="2025-03-29T00:00:00"/>
    <x v="3"/>
    <n v="3"/>
    <x v="4"/>
    <x v="2"/>
    <n v="268"/>
    <n v="268"/>
    <n v="0"/>
    <n v="14"/>
    <n v="0.73626373626373631"/>
    <n v="43"/>
    <n v="41"/>
    <n v="0.95348837209302328"/>
    <n v="17640"/>
    <n v="2479"/>
    <n v="7310"/>
    <n v="27429"/>
    <n v="102.3470149253731"/>
  </r>
  <r>
    <d v="2025-04-05T00:00:00"/>
    <x v="3"/>
    <n v="4"/>
    <x v="4"/>
    <x v="2"/>
    <n v="268"/>
    <n v="268"/>
    <n v="0"/>
    <n v="13"/>
    <n v="0.79289940828402372"/>
    <n v="43"/>
    <n v="43"/>
    <n v="1"/>
    <n v="16380"/>
    <n v="2479"/>
    <n v="7310"/>
    <n v="26169"/>
    <n v="97.645522388059703"/>
  </r>
  <r>
    <d v="2025-04-12T00:00:00"/>
    <x v="3"/>
    <n v="4"/>
    <x v="4"/>
    <x v="2"/>
    <n v="276"/>
    <n v="276"/>
    <n v="0"/>
    <n v="14"/>
    <n v="0.75824175824175821"/>
    <n v="43"/>
    <n v="43"/>
    <n v="1"/>
    <n v="17640"/>
    <n v="2553"/>
    <n v="7310"/>
    <n v="27503"/>
    <n v="99.648550724637687"/>
  </r>
  <r>
    <d v="2025-04-19T00:00:00"/>
    <x v="3"/>
    <n v="4"/>
    <x v="4"/>
    <x v="2"/>
    <n v="298"/>
    <n v="298"/>
    <n v="0"/>
    <n v="14"/>
    <n v="0.81868131868131866"/>
    <n v="43"/>
    <n v="42"/>
    <n v="0.97674418604651159"/>
    <n v="17640"/>
    <n v="2756.5"/>
    <n v="7310"/>
    <n v="27706.5"/>
    <n v="92.974832214765101"/>
  </r>
  <r>
    <d v="2025-04-26T00:00:00"/>
    <x v="3"/>
    <n v="4"/>
    <x v="4"/>
    <x v="2"/>
    <n v="284"/>
    <n v="284"/>
    <n v="0"/>
    <n v="14"/>
    <n v="0.78021978021978022"/>
    <n v="43"/>
    <n v="43"/>
    <n v="1"/>
    <n v="17640"/>
    <n v="2627"/>
    <n v="7310"/>
    <n v="27577"/>
    <n v="97.102112676056336"/>
  </r>
  <r>
    <d v="2025-05-03T00:00:00"/>
    <x v="3"/>
    <n v="5"/>
    <x v="4"/>
    <x v="2"/>
    <n v="280"/>
    <n v="280"/>
    <n v="0"/>
    <n v="14"/>
    <n v="0.76923076923076927"/>
    <n v="43"/>
    <n v="42"/>
    <n v="0.97674418604651159"/>
    <n v="17640"/>
    <n v="2590"/>
    <n v="7310"/>
    <n v="27540"/>
    <n v="98.357142857142861"/>
  </r>
  <r>
    <d v="2025-05-10T00:00:00"/>
    <x v="3"/>
    <n v="5"/>
    <x v="4"/>
    <x v="2"/>
    <n v="287"/>
    <n v="287"/>
    <n v="0"/>
    <n v="15"/>
    <n v="0.73589743589743595"/>
    <n v="43"/>
    <n v="43"/>
    <n v="1"/>
    <n v="18900"/>
    <n v="2654.75"/>
    <n v="7310"/>
    <n v="28864.75"/>
    <n v="100.5740418118467"/>
  </r>
  <r>
    <d v="2025-05-17T00:00:00"/>
    <x v="3"/>
    <n v="5"/>
    <x v="4"/>
    <x v="2"/>
    <n v="292"/>
    <n v="292"/>
    <n v="0"/>
    <n v="14"/>
    <n v="0.80219780219780223"/>
    <n v="43"/>
    <n v="43"/>
    <n v="1"/>
    <n v="17640"/>
    <n v="2701"/>
    <n v="7310"/>
    <n v="27651"/>
    <n v="94.695205479452056"/>
  </r>
  <r>
    <d v="2025-05-24T00:00:00"/>
    <x v="3"/>
    <n v="5"/>
    <x v="4"/>
    <x v="2"/>
    <n v="286"/>
    <n v="286"/>
    <n v="0"/>
    <n v="14"/>
    <n v="0.7857142857142857"/>
    <n v="43"/>
    <n v="42"/>
    <n v="0.97674418604651159"/>
    <n v="17640"/>
    <n v="2645.5"/>
    <n v="7310"/>
    <n v="27595.5"/>
    <n v="96.48776223776224"/>
  </r>
  <r>
    <d v="2025-05-31T00:00:00"/>
    <x v="3"/>
    <n v="5"/>
    <x v="4"/>
    <x v="2"/>
    <n v="280"/>
    <n v="280"/>
    <n v="0"/>
    <n v="14"/>
    <n v="0.76923076923076927"/>
    <n v="43"/>
    <n v="42"/>
    <n v="0.97674418604651159"/>
    <n v="17640"/>
    <n v="2590"/>
    <n v="7310"/>
    <n v="27540"/>
    <n v="98.357142857142861"/>
  </r>
  <r>
    <d v="2025-06-07T00:00:00"/>
    <x v="3"/>
    <n v="6"/>
    <x v="4"/>
    <x v="2"/>
    <n v="290"/>
    <n v="290"/>
    <n v="0"/>
    <n v="14"/>
    <n v="0.79670329670329665"/>
    <n v="43"/>
    <n v="42"/>
    <n v="0.97674418604651159"/>
    <n v="17640"/>
    <n v="2682.5"/>
    <n v="7310"/>
    <n v="27632.5"/>
    <n v="95.284482758620683"/>
  </r>
  <r>
    <d v="2025-06-14T00:00:00"/>
    <x v="3"/>
    <n v="6"/>
    <x v="4"/>
    <x v="2"/>
    <n v="281"/>
    <n v="281"/>
    <n v="0"/>
    <n v="14"/>
    <n v="0.77197802197802201"/>
    <n v="43"/>
    <n v="42"/>
    <n v="0.97674418604651159"/>
    <n v="17640"/>
    <n v="2599.25"/>
    <n v="7310"/>
    <n v="27549.25"/>
    <n v="98.040035587188612"/>
  </r>
  <r>
    <d v="2025-06-21T00:00:00"/>
    <x v="3"/>
    <n v="6"/>
    <x v="4"/>
    <x v="2"/>
    <n v="289"/>
    <n v="289"/>
    <n v="0"/>
    <n v="14"/>
    <n v="0.79395604395604391"/>
    <n v="43"/>
    <n v="42"/>
    <n v="0.97674418604651159"/>
    <n v="17640"/>
    <n v="2673.25"/>
    <n v="7310"/>
    <n v="27623.25"/>
    <n v="95.582179930795846"/>
  </r>
  <r>
    <d v="2025-06-28T00:00:00"/>
    <x v="3"/>
    <n v="6"/>
    <x v="4"/>
    <x v="2"/>
    <n v="282"/>
    <n v="282"/>
    <n v="0"/>
    <n v="14"/>
    <n v="0.77472527472527475"/>
    <n v="43"/>
    <n v="42"/>
    <n v="0.97674418604651159"/>
    <n v="17640"/>
    <n v="2608.5"/>
    <n v="7310"/>
    <n v="27558.5"/>
    <n v="97.725177304964532"/>
  </r>
  <r>
    <d v="2025-07-05T00:00:00"/>
    <x v="3"/>
    <n v="7"/>
    <x v="4"/>
    <x v="2"/>
    <n v="294"/>
    <n v="294"/>
    <n v="0"/>
    <n v="14"/>
    <n v="0.80769230769230771"/>
    <n v="43"/>
    <n v="43"/>
    <n v="1"/>
    <n v="17640"/>
    <n v="2719.5"/>
    <n v="7310"/>
    <n v="27669.5"/>
    <n v="94.113945578231295"/>
  </r>
  <r>
    <d v="2025-07-12T00:00:00"/>
    <x v="3"/>
    <n v="7"/>
    <x v="4"/>
    <x v="2"/>
    <n v="298"/>
    <n v="298"/>
    <n v="0"/>
    <n v="15"/>
    <n v="0.76410256410256405"/>
    <n v="43"/>
    <n v="40"/>
    <n v="0.93023255813953487"/>
    <n v="18900"/>
    <n v="2756.5"/>
    <n v="7310"/>
    <n v="28966.5"/>
    <n v="97.203020134228183"/>
  </r>
  <r>
    <d v="2025-07-19T00:00:00"/>
    <x v="3"/>
    <n v="7"/>
    <x v="4"/>
    <x v="2"/>
    <n v="290"/>
    <n v="290"/>
    <n v="0"/>
    <n v="14"/>
    <n v="0.79670329670329665"/>
    <n v="43"/>
    <n v="43"/>
    <n v="1"/>
    <n v="17640"/>
    <n v="2682.5"/>
    <n v="7310"/>
    <n v="27632.5"/>
    <n v="95.284482758620683"/>
  </r>
  <r>
    <d v="2025-07-26T00:00:00"/>
    <x v="3"/>
    <n v="7"/>
    <x v="4"/>
    <x v="2"/>
    <n v="302"/>
    <n v="302"/>
    <n v="0"/>
    <n v="15"/>
    <n v="0.77435897435897438"/>
    <n v="43"/>
    <n v="42"/>
    <n v="0.97674418604651159"/>
    <n v="18900"/>
    <n v="2793.5"/>
    <n v="7310"/>
    <n v="29003.5"/>
    <n v="96.038079470198682"/>
  </r>
  <r>
    <d v="2025-08-02T00:00:00"/>
    <x v="3"/>
    <n v="8"/>
    <x v="4"/>
    <x v="2"/>
    <n v="301"/>
    <n v="301"/>
    <n v="0"/>
    <n v="14"/>
    <n v="0.82692307692307687"/>
    <n v="43"/>
    <n v="43"/>
    <n v="1"/>
    <n v="17640"/>
    <n v="2784.25"/>
    <n v="7310"/>
    <n v="27734.25"/>
    <n v="92.14036544850498"/>
  </r>
  <r>
    <d v="2025-08-09T00:00:00"/>
    <x v="3"/>
    <n v="8"/>
    <x v="4"/>
    <x v="2"/>
    <n v="303"/>
    <n v="303"/>
    <n v="0"/>
    <n v="15"/>
    <n v="0.77692307692307694"/>
    <n v="43"/>
    <n v="41"/>
    <n v="0.95348837209302328"/>
    <n v="18900"/>
    <n v="2802.75"/>
    <n v="7310"/>
    <n v="29012.75"/>
    <n v="95.7516501650165"/>
  </r>
  <r>
    <d v="2025-08-16T00:00:00"/>
    <x v="3"/>
    <n v="8"/>
    <x v="4"/>
    <x v="2"/>
    <n v="307"/>
    <n v="306"/>
    <n v="1"/>
    <n v="15"/>
    <n v="0.7846153846153846"/>
    <n v="43"/>
    <n v="43"/>
    <n v="1"/>
    <n v="18900"/>
    <n v="2830.5"/>
    <n v="7310"/>
    <n v="29040.5"/>
    <n v="94.903594771241828"/>
  </r>
  <r>
    <d v="2025-08-23T00:00:00"/>
    <x v="3"/>
    <n v="8"/>
    <x v="4"/>
    <x v="2"/>
    <n v="291"/>
    <n v="292"/>
    <n v="0"/>
    <n v="15"/>
    <n v="0.74871794871794872"/>
    <n v="43"/>
    <n v="42"/>
    <n v="0.97674418604651159"/>
    <n v="18900"/>
    <n v="2701"/>
    <n v="7310"/>
    <n v="28911"/>
    <n v="99.010273972602747"/>
  </r>
  <r>
    <d v="2025-08-30T00:00:00"/>
    <x v="3"/>
    <n v="8"/>
    <x v="4"/>
    <x v="2"/>
    <n v="278"/>
    <n v="278"/>
    <n v="0"/>
    <n v="14"/>
    <n v="0.76373626373626369"/>
    <n v="43"/>
    <n v="43"/>
    <n v="1"/>
    <n v="17640"/>
    <n v="2571.5"/>
    <n v="7310"/>
    <n v="27521.5"/>
    <n v="98.998201438848923"/>
  </r>
  <r>
    <d v="2025-09-06T00:00:00"/>
    <x v="3"/>
    <n v="9"/>
    <x v="4"/>
    <x v="2"/>
    <n v="277"/>
    <n v="277"/>
    <n v="0"/>
    <n v="14"/>
    <n v="0.76098901098901095"/>
    <n v="43"/>
    <n v="39"/>
    <n v="0.90697674418604646"/>
    <n v="17640"/>
    <n v="2562.25"/>
    <n v="7310"/>
    <n v="27512.25"/>
    <n v="99.322202166064983"/>
  </r>
  <r>
    <d v="2025-09-13T00:00:00"/>
    <x v="3"/>
    <n v="9"/>
    <x v="4"/>
    <x v="2"/>
    <n v="263"/>
    <n v="263"/>
    <n v="0"/>
    <n v="13"/>
    <n v="0.77810650887573962"/>
    <n v="43"/>
    <n v="42"/>
    <n v="0.97674418604651159"/>
    <n v="16380"/>
    <n v="2432.75"/>
    <n v="7310"/>
    <n v="26122.75"/>
    <n v="99.326045627376431"/>
  </r>
  <r>
    <d v="2025-09-20T00:00:00"/>
    <x v="3"/>
    <n v="9"/>
    <x v="4"/>
    <x v="2"/>
    <n v="273"/>
    <n v="273"/>
    <n v="0"/>
    <n v="14"/>
    <n v="0.75"/>
    <n v="43"/>
    <n v="42"/>
    <n v="0.97674418604651159"/>
    <n v="17640"/>
    <n v="2525.25"/>
    <n v="7310"/>
    <n v="27475.25"/>
    <n v="100.6419413919414"/>
  </r>
  <r>
    <d v="2025-09-27T00:00:00"/>
    <x v="3"/>
    <n v="9"/>
    <x v="4"/>
    <x v="2"/>
    <n v="266"/>
    <n v="266"/>
    <n v="0"/>
    <n v="13"/>
    <n v="0.78698224852071008"/>
    <n v="43"/>
    <n v="42"/>
    <n v="0.97674418604651159"/>
    <n v="16380"/>
    <n v="2460.5"/>
    <n v="7310"/>
    <n v="26150.5"/>
    <n v="98.310150375939855"/>
  </r>
  <r>
    <d v="2025-10-04T00:00:00"/>
    <x v="3"/>
    <n v="10"/>
    <x v="4"/>
    <x v="2"/>
    <n v="269"/>
    <n v="269"/>
    <n v="0"/>
    <n v="13"/>
    <n v="0.79585798816568043"/>
    <n v="43"/>
    <n v="42"/>
    <n v="0.97674418604651159"/>
    <n v="16380"/>
    <n v="2488.25"/>
    <n v="7310"/>
    <n v="26178.25"/>
    <n v="97.316914498141259"/>
  </r>
  <r>
    <d v="2025-10-11T00:00:00"/>
    <x v="3"/>
    <n v="10"/>
    <x v="4"/>
    <x v="2"/>
    <n v="282"/>
    <n v="282"/>
    <n v="0"/>
    <n v="14"/>
    <n v="0.77472527472527475"/>
    <n v="43"/>
    <n v="43"/>
    <n v="1"/>
    <n v="17640"/>
    <n v="2608.5"/>
    <n v="7310"/>
    <n v="27558.5"/>
    <n v="97.725177304964532"/>
  </r>
  <r>
    <d v="2025-10-18T00:00:00"/>
    <x v="3"/>
    <n v="10"/>
    <x v="4"/>
    <x v="2"/>
    <n v="292"/>
    <n v="292"/>
    <n v="0"/>
    <n v="14"/>
    <n v="0.80219780219780223"/>
    <n v="43"/>
    <n v="41"/>
    <n v="0.95348837209302328"/>
    <n v="17640"/>
    <n v="2701"/>
    <n v="7310"/>
    <n v="27651"/>
    <n v="94.695205479452056"/>
  </r>
  <r>
    <d v="2025-10-25T00:00:00"/>
    <x v="3"/>
    <n v="10"/>
    <x v="4"/>
    <x v="2"/>
    <n v="299"/>
    <n v="299"/>
    <n v="0"/>
    <n v="15"/>
    <n v="0.76666666666666672"/>
    <n v="43"/>
    <n v="42"/>
    <n v="0.97674418604651159"/>
    <n v="18900"/>
    <n v="2765.75"/>
    <n v="7310"/>
    <n v="28975.75"/>
    <n v="96.908862876254176"/>
  </r>
  <r>
    <d v="2025-11-01T00:00:00"/>
    <x v="3"/>
    <n v="11"/>
    <x v="4"/>
    <x v="2"/>
    <n v="320"/>
    <n v="319"/>
    <n v="1"/>
    <n v="15"/>
    <n v="0.81794871794871793"/>
    <n v="43"/>
    <n v="40"/>
    <n v="0.93023255813953487"/>
    <n v="18900"/>
    <n v="2950.75"/>
    <n v="7310"/>
    <n v="29160.75"/>
    <n v="91.413009404388717"/>
  </r>
  <r>
    <d v="2025-11-08T00:00:00"/>
    <x v="3"/>
    <n v="11"/>
    <x v="4"/>
    <x v="2"/>
    <n v="327"/>
    <n v="328"/>
    <n v="0"/>
    <n v="16"/>
    <n v="0.78846153846153844"/>
    <n v="43"/>
    <n v="43"/>
    <n v="1"/>
    <n v="20160"/>
    <n v="3034"/>
    <n v="7310"/>
    <n v="30504"/>
    <n v="93"/>
  </r>
  <r>
    <d v="2025-11-15T00:00:00"/>
    <x v="3"/>
    <n v="11"/>
    <x v="4"/>
    <x v="2"/>
    <n v="364"/>
    <n v="358"/>
    <n v="6"/>
    <n v="17"/>
    <n v="0.80995475113122173"/>
    <n v="43"/>
    <n v="41"/>
    <n v="0.95348837209302328"/>
    <n v="21420"/>
    <n v="3311.5"/>
    <n v="7310"/>
    <n v="32041.5"/>
    <n v="89.50139664804469"/>
  </r>
  <r>
    <d v="2025-11-22T00:00:00"/>
    <x v="3"/>
    <n v="11"/>
    <x v="4"/>
    <x v="2"/>
    <n v="365"/>
    <n v="362"/>
    <n v="9"/>
    <n v="16"/>
    <n v="0.87019230769230771"/>
    <n v="43"/>
    <n v="43"/>
    <n v="1"/>
    <n v="20160"/>
    <n v="3348.5"/>
    <n v="7310"/>
    <n v="30818.5"/>
    <n v="85.13397790055248"/>
  </r>
  <r>
    <d v="2025-11-29T00:00:00"/>
    <x v="3"/>
    <n v="11"/>
    <x v="4"/>
    <x v="2"/>
    <n v="401"/>
    <n v="373"/>
    <n v="37"/>
    <n v="17"/>
    <n v="0.84389140271493213"/>
    <n v="43"/>
    <n v="40"/>
    <n v="0.93023255813953487"/>
    <n v="21420"/>
    <n v="3450.25"/>
    <n v="7310"/>
    <n v="32180.25"/>
    <n v="86.274128686327074"/>
  </r>
  <r>
    <d v="2025-12-06T00:00:00"/>
    <x v="3"/>
    <n v="12"/>
    <x v="4"/>
    <x v="2"/>
    <n v="429"/>
    <n v="383"/>
    <n v="83"/>
    <n v="18"/>
    <n v="0.81837606837606836"/>
    <n v="43"/>
    <n v="41"/>
    <n v="0.95348837209302328"/>
    <n v="22680"/>
    <n v="3542.75"/>
    <n v="7310"/>
    <n v="33532.75"/>
    <n v="87.552872062663184"/>
  </r>
  <r>
    <d v="2025-12-13T00:00:00"/>
    <x v="3"/>
    <n v="12"/>
    <x v="4"/>
    <x v="2"/>
    <n v="484"/>
    <n v="383"/>
    <n v="184"/>
    <n v="19"/>
    <n v="0.7753036437246964"/>
    <n v="43"/>
    <n v="41"/>
    <n v="0.95348837209302328"/>
    <n v="23940"/>
    <n v="3542.75"/>
    <n v="7310"/>
    <n v="34792.75"/>
    <n v="90.842689295039165"/>
  </r>
  <r>
    <d v="2025-12-20T00:00:00"/>
    <x v="3"/>
    <n v="12"/>
    <x v="4"/>
    <x v="2"/>
    <n v="411"/>
    <n v="383"/>
    <n v="212"/>
    <n v="19"/>
    <n v="0.7753036437246964"/>
    <n v="43"/>
    <n v="42"/>
    <n v="0.97674418604651159"/>
    <n v="23940"/>
    <n v="3542.75"/>
    <n v="7310"/>
    <n v="34792.75"/>
    <n v="90.842689295039165"/>
  </r>
  <r>
    <d v="2025-12-27T00:00:00"/>
    <x v="3"/>
    <n v="12"/>
    <x v="4"/>
    <x v="2"/>
    <n v="353"/>
    <n v="382"/>
    <n v="183"/>
    <n v="19"/>
    <n v="0.77327935222672062"/>
    <n v="43"/>
    <n v="41"/>
    <n v="0.95348837209302328"/>
    <n v="23940"/>
    <n v="3533.5"/>
    <n v="7310"/>
    <n v="34783.5"/>
    <n v="91.056282722513089"/>
  </r>
  <r>
    <d v="2026-01-03T00:00:00"/>
    <x v="4"/>
    <n v="1"/>
    <x v="4"/>
    <x v="2"/>
    <n v="276"/>
    <n v="361"/>
    <n v="98"/>
    <n v="18"/>
    <n v="0.7713675213675214"/>
    <n v="43"/>
    <n v="39"/>
    <n v="0.90697674418604646"/>
    <n v="22680"/>
    <n v="3339.25"/>
    <n v="7310"/>
    <n v="33329.25"/>
    <n v="92.32479224376732"/>
  </r>
  <r>
    <d v="2026-01-10T00:00:00"/>
    <x v="4"/>
    <n v="1"/>
    <x v="4"/>
    <x v="2"/>
    <n v="243"/>
    <n v="294"/>
    <n v="47"/>
    <n v="15"/>
    <n v="0.75384615384615383"/>
    <n v="43"/>
    <n v="40"/>
    <n v="0.93023255813953487"/>
    <n v="18900"/>
    <n v="2719.5"/>
    <n v="7310"/>
    <n v="28929.5"/>
    <n v="98.399659863945573"/>
  </r>
  <r>
    <d v="2026-01-17T00:00:00"/>
    <x v="4"/>
    <n v="1"/>
    <x v="4"/>
    <x v="2"/>
    <n v="227"/>
    <n v="264"/>
    <n v="10"/>
    <n v="14"/>
    <n v="0.72527472527472525"/>
    <n v="43"/>
    <n v="40"/>
    <n v="0.93023255813953487"/>
    <n v="17640"/>
    <n v="2442"/>
    <n v="7310"/>
    <n v="27392"/>
    <n v="103.75757575757579"/>
  </r>
  <r>
    <d v="2026-01-24T00:00:00"/>
    <x v="4"/>
    <n v="1"/>
    <x v="4"/>
    <x v="2"/>
    <n v="244"/>
    <n v="254"/>
    <n v="0"/>
    <n v="13"/>
    <n v="0.75147928994082835"/>
    <n v="43"/>
    <n v="41"/>
    <n v="0.95348837209302328"/>
    <n v="16380"/>
    <n v="2349.5"/>
    <n v="7310"/>
    <n v="26039.5"/>
    <n v="102.5177165354331"/>
  </r>
  <r>
    <d v="2026-01-31T00:00:00"/>
    <x v="4"/>
    <n v="1"/>
    <x v="4"/>
    <x v="2"/>
    <n v="252"/>
    <n v="252"/>
    <n v="0"/>
    <n v="13"/>
    <n v="0.74556213017751483"/>
    <n v="43"/>
    <n v="40"/>
    <n v="0.93023255813953487"/>
    <n v="16380"/>
    <n v="2331"/>
    <n v="7310"/>
    <n v="26021"/>
    <n v="103.25793650793651"/>
  </r>
  <r>
    <d v="2026-02-07T00:00:00"/>
    <x v="4"/>
    <n v="2"/>
    <x v="4"/>
    <x v="2"/>
    <n v="261"/>
    <n v="261"/>
    <n v="0"/>
    <n v="13"/>
    <n v="0.77218934911242598"/>
    <n v="43"/>
    <n v="40"/>
    <n v="0.93023255813953487"/>
    <n v="16380"/>
    <n v="2414.25"/>
    <n v="7310"/>
    <n v="26104.25"/>
    <n v="100.0162835249042"/>
  </r>
  <r>
    <d v="2026-02-14T00:00:00"/>
    <x v="4"/>
    <n v="2"/>
    <x v="4"/>
    <x v="2"/>
    <n v="264"/>
    <n v="264"/>
    <n v="0"/>
    <n v="14"/>
    <n v="0.72527472527472525"/>
    <n v="43"/>
    <n v="42"/>
    <n v="0.97674418604651159"/>
    <n v="17640"/>
    <n v="2442"/>
    <n v="7310"/>
    <n v="27392"/>
    <n v="103.75757575757579"/>
  </r>
  <r>
    <d v="2026-02-21T00:00:00"/>
    <x v="4"/>
    <n v="2"/>
    <x v="4"/>
    <x v="2"/>
    <n v="277"/>
    <n v="277"/>
    <n v="0"/>
    <n v="14"/>
    <n v="0.76098901098901095"/>
    <n v="43"/>
    <n v="40"/>
    <n v="0.93023255813953487"/>
    <n v="17640"/>
    <n v="2562.25"/>
    <n v="7310"/>
    <n v="27512.25"/>
    <n v="99.322202166064983"/>
  </r>
  <r>
    <d v="2026-02-28T00:00:00"/>
    <x v="4"/>
    <n v="2"/>
    <x v="4"/>
    <x v="2"/>
    <n v="270"/>
    <n v="270"/>
    <n v="0"/>
    <n v="14"/>
    <n v="0.74175824175824179"/>
    <n v="43"/>
    <n v="38"/>
    <n v="0.88372093023255816"/>
    <n v="17640"/>
    <n v="2497.5"/>
    <n v="7310"/>
    <n v="27447.5"/>
    <n v="101.6574074074074"/>
  </r>
  <r>
    <d v="2026-03-07T00:00:00"/>
    <x v="4"/>
    <n v="3"/>
    <x v="4"/>
    <x v="2"/>
    <n v="285"/>
    <n v="285"/>
    <n v="0"/>
    <n v="15"/>
    <n v="0.73076923076923073"/>
    <n v="43"/>
    <n v="41"/>
    <n v="0.95348837209302328"/>
    <n v="18900"/>
    <n v="2636.25"/>
    <n v="7310"/>
    <n v="28846.25"/>
    <n v="101.2149122807018"/>
  </r>
  <r>
    <d v="2026-03-14T00:00:00"/>
    <x v="4"/>
    <n v="3"/>
    <x v="4"/>
    <x v="2"/>
    <n v="282"/>
    <n v="282"/>
    <n v="0"/>
    <n v="14"/>
    <n v="0.77472527472527475"/>
    <n v="43"/>
    <n v="42"/>
    <n v="0.97674418604651159"/>
    <n v="17640"/>
    <n v="2608.5"/>
    <n v="7310"/>
    <n v="27558.5"/>
    <n v="97.725177304964532"/>
  </r>
  <r>
    <d v="2026-03-21T00:00:00"/>
    <x v="4"/>
    <n v="3"/>
    <x v="4"/>
    <x v="2"/>
    <n v="286"/>
    <n v="286"/>
    <n v="0"/>
    <n v="14"/>
    <n v="0.7857142857142857"/>
    <n v="43"/>
    <n v="43"/>
    <n v="1"/>
    <n v="17640"/>
    <n v="2645.5"/>
    <n v="7310"/>
    <n v="27595.5"/>
    <n v="96.48776223776224"/>
  </r>
  <r>
    <d v="2026-03-28T00:00:00"/>
    <x v="4"/>
    <n v="3"/>
    <x v="4"/>
    <x v="2"/>
    <n v="282"/>
    <n v="282"/>
    <n v="0"/>
    <n v="14"/>
    <n v="0.77472527472527475"/>
    <n v="43"/>
    <n v="42"/>
    <n v="0.97674418604651159"/>
    <n v="17640"/>
    <n v="2608.5"/>
    <n v="7310"/>
    <n v="27558.5"/>
    <n v="97.725177304964532"/>
  </r>
  <r>
    <d v="2026-04-04T00:00:00"/>
    <x v="4"/>
    <n v="4"/>
    <x v="4"/>
    <x v="2"/>
    <n v="290"/>
    <n v="290"/>
    <n v="0"/>
    <n v="14"/>
    <n v="0.79670329670329665"/>
    <n v="43"/>
    <n v="43"/>
    <n v="1"/>
    <n v="17640"/>
    <n v="2682.5"/>
    <n v="7310"/>
    <n v="27632.5"/>
    <n v="95.284482758620683"/>
  </r>
  <r>
    <d v="2026-04-11T00:00:00"/>
    <x v="4"/>
    <n v="4"/>
    <x v="4"/>
    <x v="2"/>
    <n v="282"/>
    <n v="282"/>
    <n v="0"/>
    <n v="14"/>
    <n v="0.77472527472527475"/>
    <n v="43"/>
    <n v="43"/>
    <n v="1"/>
    <n v="17640"/>
    <n v="2608.5"/>
    <n v="7310"/>
    <n v="27558.5"/>
    <n v="97.725177304964532"/>
  </r>
  <r>
    <d v="2026-04-18T00:00:00"/>
    <x v="4"/>
    <n v="4"/>
    <x v="4"/>
    <x v="2"/>
    <n v="275"/>
    <n v="275"/>
    <n v="0"/>
    <n v="14"/>
    <n v="0.75549450549450547"/>
    <n v="43"/>
    <n v="43"/>
    <n v="1"/>
    <n v="17640"/>
    <n v="2543.75"/>
    <n v="7310"/>
    <n v="27493.75"/>
    <n v="99.977272727272734"/>
  </r>
  <r>
    <d v="2026-04-25T00:00:00"/>
    <x v="4"/>
    <n v="4"/>
    <x v="4"/>
    <x v="2"/>
    <n v="303"/>
    <n v="303"/>
    <n v="0"/>
    <n v="14"/>
    <n v="0.83241758241758246"/>
    <n v="43"/>
    <n v="41"/>
    <n v="0.95348837209302328"/>
    <n v="17640"/>
    <n v="2802.75"/>
    <n v="7310"/>
    <n v="27752.75"/>
    <n v="91.593234323432341"/>
  </r>
  <r>
    <d v="2026-05-02T00:00:00"/>
    <x v="4"/>
    <n v="5"/>
    <x v="4"/>
    <x v="2"/>
    <n v="314"/>
    <n v="313"/>
    <n v="1"/>
    <n v="15"/>
    <n v="0.8025641025641026"/>
    <n v="43"/>
    <n v="39"/>
    <n v="0.90697674418604646"/>
    <n v="18900"/>
    <n v="2895.25"/>
    <n v="7310"/>
    <n v="29105.25"/>
    <n v="92.988019169329078"/>
  </r>
  <r>
    <d v="2026-05-09T00:00:00"/>
    <x v="4"/>
    <n v="5"/>
    <x v="4"/>
    <x v="2"/>
    <n v="309"/>
    <n v="310"/>
    <n v="0"/>
    <n v="15"/>
    <n v="0.79487179487179482"/>
    <n v="43"/>
    <n v="42"/>
    <n v="0.97674418604651159"/>
    <n v="18900"/>
    <n v="2867.5"/>
    <n v="7310"/>
    <n v="29077.5"/>
    <n v="93.798387096774192"/>
  </r>
  <r>
    <d v="2026-05-16T00:00:00"/>
    <x v="4"/>
    <n v="5"/>
    <x v="4"/>
    <x v="2"/>
    <n v="319"/>
    <n v="319"/>
    <n v="0"/>
    <n v="15"/>
    <n v="0.81794871794871793"/>
    <n v="43"/>
    <n v="43"/>
    <n v="1"/>
    <n v="18900"/>
    <n v="2950.75"/>
    <n v="7310"/>
    <n v="29160.75"/>
    <n v="91.413009404388717"/>
  </r>
  <r>
    <d v="2026-05-23T00:00:00"/>
    <x v="4"/>
    <n v="5"/>
    <x v="4"/>
    <x v="2"/>
    <n v="311"/>
    <n v="311"/>
    <n v="0"/>
    <n v="15"/>
    <n v="0.79743589743589749"/>
    <n v="43"/>
    <n v="42"/>
    <n v="0.97674418604651159"/>
    <n v="18900"/>
    <n v="2876.75"/>
    <n v="7310"/>
    <n v="29086.75"/>
    <n v="93.526527331189712"/>
  </r>
  <r>
    <d v="2026-05-30T00:00:00"/>
    <x v="4"/>
    <n v="5"/>
    <x v="4"/>
    <x v="2"/>
    <n v="316"/>
    <n v="316"/>
    <n v="0"/>
    <n v="15"/>
    <n v="0.81025641025641026"/>
    <n v="43"/>
    <n v="43"/>
    <n v="1"/>
    <n v="18900"/>
    <n v="2923"/>
    <n v="7310"/>
    <n v="29133"/>
    <n v="92.193037974683548"/>
  </r>
  <r>
    <d v="2026-06-06T00:00:00"/>
    <x v="4"/>
    <n v="6"/>
    <x v="4"/>
    <x v="2"/>
    <n v="303"/>
    <n v="303"/>
    <n v="0"/>
    <n v="15"/>
    <n v="0.77692307692307694"/>
    <n v="43"/>
    <n v="42"/>
    <n v="0.97674418604651159"/>
    <n v="18900"/>
    <n v="2802.75"/>
    <n v="7310"/>
    <n v="29012.75"/>
    <n v="95.7516501650165"/>
  </r>
  <r>
    <d v="2026-06-13T00:00:00"/>
    <x v="4"/>
    <n v="6"/>
    <x v="4"/>
    <x v="2"/>
    <n v="282"/>
    <n v="282"/>
    <n v="0"/>
    <n v="14"/>
    <n v="0.77472527472527475"/>
    <n v="43"/>
    <n v="40"/>
    <n v="0.93023255813953487"/>
    <n v="17640"/>
    <n v="2608.5"/>
    <n v="7310"/>
    <n v="27558.5"/>
    <n v="97.725177304964532"/>
  </r>
  <r>
    <d v="2026-06-20T00:00:00"/>
    <x v="4"/>
    <n v="6"/>
    <x v="4"/>
    <x v="2"/>
    <n v="281"/>
    <n v="281"/>
    <n v="0"/>
    <n v="14"/>
    <n v="0.77197802197802201"/>
    <n v="43"/>
    <n v="43"/>
    <n v="1"/>
    <n v="17640"/>
    <n v="2599.25"/>
    <n v="7310"/>
    <n v="27549.25"/>
    <n v="98.040035587188612"/>
  </r>
  <r>
    <d v="2026-06-27T00:00:00"/>
    <x v="4"/>
    <n v="6"/>
    <x v="4"/>
    <x v="2"/>
    <n v="299"/>
    <n v="299"/>
    <n v="0"/>
    <n v="14"/>
    <n v="0.8214285714285714"/>
    <n v="43"/>
    <n v="43"/>
    <n v="1"/>
    <n v="17640"/>
    <n v="2765.75"/>
    <n v="7310"/>
    <n v="27715.75"/>
    <n v="92.694816053511701"/>
  </r>
  <r>
    <d v="2026-07-04T00:00:00"/>
    <x v="4"/>
    <n v="7"/>
    <x v="4"/>
    <x v="2"/>
    <n v="293"/>
    <n v="293"/>
    <n v="0"/>
    <n v="14"/>
    <n v="0.80494505494505497"/>
    <n v="43"/>
    <n v="42"/>
    <n v="0.97674418604651159"/>
    <n v="17640"/>
    <n v="2710.25"/>
    <n v="7310"/>
    <n v="27660.25"/>
    <n v="94.403583617747444"/>
  </r>
  <r>
    <d v="2026-07-11T00:00:00"/>
    <x v="4"/>
    <n v="7"/>
    <x v="4"/>
    <x v="2"/>
    <n v="298"/>
    <n v="298"/>
    <n v="0"/>
    <n v="14"/>
    <n v="0.81868131868131866"/>
    <n v="43"/>
    <n v="42"/>
    <n v="0.97674418604651159"/>
    <n v="17640"/>
    <n v="2756.5"/>
    <n v="7310"/>
    <n v="27706.5"/>
    <n v="92.974832214765101"/>
  </r>
  <r>
    <d v="2026-07-18T00:00:00"/>
    <x v="4"/>
    <n v="7"/>
    <x v="4"/>
    <x v="2"/>
    <n v="293"/>
    <n v="293"/>
    <n v="0"/>
    <n v="14"/>
    <n v="0.80494505494505497"/>
    <n v="43"/>
    <n v="42"/>
    <n v="0.97674418604651159"/>
    <n v="17640"/>
    <n v="2710.25"/>
    <n v="7310"/>
    <n v="27660.25"/>
    <n v="94.403583617747444"/>
  </r>
  <r>
    <d v="2026-07-25T00:00:00"/>
    <x v="4"/>
    <n v="7"/>
    <x v="4"/>
    <x v="2"/>
    <n v="298"/>
    <n v="298"/>
    <n v="0"/>
    <n v="15"/>
    <n v="0.76410256410256405"/>
    <n v="43"/>
    <n v="43"/>
    <n v="1"/>
    <n v="18900"/>
    <n v="2756.5"/>
    <n v="7310"/>
    <n v="28966.5"/>
    <n v="97.203020134228183"/>
  </r>
  <r>
    <d v="2022-08-06T00:00:00"/>
    <x v="0"/>
    <n v="8"/>
    <x v="5"/>
    <x v="3"/>
    <n v="238"/>
    <n v="238"/>
    <n v="0"/>
    <n v="13"/>
    <n v="0.70414201183431957"/>
    <n v="38"/>
    <n v="35"/>
    <n v="0.92105263157894735"/>
    <n v="7790.25"/>
    <n v="2320.5"/>
    <n v="6650"/>
    <n v="16760.75"/>
    <n v="70.423319327731093"/>
  </r>
  <r>
    <d v="2022-08-13T00:00:00"/>
    <x v="0"/>
    <n v="8"/>
    <x v="5"/>
    <x v="3"/>
    <n v="241"/>
    <n v="241"/>
    <n v="0"/>
    <n v="13"/>
    <n v="0.71301775147928992"/>
    <n v="38"/>
    <n v="36"/>
    <n v="0.94736842105263153"/>
    <n v="7790.25"/>
    <n v="2349.75"/>
    <n v="6650"/>
    <n v="16790"/>
    <n v="69.668049792531122"/>
  </r>
  <r>
    <d v="2022-08-20T00:00:00"/>
    <x v="0"/>
    <n v="8"/>
    <x v="5"/>
    <x v="3"/>
    <n v="240"/>
    <n v="240"/>
    <n v="0"/>
    <n v="12"/>
    <n v="0.76923076923076927"/>
    <n v="38"/>
    <n v="37"/>
    <n v="0.97368421052631582"/>
    <n v="7191"/>
    <n v="2340"/>
    <n v="6650"/>
    <n v="16181"/>
    <n v="67.420833333333334"/>
  </r>
  <r>
    <d v="2022-08-27T00:00:00"/>
    <x v="0"/>
    <n v="8"/>
    <x v="5"/>
    <x v="3"/>
    <n v="221"/>
    <n v="221"/>
    <n v="0"/>
    <n v="12"/>
    <n v="0.70833333333333337"/>
    <n v="38"/>
    <n v="38"/>
    <n v="1"/>
    <n v="7191"/>
    <n v="2154.75"/>
    <n v="6650"/>
    <n v="15995.75"/>
    <n v="72.378959276018094"/>
  </r>
  <r>
    <d v="2022-09-03T00:00:00"/>
    <x v="0"/>
    <n v="9"/>
    <x v="5"/>
    <x v="3"/>
    <n v="229"/>
    <n v="229"/>
    <n v="0"/>
    <n v="12"/>
    <n v="0.73397435897435892"/>
    <n v="38"/>
    <n v="34"/>
    <n v="0.89473684210526316"/>
    <n v="7191"/>
    <n v="2232.75"/>
    <n v="6650"/>
    <n v="16073.75"/>
    <n v="70.191048034934497"/>
  </r>
  <r>
    <d v="2022-09-10T00:00:00"/>
    <x v="0"/>
    <n v="9"/>
    <x v="5"/>
    <x v="3"/>
    <n v="213"/>
    <n v="213"/>
    <n v="0"/>
    <n v="11"/>
    <n v="0.74475524475524479"/>
    <n v="38"/>
    <n v="35"/>
    <n v="0.92105263157894735"/>
    <n v="6591.75"/>
    <n v="2076.75"/>
    <n v="6650"/>
    <n v="15318.5"/>
    <n v="71.917840375586849"/>
  </r>
  <r>
    <d v="2022-09-17T00:00:00"/>
    <x v="0"/>
    <n v="9"/>
    <x v="5"/>
    <x v="3"/>
    <n v="221"/>
    <n v="221"/>
    <n v="0"/>
    <n v="11"/>
    <n v="0.77272727272727271"/>
    <n v="38"/>
    <n v="38"/>
    <n v="1"/>
    <n v="6591.75"/>
    <n v="2154.75"/>
    <n v="6650"/>
    <n v="15396.5"/>
    <n v="69.667420814479641"/>
  </r>
  <r>
    <d v="2022-09-24T00:00:00"/>
    <x v="0"/>
    <n v="9"/>
    <x v="5"/>
    <x v="3"/>
    <n v="228"/>
    <n v="228"/>
    <n v="0"/>
    <n v="12"/>
    <n v="0.73076923076923073"/>
    <n v="38"/>
    <n v="37"/>
    <n v="0.97368421052631582"/>
    <n v="7191"/>
    <n v="2223"/>
    <n v="6650"/>
    <n v="16064"/>
    <n v="70.456140350877192"/>
  </r>
  <r>
    <d v="2022-10-01T00:00:00"/>
    <x v="0"/>
    <n v="10"/>
    <x v="5"/>
    <x v="3"/>
    <n v="222"/>
    <n v="222"/>
    <n v="0"/>
    <n v="12"/>
    <n v="0.71153846153846156"/>
    <n v="38"/>
    <n v="37"/>
    <n v="0.97368421052631582"/>
    <n v="7191"/>
    <n v="2164.5"/>
    <n v="6650"/>
    <n v="16005.5"/>
    <n v="72.096846846846844"/>
  </r>
  <r>
    <d v="2022-10-08T00:00:00"/>
    <x v="0"/>
    <n v="10"/>
    <x v="5"/>
    <x v="3"/>
    <n v="232"/>
    <n v="232"/>
    <n v="0"/>
    <n v="13"/>
    <n v="0.68639053254437865"/>
    <n v="38"/>
    <n v="36"/>
    <n v="0.94736842105263153"/>
    <n v="7790.25"/>
    <n v="2262"/>
    <n v="6650"/>
    <n v="16702.25"/>
    <n v="71.99245689655173"/>
  </r>
  <r>
    <d v="2022-10-15T00:00:00"/>
    <x v="0"/>
    <n v="10"/>
    <x v="5"/>
    <x v="3"/>
    <n v="222"/>
    <n v="222"/>
    <n v="0"/>
    <n v="11"/>
    <n v="0.77622377622377625"/>
    <n v="38"/>
    <n v="37"/>
    <n v="0.97368421052631582"/>
    <n v="6591.75"/>
    <n v="2164.5"/>
    <n v="6650"/>
    <n v="15406.25"/>
    <n v="69.397522522522522"/>
  </r>
  <r>
    <d v="2022-10-22T00:00:00"/>
    <x v="0"/>
    <n v="10"/>
    <x v="5"/>
    <x v="3"/>
    <n v="246"/>
    <n v="246"/>
    <n v="0"/>
    <n v="13"/>
    <n v="0.72781065088757402"/>
    <n v="38"/>
    <n v="37"/>
    <n v="0.97368421052631582"/>
    <n v="7790.25"/>
    <n v="2398.5"/>
    <n v="6650"/>
    <n v="16838.75"/>
    <n v="68.450203252032523"/>
  </r>
  <r>
    <d v="2022-10-29T00:00:00"/>
    <x v="0"/>
    <n v="10"/>
    <x v="5"/>
    <x v="3"/>
    <n v="244"/>
    <n v="244"/>
    <n v="0"/>
    <n v="13"/>
    <n v="0.72189349112426038"/>
    <n v="38"/>
    <n v="36"/>
    <n v="0.94736842105263153"/>
    <n v="7790.25"/>
    <n v="2379"/>
    <n v="6650"/>
    <n v="16819.25"/>
    <n v="68.931352459016395"/>
  </r>
  <r>
    <d v="2022-11-05T00:00:00"/>
    <x v="0"/>
    <n v="11"/>
    <x v="5"/>
    <x v="3"/>
    <n v="263"/>
    <n v="263"/>
    <n v="0"/>
    <n v="13"/>
    <n v="0.77810650887573962"/>
    <n v="38"/>
    <n v="34"/>
    <n v="0.89473684210526316"/>
    <n v="7790.25"/>
    <n v="2564.25"/>
    <n v="6650"/>
    <n v="17004.5"/>
    <n v="64.655893536121667"/>
  </r>
  <r>
    <d v="2022-11-12T00:00:00"/>
    <x v="0"/>
    <n v="11"/>
    <x v="5"/>
    <x v="3"/>
    <n v="250"/>
    <n v="250"/>
    <n v="0"/>
    <n v="14"/>
    <n v="0.68681318681318682"/>
    <n v="38"/>
    <n v="34"/>
    <n v="0.89473684210526316"/>
    <n v="8389.5"/>
    <n v="2437.5"/>
    <n v="6650"/>
    <n v="17477"/>
    <n v="69.908000000000001"/>
  </r>
  <r>
    <d v="2022-11-19T00:00:00"/>
    <x v="0"/>
    <n v="11"/>
    <x v="5"/>
    <x v="3"/>
    <n v="284"/>
    <n v="280"/>
    <n v="4"/>
    <n v="15"/>
    <n v="0.71794871794871795"/>
    <n v="38"/>
    <n v="37"/>
    <n v="0.97368421052631582"/>
    <n v="8988.75"/>
    <n v="2730"/>
    <n v="6650"/>
    <n v="18368.75"/>
    <n v="65.602678571428569"/>
  </r>
  <r>
    <d v="2022-11-26T00:00:00"/>
    <x v="0"/>
    <n v="11"/>
    <x v="5"/>
    <x v="3"/>
    <n v="303"/>
    <n v="303"/>
    <n v="4"/>
    <n v="15"/>
    <n v="0.77692307692307694"/>
    <n v="38"/>
    <n v="36"/>
    <n v="0.94736842105263153"/>
    <n v="8988.75"/>
    <n v="2954.25"/>
    <n v="6650"/>
    <n v="18593"/>
    <n v="61.363036303630373"/>
  </r>
  <r>
    <d v="2022-12-03T00:00:00"/>
    <x v="0"/>
    <n v="12"/>
    <x v="5"/>
    <x v="3"/>
    <n v="345"/>
    <n v="329"/>
    <n v="20"/>
    <n v="15"/>
    <n v="0.84358974358974359"/>
    <n v="38"/>
    <n v="36"/>
    <n v="0.94736842105263153"/>
    <n v="8988.75"/>
    <n v="3207.75"/>
    <n v="6650"/>
    <n v="18846.5"/>
    <n v="57.284194528875382"/>
  </r>
  <r>
    <d v="2022-12-10T00:00:00"/>
    <x v="0"/>
    <n v="12"/>
    <x v="5"/>
    <x v="3"/>
    <n v="358"/>
    <n v="339"/>
    <n v="39"/>
    <n v="15"/>
    <n v="0.86923076923076925"/>
    <n v="38"/>
    <n v="38"/>
    <n v="1"/>
    <n v="8988.75"/>
    <n v="3305.25"/>
    <n v="6650"/>
    <n v="18944"/>
    <n v="55.882005899705007"/>
  </r>
  <r>
    <d v="2022-12-17T00:00:00"/>
    <x v="0"/>
    <n v="12"/>
    <x v="5"/>
    <x v="3"/>
    <n v="340"/>
    <n v="335"/>
    <n v="44"/>
    <n v="16"/>
    <n v="0.80528846153846156"/>
    <n v="38"/>
    <n v="36"/>
    <n v="0.94736842105263153"/>
    <n v="9588"/>
    <n v="3266.25"/>
    <n v="6650"/>
    <n v="19504.25"/>
    <n v="58.221641791044767"/>
  </r>
  <r>
    <d v="2022-12-24T00:00:00"/>
    <x v="0"/>
    <n v="12"/>
    <x v="5"/>
    <x v="3"/>
    <n v="294"/>
    <n v="322"/>
    <n v="16"/>
    <n v="15"/>
    <n v="0.82564102564102559"/>
    <n v="38"/>
    <n v="37"/>
    <n v="0.97368421052631582"/>
    <n v="8988.75"/>
    <n v="3139.5"/>
    <n v="6650"/>
    <n v="18778.25"/>
    <n v="58.317546583850927"/>
  </r>
  <r>
    <d v="2022-12-31T00:00:00"/>
    <x v="0"/>
    <n v="12"/>
    <x v="5"/>
    <x v="3"/>
    <n v="243"/>
    <n v="259"/>
    <n v="0"/>
    <n v="13"/>
    <n v="0.76627218934911245"/>
    <n v="38"/>
    <n v="35"/>
    <n v="0.92105263157894735"/>
    <n v="7790.25"/>
    <n v="2525.25"/>
    <n v="6650"/>
    <n v="16965.5"/>
    <n v="65.503861003861005"/>
  </r>
  <r>
    <d v="2023-01-07T00:00:00"/>
    <x v="1"/>
    <n v="1"/>
    <x v="5"/>
    <x v="3"/>
    <n v="212"/>
    <n v="212"/>
    <n v="0"/>
    <n v="11"/>
    <n v="0.74125874125874125"/>
    <n v="38"/>
    <n v="38"/>
    <n v="1"/>
    <n v="6591.75"/>
    <n v="2067"/>
    <n v="6650"/>
    <n v="15308.75"/>
    <n v="72.211084905660371"/>
  </r>
  <r>
    <d v="2023-01-14T00:00:00"/>
    <x v="1"/>
    <n v="1"/>
    <x v="5"/>
    <x v="3"/>
    <n v="175"/>
    <n v="175"/>
    <n v="0"/>
    <n v="9"/>
    <n v="0.74786324786324787"/>
    <n v="38"/>
    <n v="35"/>
    <n v="0.92105263157894735"/>
    <n v="5393.25"/>
    <n v="1706.25"/>
    <n v="6650"/>
    <n v="13749.5"/>
    <n v="78.568571428571431"/>
  </r>
  <r>
    <d v="2023-01-21T00:00:00"/>
    <x v="1"/>
    <n v="1"/>
    <x v="5"/>
    <x v="3"/>
    <n v="186"/>
    <n v="186"/>
    <n v="0"/>
    <n v="10"/>
    <n v="0.7153846153846154"/>
    <n v="38"/>
    <n v="34"/>
    <n v="0.89473684210526316"/>
    <n v="5992.5"/>
    <n v="1813.5"/>
    <n v="6650"/>
    <n v="14456"/>
    <n v="77.72043010752688"/>
  </r>
  <r>
    <d v="2023-01-28T00:00:00"/>
    <x v="1"/>
    <n v="1"/>
    <x v="5"/>
    <x v="3"/>
    <n v="195"/>
    <n v="195"/>
    <n v="0"/>
    <n v="10"/>
    <n v="0.75"/>
    <n v="38"/>
    <n v="35"/>
    <n v="0.92105263157894735"/>
    <n v="5992.5"/>
    <n v="1901.25"/>
    <n v="6650"/>
    <n v="14543.75"/>
    <n v="74.583333333333329"/>
  </r>
  <r>
    <d v="2023-02-04T00:00:00"/>
    <x v="1"/>
    <n v="2"/>
    <x v="5"/>
    <x v="3"/>
    <n v="211"/>
    <n v="211"/>
    <n v="0"/>
    <n v="11"/>
    <n v="0.73776223776223782"/>
    <n v="38"/>
    <n v="36"/>
    <n v="0.94736842105263153"/>
    <n v="6591.75"/>
    <n v="2057.25"/>
    <n v="6650"/>
    <n v="15299"/>
    <n v="72.507109004739334"/>
  </r>
  <r>
    <d v="2023-02-11T00:00:00"/>
    <x v="1"/>
    <n v="2"/>
    <x v="5"/>
    <x v="3"/>
    <n v="218"/>
    <n v="218"/>
    <n v="0"/>
    <n v="11"/>
    <n v="0.76223776223776218"/>
    <n v="38"/>
    <n v="35"/>
    <n v="0.92105263157894735"/>
    <n v="6591.75"/>
    <n v="2125.5"/>
    <n v="6650"/>
    <n v="15367.25"/>
    <n v="70.491972477064223"/>
  </r>
  <r>
    <d v="2023-02-18T00:00:00"/>
    <x v="1"/>
    <n v="2"/>
    <x v="5"/>
    <x v="3"/>
    <n v="215"/>
    <n v="215"/>
    <n v="0"/>
    <n v="12"/>
    <n v="0.6891025641025641"/>
    <n v="38"/>
    <n v="36"/>
    <n v="0.94736842105263153"/>
    <n v="7191"/>
    <n v="2096.25"/>
    <n v="6650"/>
    <n v="15937.25"/>
    <n v="74.126744186046508"/>
  </r>
  <r>
    <d v="2023-02-25T00:00:00"/>
    <x v="1"/>
    <n v="2"/>
    <x v="5"/>
    <x v="3"/>
    <n v="204"/>
    <n v="204"/>
    <n v="0"/>
    <n v="10"/>
    <n v="0.7846153846153846"/>
    <n v="38"/>
    <n v="35"/>
    <n v="0.92105263157894735"/>
    <n v="5992.5"/>
    <n v="1989"/>
    <n v="6650"/>
    <n v="14631.5"/>
    <n v="71.723039215686271"/>
  </r>
  <r>
    <d v="2023-03-04T00:00:00"/>
    <x v="1"/>
    <n v="3"/>
    <x v="5"/>
    <x v="3"/>
    <n v="229"/>
    <n v="229"/>
    <n v="0"/>
    <n v="13"/>
    <n v="0.6775147928994083"/>
    <n v="38"/>
    <n v="37"/>
    <n v="0.97368421052631582"/>
    <n v="7790.25"/>
    <n v="2232.75"/>
    <n v="6650"/>
    <n v="16673"/>
    <n v="72.807860262008731"/>
  </r>
  <r>
    <d v="2023-03-11T00:00:00"/>
    <x v="1"/>
    <n v="3"/>
    <x v="5"/>
    <x v="3"/>
    <n v="222"/>
    <n v="222"/>
    <n v="0"/>
    <n v="12"/>
    <n v="0.71153846153846156"/>
    <n v="38"/>
    <n v="36"/>
    <n v="0.94736842105263153"/>
    <n v="7191"/>
    <n v="2164.5"/>
    <n v="6650"/>
    <n v="16005.5"/>
    <n v="72.096846846846844"/>
  </r>
  <r>
    <d v="2023-03-18T00:00:00"/>
    <x v="1"/>
    <n v="3"/>
    <x v="5"/>
    <x v="3"/>
    <n v="234"/>
    <n v="234"/>
    <n v="0"/>
    <n v="12"/>
    <n v="0.75"/>
    <n v="38"/>
    <n v="36"/>
    <n v="0.94736842105263153"/>
    <n v="7191"/>
    <n v="2281.5"/>
    <n v="6650"/>
    <n v="16122.5"/>
    <n v="68.899572649572647"/>
  </r>
  <r>
    <d v="2023-03-25T00:00:00"/>
    <x v="1"/>
    <n v="3"/>
    <x v="5"/>
    <x v="3"/>
    <n v="228"/>
    <n v="228"/>
    <n v="0"/>
    <n v="12"/>
    <n v="0.73076923076923073"/>
    <n v="38"/>
    <n v="37"/>
    <n v="0.97368421052631582"/>
    <n v="7191"/>
    <n v="2223"/>
    <n v="6650"/>
    <n v="16064"/>
    <n v="70.456140350877192"/>
  </r>
  <r>
    <d v="2023-04-01T00:00:00"/>
    <x v="1"/>
    <n v="4"/>
    <x v="5"/>
    <x v="3"/>
    <n v="228"/>
    <n v="228"/>
    <n v="0"/>
    <n v="12"/>
    <n v="0.73076923076923073"/>
    <n v="38"/>
    <n v="38"/>
    <n v="1"/>
    <n v="7191"/>
    <n v="2223"/>
    <n v="6650"/>
    <n v="16064"/>
    <n v="70.456140350877192"/>
  </r>
  <r>
    <d v="2023-04-08T00:00:00"/>
    <x v="1"/>
    <n v="4"/>
    <x v="5"/>
    <x v="3"/>
    <n v="233"/>
    <n v="233"/>
    <n v="0"/>
    <n v="12"/>
    <n v="0.74679487179487181"/>
    <n v="38"/>
    <n v="38"/>
    <n v="1"/>
    <n v="7191"/>
    <n v="2271.75"/>
    <n v="6650"/>
    <n v="16112.75"/>
    <n v="69.153433476394852"/>
  </r>
  <r>
    <d v="2023-04-15T00:00:00"/>
    <x v="1"/>
    <n v="4"/>
    <x v="5"/>
    <x v="3"/>
    <n v="232"/>
    <n v="232"/>
    <n v="0"/>
    <n v="11"/>
    <n v="0.81118881118881114"/>
    <n v="38"/>
    <n v="36"/>
    <n v="0.94736842105263153"/>
    <n v="6591.75"/>
    <n v="2262"/>
    <n v="6650"/>
    <n v="15503.75"/>
    <n v="66.826508620689651"/>
  </r>
  <r>
    <d v="2023-04-22T00:00:00"/>
    <x v="1"/>
    <n v="4"/>
    <x v="5"/>
    <x v="3"/>
    <n v="243"/>
    <n v="243"/>
    <n v="0"/>
    <n v="12"/>
    <n v="0.77884615384615385"/>
    <n v="38"/>
    <n v="38"/>
    <n v="1"/>
    <n v="7191"/>
    <n v="2369.25"/>
    <n v="6650"/>
    <n v="16210.25"/>
    <n v="66.708847736625515"/>
  </r>
  <r>
    <d v="2023-04-29T00:00:00"/>
    <x v="1"/>
    <n v="4"/>
    <x v="5"/>
    <x v="3"/>
    <n v="227"/>
    <n v="227"/>
    <n v="0"/>
    <n v="12"/>
    <n v="0.72756410256410253"/>
    <n v="38"/>
    <n v="36"/>
    <n v="0.94736842105263153"/>
    <n v="7191"/>
    <n v="2213.25"/>
    <n v="6650"/>
    <n v="16054.25"/>
    <n v="70.723568281938327"/>
  </r>
  <r>
    <d v="2023-05-06T00:00:00"/>
    <x v="1"/>
    <n v="5"/>
    <x v="5"/>
    <x v="3"/>
    <n v="245"/>
    <n v="245"/>
    <n v="0"/>
    <n v="13"/>
    <n v="0.7248520710059172"/>
    <n v="38"/>
    <n v="35"/>
    <n v="0.92105263157894735"/>
    <n v="7790.25"/>
    <n v="2388.75"/>
    <n v="6650"/>
    <n v="16829"/>
    <n v="68.689795918367352"/>
  </r>
  <r>
    <d v="2023-05-13T00:00:00"/>
    <x v="1"/>
    <n v="5"/>
    <x v="5"/>
    <x v="3"/>
    <n v="240"/>
    <n v="240"/>
    <n v="0"/>
    <n v="13"/>
    <n v="0.7100591715976331"/>
    <n v="38"/>
    <n v="34"/>
    <n v="0.89473684210526316"/>
    <n v="7790.25"/>
    <n v="2340"/>
    <n v="6650"/>
    <n v="16780.25"/>
    <n v="69.917708333333337"/>
  </r>
  <r>
    <d v="2023-05-20T00:00:00"/>
    <x v="1"/>
    <n v="5"/>
    <x v="5"/>
    <x v="3"/>
    <n v="245"/>
    <n v="245"/>
    <n v="0"/>
    <n v="12"/>
    <n v="0.78525641025641024"/>
    <n v="38"/>
    <n v="36"/>
    <n v="0.94736842105263153"/>
    <n v="7191"/>
    <n v="2388.75"/>
    <n v="6650"/>
    <n v="16229.75"/>
    <n v="66.243877551020404"/>
  </r>
  <r>
    <d v="2023-05-27T00:00:00"/>
    <x v="1"/>
    <n v="5"/>
    <x v="5"/>
    <x v="3"/>
    <n v="238"/>
    <n v="238"/>
    <n v="0"/>
    <n v="13"/>
    <n v="0.70414201183431957"/>
    <n v="38"/>
    <n v="31"/>
    <n v="0.81578947368421051"/>
    <n v="7790.25"/>
    <n v="2320.5"/>
    <n v="6650"/>
    <n v="16760.75"/>
    <n v="70.423319327731093"/>
  </r>
  <r>
    <d v="2023-06-03T00:00:00"/>
    <x v="1"/>
    <n v="6"/>
    <x v="5"/>
    <x v="3"/>
    <n v="230"/>
    <n v="230"/>
    <n v="0"/>
    <n v="11"/>
    <n v="0.80419580419580416"/>
    <n v="38"/>
    <n v="36"/>
    <n v="0.94736842105263153"/>
    <n v="6591.75"/>
    <n v="2242.5"/>
    <n v="6650"/>
    <n v="15484.25"/>
    <n v="67.322826086956525"/>
  </r>
  <r>
    <d v="2023-06-10T00:00:00"/>
    <x v="1"/>
    <n v="6"/>
    <x v="5"/>
    <x v="3"/>
    <n v="236"/>
    <n v="236"/>
    <n v="0"/>
    <n v="12"/>
    <n v="0.75641025641025639"/>
    <n v="38"/>
    <n v="38"/>
    <n v="1"/>
    <n v="7191"/>
    <n v="2301"/>
    <n v="6650"/>
    <n v="16142"/>
    <n v="68.398305084745758"/>
  </r>
  <r>
    <d v="2023-06-17T00:00:00"/>
    <x v="1"/>
    <n v="6"/>
    <x v="5"/>
    <x v="3"/>
    <n v="238"/>
    <n v="238"/>
    <n v="0"/>
    <n v="13"/>
    <n v="0.70414201183431957"/>
    <n v="38"/>
    <n v="38"/>
    <n v="1"/>
    <n v="7790.25"/>
    <n v="2320.5"/>
    <n v="6650"/>
    <n v="16760.75"/>
    <n v="70.423319327731093"/>
  </r>
  <r>
    <d v="2023-06-24T00:00:00"/>
    <x v="1"/>
    <n v="6"/>
    <x v="5"/>
    <x v="3"/>
    <n v="236"/>
    <n v="236"/>
    <n v="0"/>
    <n v="11"/>
    <n v="0.82517482517482521"/>
    <n v="38"/>
    <n v="36"/>
    <n v="0.94736842105263153"/>
    <n v="6591.75"/>
    <n v="2301"/>
    <n v="6650"/>
    <n v="15542.75"/>
    <n v="65.85911016949153"/>
  </r>
  <r>
    <d v="2023-07-01T00:00:00"/>
    <x v="1"/>
    <n v="7"/>
    <x v="5"/>
    <x v="3"/>
    <n v="225"/>
    <n v="225"/>
    <n v="0"/>
    <n v="11"/>
    <n v="0.78671328671328666"/>
    <n v="38"/>
    <n v="36"/>
    <n v="0.94736842105263153"/>
    <n v="6591.75"/>
    <n v="2193.75"/>
    <n v="6650"/>
    <n v="15435.5"/>
    <n v="68.602222222222224"/>
  </r>
  <r>
    <d v="2023-07-08T00:00:00"/>
    <x v="1"/>
    <n v="7"/>
    <x v="5"/>
    <x v="3"/>
    <n v="231"/>
    <n v="231"/>
    <n v="0"/>
    <n v="12"/>
    <n v="0.74038461538461542"/>
    <n v="38"/>
    <n v="38"/>
    <n v="1"/>
    <n v="7191"/>
    <n v="2252.25"/>
    <n v="6650"/>
    <n v="16093.25"/>
    <n v="69.667748917748924"/>
  </r>
  <r>
    <d v="2023-07-15T00:00:00"/>
    <x v="1"/>
    <n v="7"/>
    <x v="5"/>
    <x v="3"/>
    <n v="232"/>
    <n v="232"/>
    <n v="0"/>
    <n v="13"/>
    <n v="0.68639053254437865"/>
    <n v="38"/>
    <n v="33"/>
    <n v="0.86842105263157898"/>
    <n v="7790.25"/>
    <n v="2262"/>
    <n v="6650"/>
    <n v="16702.25"/>
    <n v="71.99245689655173"/>
  </r>
  <r>
    <d v="2023-07-22T00:00:00"/>
    <x v="1"/>
    <n v="7"/>
    <x v="5"/>
    <x v="3"/>
    <n v="240"/>
    <n v="240"/>
    <n v="0"/>
    <n v="12"/>
    <n v="0.76923076923076927"/>
    <n v="38"/>
    <n v="37"/>
    <n v="0.97368421052631582"/>
    <n v="7191"/>
    <n v="2340"/>
    <n v="6650"/>
    <n v="16181"/>
    <n v="67.420833333333334"/>
  </r>
  <r>
    <d v="2023-07-29T00:00:00"/>
    <x v="1"/>
    <n v="7"/>
    <x v="5"/>
    <x v="3"/>
    <n v="242"/>
    <n v="242"/>
    <n v="0"/>
    <n v="12"/>
    <n v="0.77564102564102566"/>
    <n v="38"/>
    <n v="38"/>
    <n v="1"/>
    <n v="7191"/>
    <n v="2359.5"/>
    <n v="6650"/>
    <n v="16200.5"/>
    <n v="66.944214876033058"/>
  </r>
  <r>
    <d v="2023-08-05T00:00:00"/>
    <x v="1"/>
    <n v="8"/>
    <x v="5"/>
    <x v="3"/>
    <n v="239"/>
    <n v="239"/>
    <n v="0"/>
    <n v="12"/>
    <n v="0.76602564102564108"/>
    <n v="38"/>
    <n v="37"/>
    <n v="0.97368421052631582"/>
    <n v="7191"/>
    <n v="2330.25"/>
    <n v="6650"/>
    <n v="16171.25"/>
    <n v="67.662133891213387"/>
  </r>
  <r>
    <d v="2023-08-12T00:00:00"/>
    <x v="1"/>
    <n v="8"/>
    <x v="5"/>
    <x v="3"/>
    <n v="253"/>
    <n v="253"/>
    <n v="0"/>
    <n v="13"/>
    <n v="0.74852071005917165"/>
    <n v="38"/>
    <n v="37"/>
    <n v="0.97368421052631582"/>
    <n v="7790.25"/>
    <n v="2466.75"/>
    <n v="6650"/>
    <n v="16907"/>
    <n v="66.826086956521735"/>
  </r>
  <r>
    <d v="2023-08-19T00:00:00"/>
    <x v="1"/>
    <n v="8"/>
    <x v="5"/>
    <x v="3"/>
    <n v="239"/>
    <n v="239"/>
    <n v="0"/>
    <n v="13"/>
    <n v="0.70710059171597628"/>
    <n v="38"/>
    <n v="37"/>
    <n v="0.97368421052631582"/>
    <n v="7790.25"/>
    <n v="2330.25"/>
    <n v="6650"/>
    <n v="16770.5"/>
    <n v="70.169456066945614"/>
  </r>
  <r>
    <d v="2023-08-26T00:00:00"/>
    <x v="1"/>
    <n v="8"/>
    <x v="5"/>
    <x v="3"/>
    <n v="238"/>
    <n v="238"/>
    <n v="0"/>
    <n v="13"/>
    <n v="0.70414201183431957"/>
    <n v="38"/>
    <n v="37"/>
    <n v="0.97368421052631582"/>
    <n v="7790.25"/>
    <n v="2320.5"/>
    <n v="6650"/>
    <n v="16760.75"/>
    <n v="70.423319327731093"/>
  </r>
  <r>
    <d v="2023-09-02T00:00:00"/>
    <x v="1"/>
    <n v="9"/>
    <x v="5"/>
    <x v="3"/>
    <n v="232"/>
    <n v="232"/>
    <n v="0"/>
    <n v="11"/>
    <n v="0.81118881118881114"/>
    <n v="38"/>
    <n v="36"/>
    <n v="0.94736842105263153"/>
    <n v="6591.75"/>
    <n v="2262"/>
    <n v="6650"/>
    <n v="15503.75"/>
    <n v="66.826508620689651"/>
  </r>
  <r>
    <d v="2023-09-09T00:00:00"/>
    <x v="1"/>
    <n v="9"/>
    <x v="5"/>
    <x v="3"/>
    <n v="235"/>
    <n v="235"/>
    <n v="0"/>
    <n v="13"/>
    <n v="0.69526627218934911"/>
    <n v="38"/>
    <n v="35"/>
    <n v="0.92105263157894735"/>
    <n v="7790.25"/>
    <n v="2291.25"/>
    <n v="6650"/>
    <n v="16731.5"/>
    <n v="71.197872340425533"/>
  </r>
  <r>
    <d v="2023-09-16T00:00:00"/>
    <x v="1"/>
    <n v="9"/>
    <x v="5"/>
    <x v="3"/>
    <n v="221"/>
    <n v="221"/>
    <n v="0"/>
    <n v="11"/>
    <n v="0.77272727272727271"/>
    <n v="38"/>
    <n v="36"/>
    <n v="0.94736842105263153"/>
    <n v="6591.75"/>
    <n v="2154.75"/>
    <n v="6650"/>
    <n v="15396.5"/>
    <n v="69.667420814479641"/>
  </r>
  <r>
    <d v="2023-09-23T00:00:00"/>
    <x v="1"/>
    <n v="9"/>
    <x v="5"/>
    <x v="3"/>
    <n v="228"/>
    <n v="228"/>
    <n v="0"/>
    <n v="11"/>
    <n v="0.79720279720279719"/>
    <n v="38"/>
    <n v="35"/>
    <n v="0.92105263157894735"/>
    <n v="6591.75"/>
    <n v="2223"/>
    <n v="6650"/>
    <n v="15464.75"/>
    <n v="67.827850877192986"/>
  </r>
  <r>
    <d v="2023-09-30T00:00:00"/>
    <x v="1"/>
    <n v="9"/>
    <x v="5"/>
    <x v="3"/>
    <n v="217"/>
    <n v="217"/>
    <n v="0"/>
    <n v="11"/>
    <n v="0.75874125874125875"/>
    <n v="38"/>
    <n v="36"/>
    <n v="0.94736842105263153"/>
    <n v="6591.75"/>
    <n v="2115.75"/>
    <n v="6650"/>
    <n v="15357.5"/>
    <n v="70.771889400921665"/>
  </r>
  <r>
    <d v="2023-10-07T00:00:00"/>
    <x v="1"/>
    <n v="10"/>
    <x v="5"/>
    <x v="3"/>
    <n v="222"/>
    <n v="222"/>
    <n v="0"/>
    <n v="12"/>
    <n v="0.71153846153846156"/>
    <n v="38"/>
    <n v="33"/>
    <n v="0.86842105263157898"/>
    <n v="7191"/>
    <n v="2164.5"/>
    <n v="6650"/>
    <n v="16005.5"/>
    <n v="72.096846846846844"/>
  </r>
  <r>
    <d v="2023-10-14T00:00:00"/>
    <x v="1"/>
    <n v="10"/>
    <x v="5"/>
    <x v="3"/>
    <n v="222"/>
    <n v="222"/>
    <n v="0"/>
    <n v="13"/>
    <n v="0.65680473372781067"/>
    <n v="38"/>
    <n v="37"/>
    <n v="0.97368421052631582"/>
    <n v="7790.25"/>
    <n v="2164.5"/>
    <n v="6650"/>
    <n v="16604.75"/>
    <n v="74.796171171171167"/>
  </r>
  <r>
    <d v="2023-10-21T00:00:00"/>
    <x v="1"/>
    <n v="10"/>
    <x v="5"/>
    <x v="3"/>
    <n v="237"/>
    <n v="237"/>
    <n v="0"/>
    <n v="12"/>
    <n v="0.75961538461538458"/>
    <n v="38"/>
    <n v="35"/>
    <n v="0.92105263157894735"/>
    <n v="7191"/>
    <n v="2310.75"/>
    <n v="6650"/>
    <n v="16151.75"/>
    <n v="68.150843881856545"/>
  </r>
  <r>
    <d v="2023-10-28T00:00:00"/>
    <x v="1"/>
    <n v="10"/>
    <x v="5"/>
    <x v="3"/>
    <n v="247"/>
    <n v="247"/>
    <n v="0"/>
    <n v="12"/>
    <n v="0.79166666666666663"/>
    <n v="38"/>
    <n v="34"/>
    <n v="0.89473684210526316"/>
    <n v="7191"/>
    <n v="2408.25"/>
    <n v="6650"/>
    <n v="16249.25"/>
    <n v="65.786437246963558"/>
  </r>
  <r>
    <d v="2023-11-04T00:00:00"/>
    <x v="1"/>
    <n v="11"/>
    <x v="5"/>
    <x v="3"/>
    <n v="259"/>
    <n v="259"/>
    <n v="0"/>
    <n v="13"/>
    <n v="0.76627218934911245"/>
    <n v="38"/>
    <n v="37"/>
    <n v="0.97368421052631582"/>
    <n v="7790.25"/>
    <n v="2525.25"/>
    <n v="6650"/>
    <n v="16965.5"/>
    <n v="65.503861003861005"/>
  </r>
  <r>
    <d v="2023-11-11T00:00:00"/>
    <x v="1"/>
    <n v="11"/>
    <x v="5"/>
    <x v="3"/>
    <n v="270"/>
    <n v="270"/>
    <n v="0"/>
    <n v="14"/>
    <n v="0.74175824175824179"/>
    <n v="38"/>
    <n v="36"/>
    <n v="0.94736842105263153"/>
    <n v="8389.5"/>
    <n v="2632.5"/>
    <n v="6650"/>
    <n v="17672"/>
    <n v="65.451851851851856"/>
  </r>
  <r>
    <d v="2023-11-18T00:00:00"/>
    <x v="1"/>
    <n v="11"/>
    <x v="5"/>
    <x v="3"/>
    <n v="294"/>
    <n v="294"/>
    <n v="0"/>
    <n v="15"/>
    <n v="0.75384615384615383"/>
    <n v="38"/>
    <n v="35"/>
    <n v="0.92105263157894735"/>
    <n v="8988.75"/>
    <n v="2866.5"/>
    <n v="6650"/>
    <n v="18505.25"/>
    <n v="62.943027210884352"/>
  </r>
  <r>
    <d v="2023-11-25T00:00:00"/>
    <x v="1"/>
    <n v="11"/>
    <x v="5"/>
    <x v="3"/>
    <n v="315"/>
    <n v="308"/>
    <n v="7"/>
    <n v="15"/>
    <n v="0.78974358974358971"/>
    <n v="38"/>
    <n v="37"/>
    <n v="0.97368421052631582"/>
    <n v="8988.75"/>
    <n v="3003"/>
    <n v="6650"/>
    <n v="18641.75"/>
    <n v="60.525162337662337"/>
  </r>
  <r>
    <d v="2023-12-02T00:00:00"/>
    <x v="1"/>
    <n v="12"/>
    <x v="5"/>
    <x v="3"/>
    <n v="339"/>
    <n v="330"/>
    <n v="16"/>
    <n v="15"/>
    <n v="0.84615384615384615"/>
    <n v="38"/>
    <n v="32"/>
    <n v="0.84210526315789469"/>
    <n v="8988.75"/>
    <n v="3217.5"/>
    <n v="6650"/>
    <n v="18856.25"/>
    <n v="57.140151515151523"/>
  </r>
  <r>
    <d v="2023-12-09T00:00:00"/>
    <x v="1"/>
    <n v="12"/>
    <x v="5"/>
    <x v="3"/>
    <n v="358"/>
    <n v="339"/>
    <n v="35"/>
    <n v="16"/>
    <n v="0.81490384615384615"/>
    <n v="38"/>
    <n v="37"/>
    <n v="0.97368421052631582"/>
    <n v="9588"/>
    <n v="3305.25"/>
    <n v="6650"/>
    <n v="19543.25"/>
    <n v="57.649705014749273"/>
  </r>
  <r>
    <d v="2023-12-16T00:00:00"/>
    <x v="1"/>
    <n v="12"/>
    <x v="5"/>
    <x v="3"/>
    <n v="348"/>
    <n v="340"/>
    <n v="43"/>
    <n v="16"/>
    <n v="0.81730769230769229"/>
    <n v="38"/>
    <n v="36"/>
    <n v="0.94736842105263153"/>
    <n v="9588"/>
    <n v="3315"/>
    <n v="6650"/>
    <n v="19553"/>
    <n v="57.508823529411757"/>
  </r>
  <r>
    <d v="2023-12-23T00:00:00"/>
    <x v="1"/>
    <n v="12"/>
    <x v="5"/>
    <x v="3"/>
    <n v="319"/>
    <n v="328"/>
    <n v="34"/>
    <n v="16"/>
    <n v="0.78846153846153844"/>
    <n v="38"/>
    <n v="36"/>
    <n v="0.94736842105263153"/>
    <n v="9588"/>
    <n v="3198"/>
    <n v="6650"/>
    <n v="19436"/>
    <n v="59.256097560975611"/>
  </r>
  <r>
    <d v="2023-12-30T00:00:00"/>
    <x v="1"/>
    <n v="12"/>
    <x v="5"/>
    <x v="3"/>
    <n v="258"/>
    <n v="287"/>
    <n v="5"/>
    <n v="15"/>
    <n v="0.73589743589743595"/>
    <n v="38"/>
    <n v="34"/>
    <n v="0.89473684210526316"/>
    <n v="8988.75"/>
    <n v="2798.25"/>
    <n v="6650"/>
    <n v="18437"/>
    <n v="64.240418118466906"/>
  </r>
  <r>
    <d v="2024-01-06T00:00:00"/>
    <x v="2"/>
    <n v="1"/>
    <x v="5"/>
    <x v="3"/>
    <n v="219"/>
    <n v="224"/>
    <n v="0"/>
    <n v="12"/>
    <n v="0.71794871794871795"/>
    <n v="38"/>
    <n v="37"/>
    <n v="0.97368421052631582"/>
    <n v="7191"/>
    <n v="2184"/>
    <n v="6650"/>
    <n v="16025"/>
    <n v="71.540178571428569"/>
  </r>
  <r>
    <d v="2024-01-13T00:00:00"/>
    <x v="2"/>
    <n v="1"/>
    <x v="5"/>
    <x v="3"/>
    <n v="178"/>
    <n v="178"/>
    <n v="0"/>
    <n v="10"/>
    <n v="0.68461538461538463"/>
    <n v="38"/>
    <n v="37"/>
    <n v="0.97368421052631582"/>
    <n v="5992.5"/>
    <n v="1735.5"/>
    <n v="6650"/>
    <n v="14378"/>
    <n v="80.775280898876403"/>
  </r>
  <r>
    <d v="2024-01-20T00:00:00"/>
    <x v="2"/>
    <n v="1"/>
    <x v="5"/>
    <x v="3"/>
    <n v="193"/>
    <n v="193"/>
    <n v="0"/>
    <n v="11"/>
    <n v="0.67482517482517479"/>
    <n v="38"/>
    <n v="37"/>
    <n v="0.97368421052631582"/>
    <n v="6591.75"/>
    <n v="1881.75"/>
    <n v="6650"/>
    <n v="15123.5"/>
    <n v="78.360103626943001"/>
  </r>
  <r>
    <d v="2024-01-27T00:00:00"/>
    <x v="2"/>
    <n v="1"/>
    <x v="5"/>
    <x v="3"/>
    <n v="205"/>
    <n v="205"/>
    <n v="0"/>
    <n v="10"/>
    <n v="0.78846153846153844"/>
    <n v="38"/>
    <n v="36"/>
    <n v="0.94736842105263153"/>
    <n v="5992.5"/>
    <n v="1998.75"/>
    <n v="6650"/>
    <n v="14641.25"/>
    <n v="71.420731707317074"/>
  </r>
  <r>
    <d v="2024-02-03T00:00:00"/>
    <x v="2"/>
    <n v="2"/>
    <x v="5"/>
    <x v="3"/>
    <n v="210"/>
    <n v="210"/>
    <n v="0"/>
    <n v="10"/>
    <n v="0.80769230769230771"/>
    <n v="38"/>
    <n v="36"/>
    <n v="0.94736842105263153"/>
    <n v="5992.5"/>
    <n v="2047.5"/>
    <n v="6650"/>
    <n v="14690"/>
    <n v="69.952380952380949"/>
  </r>
  <r>
    <d v="2024-02-10T00:00:00"/>
    <x v="2"/>
    <n v="2"/>
    <x v="5"/>
    <x v="3"/>
    <n v="219"/>
    <n v="219"/>
    <n v="0"/>
    <n v="11"/>
    <n v="0.76573426573426573"/>
    <n v="38"/>
    <n v="36"/>
    <n v="0.94736842105263153"/>
    <n v="6591.75"/>
    <n v="2135.25"/>
    <n v="6650"/>
    <n v="15377"/>
    <n v="70.214611872146122"/>
  </r>
  <r>
    <d v="2024-02-17T00:00:00"/>
    <x v="2"/>
    <n v="2"/>
    <x v="5"/>
    <x v="3"/>
    <n v="221"/>
    <n v="221"/>
    <n v="0"/>
    <n v="12"/>
    <n v="0.70833333333333337"/>
    <n v="38"/>
    <n v="37"/>
    <n v="0.97368421052631582"/>
    <n v="7191"/>
    <n v="2154.75"/>
    <n v="6650"/>
    <n v="15995.75"/>
    <n v="72.378959276018094"/>
  </r>
  <r>
    <d v="2024-02-24T00:00:00"/>
    <x v="2"/>
    <n v="2"/>
    <x v="5"/>
    <x v="3"/>
    <n v="223"/>
    <n v="223"/>
    <n v="0"/>
    <n v="12"/>
    <n v="0.71474358974358976"/>
    <n v="38"/>
    <n v="36"/>
    <n v="0.94736842105263153"/>
    <n v="7191"/>
    <n v="2174.25"/>
    <n v="6650"/>
    <n v="16015.25"/>
    <n v="71.817264573991025"/>
  </r>
  <r>
    <d v="2024-03-02T00:00:00"/>
    <x v="2"/>
    <n v="3"/>
    <x v="5"/>
    <x v="3"/>
    <n v="231"/>
    <n v="231"/>
    <n v="0"/>
    <n v="11"/>
    <n v="0.80769230769230771"/>
    <n v="38"/>
    <n v="35"/>
    <n v="0.92105263157894735"/>
    <n v="6591.75"/>
    <n v="2252.25"/>
    <n v="6650"/>
    <n v="15494"/>
    <n v="67.073593073593074"/>
  </r>
  <r>
    <d v="2024-03-09T00:00:00"/>
    <x v="2"/>
    <n v="3"/>
    <x v="5"/>
    <x v="3"/>
    <n v="241"/>
    <n v="241"/>
    <n v="0"/>
    <n v="12"/>
    <n v="0.77243589743589747"/>
    <n v="38"/>
    <n v="38"/>
    <n v="1"/>
    <n v="7191"/>
    <n v="2349.75"/>
    <n v="6650"/>
    <n v="16190.75"/>
    <n v="67.181535269709542"/>
  </r>
  <r>
    <d v="2024-03-16T00:00:00"/>
    <x v="2"/>
    <n v="3"/>
    <x v="5"/>
    <x v="3"/>
    <n v="231"/>
    <n v="231"/>
    <n v="0"/>
    <n v="11"/>
    <n v="0.80769230769230771"/>
    <n v="38"/>
    <n v="37"/>
    <n v="0.97368421052631582"/>
    <n v="6591.75"/>
    <n v="2252.25"/>
    <n v="6650"/>
    <n v="15494"/>
    <n v="67.073593073593074"/>
  </r>
  <r>
    <d v="2024-03-23T00:00:00"/>
    <x v="2"/>
    <n v="3"/>
    <x v="5"/>
    <x v="3"/>
    <n v="223"/>
    <n v="223"/>
    <n v="0"/>
    <n v="11"/>
    <n v="0.77972027972027969"/>
    <n v="38"/>
    <n v="36"/>
    <n v="0.94736842105263153"/>
    <n v="6591.75"/>
    <n v="2174.25"/>
    <n v="6650"/>
    <n v="15416"/>
    <n v="69.130044843049333"/>
  </r>
  <r>
    <d v="2024-03-30T00:00:00"/>
    <x v="2"/>
    <n v="3"/>
    <x v="5"/>
    <x v="3"/>
    <n v="235"/>
    <n v="235"/>
    <n v="0"/>
    <n v="13"/>
    <n v="0.69526627218934911"/>
    <n v="38"/>
    <n v="36"/>
    <n v="0.94736842105263153"/>
    <n v="7790.25"/>
    <n v="2291.25"/>
    <n v="6650"/>
    <n v="16731.5"/>
    <n v="71.197872340425533"/>
  </r>
  <r>
    <d v="2024-04-06T00:00:00"/>
    <x v="2"/>
    <n v="4"/>
    <x v="5"/>
    <x v="3"/>
    <n v="238"/>
    <n v="238"/>
    <n v="0"/>
    <n v="12"/>
    <n v="0.76282051282051277"/>
    <n v="38"/>
    <n v="35"/>
    <n v="0.92105263157894735"/>
    <n v="7191"/>
    <n v="2320.5"/>
    <n v="6650"/>
    <n v="16161.5"/>
    <n v="67.905462184873954"/>
  </r>
  <r>
    <d v="2024-04-13T00:00:00"/>
    <x v="2"/>
    <n v="4"/>
    <x v="5"/>
    <x v="3"/>
    <n v="219"/>
    <n v="219"/>
    <n v="0"/>
    <n v="12"/>
    <n v="0.70192307692307687"/>
    <n v="38"/>
    <n v="38"/>
    <n v="1"/>
    <n v="7191"/>
    <n v="2135.25"/>
    <n v="6650"/>
    <n v="15976.25"/>
    <n v="72.950913242009136"/>
  </r>
  <r>
    <d v="2024-04-20T00:00:00"/>
    <x v="2"/>
    <n v="4"/>
    <x v="5"/>
    <x v="3"/>
    <n v="237"/>
    <n v="237"/>
    <n v="0"/>
    <n v="13"/>
    <n v="0.70118343195266275"/>
    <n v="38"/>
    <n v="36"/>
    <n v="0.94736842105263153"/>
    <n v="7790.25"/>
    <n v="2310.75"/>
    <n v="6650"/>
    <n v="16751"/>
    <n v="70.679324894514764"/>
  </r>
  <r>
    <d v="2024-04-27T00:00:00"/>
    <x v="2"/>
    <n v="4"/>
    <x v="5"/>
    <x v="3"/>
    <n v="242"/>
    <n v="242"/>
    <n v="0"/>
    <n v="13"/>
    <n v="0.71597633136094674"/>
    <n v="38"/>
    <n v="37"/>
    <n v="0.97368421052631582"/>
    <n v="7790.25"/>
    <n v="2359.5"/>
    <n v="6650"/>
    <n v="16799.75"/>
    <n v="69.420454545454547"/>
  </r>
  <r>
    <d v="2024-05-04T00:00:00"/>
    <x v="2"/>
    <n v="5"/>
    <x v="5"/>
    <x v="3"/>
    <n v="251"/>
    <n v="251"/>
    <n v="0"/>
    <n v="13"/>
    <n v="0.74260355029585801"/>
    <n v="38"/>
    <n v="33"/>
    <n v="0.86842105263157898"/>
    <n v="7790.25"/>
    <n v="2447.25"/>
    <n v="6650"/>
    <n v="16887.5"/>
    <n v="67.2808764940239"/>
  </r>
  <r>
    <d v="2024-05-11T00:00:00"/>
    <x v="2"/>
    <n v="5"/>
    <x v="5"/>
    <x v="3"/>
    <n v="250"/>
    <n v="250"/>
    <n v="0"/>
    <n v="13"/>
    <n v="0.73964497041420119"/>
    <n v="38"/>
    <n v="38"/>
    <n v="1"/>
    <n v="7790.25"/>
    <n v="2437.5"/>
    <n v="6650"/>
    <n v="16877.75"/>
    <n v="67.510999999999996"/>
  </r>
  <r>
    <d v="2024-05-18T00:00:00"/>
    <x v="2"/>
    <n v="5"/>
    <x v="5"/>
    <x v="3"/>
    <n v="264"/>
    <n v="264"/>
    <n v="0"/>
    <n v="14"/>
    <n v="0.72527472527472525"/>
    <n v="38"/>
    <n v="36"/>
    <n v="0.94736842105263153"/>
    <n v="8389.5"/>
    <n v="2574"/>
    <n v="6650"/>
    <n v="17613.5"/>
    <n v="66.717803030303031"/>
  </r>
  <r>
    <d v="2024-05-25T00:00:00"/>
    <x v="2"/>
    <n v="5"/>
    <x v="5"/>
    <x v="3"/>
    <n v="250"/>
    <n v="250"/>
    <n v="0"/>
    <n v="13"/>
    <n v="0.73964497041420119"/>
    <n v="38"/>
    <n v="37"/>
    <n v="0.97368421052631582"/>
    <n v="7790.25"/>
    <n v="2437.5"/>
    <n v="6650"/>
    <n v="16877.75"/>
    <n v="67.510999999999996"/>
  </r>
  <r>
    <d v="2024-06-01T00:00:00"/>
    <x v="2"/>
    <n v="6"/>
    <x v="5"/>
    <x v="3"/>
    <n v="253"/>
    <n v="253"/>
    <n v="0"/>
    <n v="13"/>
    <n v="0.74852071005917165"/>
    <n v="38"/>
    <n v="36"/>
    <n v="0.94736842105263153"/>
    <n v="7790.25"/>
    <n v="2466.75"/>
    <n v="6650"/>
    <n v="16907"/>
    <n v="66.826086956521735"/>
  </r>
  <r>
    <d v="2024-06-08T00:00:00"/>
    <x v="2"/>
    <n v="6"/>
    <x v="5"/>
    <x v="3"/>
    <n v="246"/>
    <n v="246"/>
    <n v="0"/>
    <n v="13"/>
    <n v="0.72781065088757402"/>
    <n v="38"/>
    <n v="36"/>
    <n v="0.94736842105263153"/>
    <n v="7790.25"/>
    <n v="2398.5"/>
    <n v="6650"/>
    <n v="16838.75"/>
    <n v="68.450203252032523"/>
  </r>
  <r>
    <d v="2024-06-15T00:00:00"/>
    <x v="2"/>
    <n v="6"/>
    <x v="5"/>
    <x v="3"/>
    <n v="242"/>
    <n v="242"/>
    <n v="0"/>
    <n v="12"/>
    <n v="0.77564102564102566"/>
    <n v="38"/>
    <n v="36"/>
    <n v="0.94736842105263153"/>
    <n v="7191"/>
    <n v="2359.5"/>
    <n v="6650"/>
    <n v="16200.5"/>
    <n v="66.944214876033058"/>
  </r>
  <r>
    <d v="2024-06-22T00:00:00"/>
    <x v="2"/>
    <n v="6"/>
    <x v="5"/>
    <x v="3"/>
    <n v="241"/>
    <n v="241"/>
    <n v="0"/>
    <n v="13"/>
    <n v="0.71301775147928992"/>
    <n v="38"/>
    <n v="36"/>
    <n v="0.94736842105263153"/>
    <n v="7790.25"/>
    <n v="2349.75"/>
    <n v="6650"/>
    <n v="16790"/>
    <n v="69.668049792531122"/>
  </r>
  <r>
    <d v="2024-06-29T00:00:00"/>
    <x v="2"/>
    <n v="6"/>
    <x v="5"/>
    <x v="3"/>
    <n v="243"/>
    <n v="243"/>
    <n v="0"/>
    <n v="13"/>
    <n v="0.71893491124260356"/>
    <n v="38"/>
    <n v="37"/>
    <n v="0.97368421052631582"/>
    <n v="7790.25"/>
    <n v="2369.25"/>
    <n v="6650"/>
    <n v="16809.5"/>
    <n v="69.174897119341566"/>
  </r>
  <r>
    <d v="2024-07-06T00:00:00"/>
    <x v="2"/>
    <n v="7"/>
    <x v="5"/>
    <x v="3"/>
    <n v="244"/>
    <n v="244"/>
    <n v="0"/>
    <n v="13"/>
    <n v="0.72189349112426038"/>
    <n v="38"/>
    <n v="36"/>
    <n v="0.94736842105263153"/>
    <n v="7790.25"/>
    <n v="2379"/>
    <n v="6650"/>
    <n v="16819.25"/>
    <n v="68.931352459016395"/>
  </r>
  <r>
    <d v="2024-07-13T00:00:00"/>
    <x v="2"/>
    <n v="7"/>
    <x v="5"/>
    <x v="3"/>
    <n v="238"/>
    <n v="238"/>
    <n v="0"/>
    <n v="12"/>
    <n v="0.76282051282051277"/>
    <n v="38"/>
    <n v="38"/>
    <n v="1"/>
    <n v="7191"/>
    <n v="2320.5"/>
    <n v="6650"/>
    <n v="16161.5"/>
    <n v="67.905462184873954"/>
  </r>
  <r>
    <d v="2024-07-20T00:00:00"/>
    <x v="2"/>
    <n v="7"/>
    <x v="5"/>
    <x v="3"/>
    <n v="244"/>
    <n v="244"/>
    <n v="0"/>
    <n v="13"/>
    <n v="0.72189349112426038"/>
    <n v="38"/>
    <n v="35"/>
    <n v="0.92105263157894735"/>
    <n v="7790.25"/>
    <n v="2379"/>
    <n v="6650"/>
    <n v="16819.25"/>
    <n v="68.931352459016395"/>
  </r>
  <r>
    <d v="2024-07-27T00:00:00"/>
    <x v="2"/>
    <n v="7"/>
    <x v="5"/>
    <x v="3"/>
    <n v="241"/>
    <n v="241"/>
    <n v="0"/>
    <n v="13"/>
    <n v="0.71301775147928992"/>
    <n v="38"/>
    <n v="36"/>
    <n v="0.94736842105263153"/>
    <n v="7790.25"/>
    <n v="2349.75"/>
    <n v="6650"/>
    <n v="16790"/>
    <n v="69.668049792531122"/>
  </r>
  <r>
    <d v="2024-08-03T00:00:00"/>
    <x v="2"/>
    <n v="8"/>
    <x v="5"/>
    <x v="3"/>
    <n v="238"/>
    <n v="238"/>
    <n v="0"/>
    <n v="13"/>
    <n v="0.70414201183431957"/>
    <n v="38"/>
    <n v="36"/>
    <n v="0.94736842105263153"/>
    <n v="7790.25"/>
    <n v="2320.5"/>
    <n v="6650"/>
    <n v="16760.75"/>
    <n v="70.423319327731093"/>
  </r>
  <r>
    <d v="2024-08-10T00:00:00"/>
    <x v="2"/>
    <n v="8"/>
    <x v="5"/>
    <x v="3"/>
    <n v="246"/>
    <n v="246"/>
    <n v="0"/>
    <n v="12"/>
    <n v="0.78846153846153844"/>
    <n v="38"/>
    <n v="35"/>
    <n v="0.92105263157894735"/>
    <n v="7191"/>
    <n v="2398.5"/>
    <n v="6650"/>
    <n v="16239.5"/>
    <n v="66.014227642276424"/>
  </r>
  <r>
    <d v="2024-08-17T00:00:00"/>
    <x v="2"/>
    <n v="8"/>
    <x v="5"/>
    <x v="3"/>
    <n v="255"/>
    <n v="255"/>
    <n v="0"/>
    <n v="13"/>
    <n v="0.75443786982248517"/>
    <n v="38"/>
    <n v="35"/>
    <n v="0.92105263157894735"/>
    <n v="7790.25"/>
    <n v="2486.25"/>
    <n v="6650"/>
    <n v="16926.5"/>
    <n v="66.378431372549016"/>
  </r>
  <r>
    <d v="2024-08-24T00:00:00"/>
    <x v="2"/>
    <n v="8"/>
    <x v="5"/>
    <x v="3"/>
    <n v="236"/>
    <n v="236"/>
    <n v="0"/>
    <n v="13"/>
    <n v="0.69822485207100593"/>
    <n v="38"/>
    <n v="37"/>
    <n v="0.97368421052631582"/>
    <n v="7790.25"/>
    <n v="2301"/>
    <n v="6650"/>
    <n v="16741.25"/>
    <n v="70.9375"/>
  </r>
  <r>
    <d v="2024-08-31T00:00:00"/>
    <x v="2"/>
    <n v="8"/>
    <x v="5"/>
    <x v="3"/>
    <n v="232"/>
    <n v="232"/>
    <n v="0"/>
    <n v="13"/>
    <n v="0.68639053254437865"/>
    <n v="38"/>
    <n v="38"/>
    <n v="1"/>
    <n v="7790.25"/>
    <n v="2262"/>
    <n v="6650"/>
    <n v="16702.25"/>
    <n v="71.99245689655173"/>
  </r>
  <r>
    <d v="2024-09-07T00:00:00"/>
    <x v="2"/>
    <n v="9"/>
    <x v="5"/>
    <x v="3"/>
    <n v="222"/>
    <n v="222"/>
    <n v="0"/>
    <n v="12"/>
    <n v="0.71153846153846156"/>
    <n v="38"/>
    <n v="35"/>
    <n v="0.92105263157894735"/>
    <n v="7191"/>
    <n v="2164.5"/>
    <n v="6650"/>
    <n v="16005.5"/>
    <n v="72.096846846846844"/>
  </r>
  <r>
    <d v="2024-09-14T00:00:00"/>
    <x v="2"/>
    <n v="9"/>
    <x v="5"/>
    <x v="3"/>
    <n v="220"/>
    <n v="220"/>
    <n v="0"/>
    <n v="12"/>
    <n v="0.70512820512820518"/>
    <n v="38"/>
    <n v="38"/>
    <n v="1"/>
    <n v="7191"/>
    <n v="2145"/>
    <n v="6650"/>
    <n v="15986"/>
    <n v="72.663636363636357"/>
  </r>
  <r>
    <d v="2024-09-21T00:00:00"/>
    <x v="2"/>
    <n v="9"/>
    <x v="5"/>
    <x v="3"/>
    <n v="226"/>
    <n v="226"/>
    <n v="0"/>
    <n v="12"/>
    <n v="0.72435897435897434"/>
    <n v="38"/>
    <n v="36"/>
    <n v="0.94736842105263153"/>
    <n v="7191"/>
    <n v="2203.5"/>
    <n v="6650"/>
    <n v="16044.5"/>
    <n v="70.993362831858406"/>
  </r>
  <r>
    <d v="2024-09-28T00:00:00"/>
    <x v="2"/>
    <n v="9"/>
    <x v="5"/>
    <x v="3"/>
    <n v="235"/>
    <n v="235"/>
    <n v="0"/>
    <n v="12"/>
    <n v="0.75320512820512819"/>
    <n v="38"/>
    <n v="36"/>
    <n v="0.94736842105263153"/>
    <n v="7191"/>
    <n v="2291.25"/>
    <n v="6650"/>
    <n v="16132.25"/>
    <n v="68.647872340425536"/>
  </r>
  <r>
    <d v="2024-10-05T00:00:00"/>
    <x v="2"/>
    <n v="10"/>
    <x v="5"/>
    <x v="3"/>
    <n v="230"/>
    <n v="230"/>
    <n v="0"/>
    <n v="12"/>
    <n v="0.73717948717948723"/>
    <n v="38"/>
    <n v="38"/>
    <n v="1"/>
    <n v="7191"/>
    <n v="2242.5"/>
    <n v="6650"/>
    <n v="16083.5"/>
    <n v="69.928260869565221"/>
  </r>
  <r>
    <d v="2024-10-12T00:00:00"/>
    <x v="2"/>
    <n v="10"/>
    <x v="5"/>
    <x v="3"/>
    <n v="241"/>
    <n v="241"/>
    <n v="0"/>
    <n v="13"/>
    <n v="0.71301775147928992"/>
    <n v="38"/>
    <n v="34"/>
    <n v="0.89473684210526316"/>
    <n v="7790.25"/>
    <n v="2349.75"/>
    <n v="6650"/>
    <n v="16790"/>
    <n v="69.668049792531122"/>
  </r>
  <r>
    <d v="2024-10-19T00:00:00"/>
    <x v="2"/>
    <n v="10"/>
    <x v="5"/>
    <x v="3"/>
    <n v="245"/>
    <n v="245"/>
    <n v="0"/>
    <n v="13"/>
    <n v="0.7248520710059172"/>
    <n v="38"/>
    <n v="36"/>
    <n v="0.94736842105263153"/>
    <n v="7790.25"/>
    <n v="2388.75"/>
    <n v="6650"/>
    <n v="16829"/>
    <n v="68.689795918367352"/>
  </r>
  <r>
    <d v="2024-10-26T00:00:00"/>
    <x v="2"/>
    <n v="10"/>
    <x v="5"/>
    <x v="3"/>
    <n v="249"/>
    <n v="249"/>
    <n v="0"/>
    <n v="12"/>
    <n v="0.79807692307692313"/>
    <n v="38"/>
    <n v="34"/>
    <n v="0.89473684210526316"/>
    <n v="7191"/>
    <n v="2427.75"/>
    <n v="6650"/>
    <n v="16268.75"/>
    <n v="65.336345381526101"/>
  </r>
  <r>
    <d v="2024-11-02T00:00:00"/>
    <x v="2"/>
    <n v="11"/>
    <x v="5"/>
    <x v="3"/>
    <n v="267"/>
    <n v="267"/>
    <n v="0"/>
    <n v="13"/>
    <n v="0.7899408284023669"/>
    <n v="38"/>
    <n v="38"/>
    <n v="1"/>
    <n v="7790.25"/>
    <n v="2603.25"/>
    <n v="6650"/>
    <n v="17043.5"/>
    <n v="63.833333333333343"/>
  </r>
  <r>
    <d v="2024-11-09T00:00:00"/>
    <x v="2"/>
    <n v="11"/>
    <x v="5"/>
    <x v="3"/>
    <n v="279"/>
    <n v="279"/>
    <n v="0"/>
    <n v="14"/>
    <n v="0.76648351648351654"/>
    <n v="38"/>
    <n v="36"/>
    <n v="0.94736842105263153"/>
    <n v="8389.5"/>
    <n v="2720.25"/>
    <n v="6650"/>
    <n v="17759.75"/>
    <n v="63.655017921146957"/>
  </r>
  <r>
    <d v="2024-11-16T00:00:00"/>
    <x v="2"/>
    <n v="11"/>
    <x v="5"/>
    <x v="3"/>
    <n v="288"/>
    <n v="288"/>
    <n v="0"/>
    <n v="15"/>
    <n v="0.7384615384615385"/>
    <n v="38"/>
    <n v="34"/>
    <n v="0.89473684210526316"/>
    <n v="8988.75"/>
    <n v="2808"/>
    <n v="6650"/>
    <n v="18446.75"/>
    <n v="64.051215277777771"/>
  </r>
  <r>
    <d v="2024-11-23T00:00:00"/>
    <x v="2"/>
    <n v="11"/>
    <x v="5"/>
    <x v="3"/>
    <n v="314"/>
    <n v="312"/>
    <n v="2"/>
    <n v="15"/>
    <n v="0.8"/>
    <n v="38"/>
    <n v="38"/>
    <n v="1"/>
    <n v="8988.75"/>
    <n v="3042"/>
    <n v="6650"/>
    <n v="18680.75"/>
    <n v="59.874198717948723"/>
  </r>
  <r>
    <d v="2024-11-30T00:00:00"/>
    <x v="2"/>
    <n v="11"/>
    <x v="5"/>
    <x v="3"/>
    <n v="344"/>
    <n v="330"/>
    <n v="16"/>
    <n v="15"/>
    <n v="0.84615384615384615"/>
    <n v="38"/>
    <n v="33"/>
    <n v="0.86842105263157898"/>
    <n v="8988.75"/>
    <n v="3217.5"/>
    <n v="6650"/>
    <n v="18856.25"/>
    <n v="57.140151515151523"/>
  </r>
  <r>
    <d v="2024-12-07T00:00:00"/>
    <x v="2"/>
    <n v="12"/>
    <x v="5"/>
    <x v="3"/>
    <n v="351"/>
    <n v="339"/>
    <n v="28"/>
    <n v="16"/>
    <n v="0.81490384615384615"/>
    <n v="38"/>
    <n v="37"/>
    <n v="0.97368421052631582"/>
    <n v="9588"/>
    <n v="3305.25"/>
    <n v="6650"/>
    <n v="19543.25"/>
    <n v="57.649705014749273"/>
  </r>
  <r>
    <d v="2024-12-14T00:00:00"/>
    <x v="2"/>
    <n v="12"/>
    <x v="5"/>
    <x v="3"/>
    <n v="348"/>
    <n v="334"/>
    <n v="42"/>
    <n v="16"/>
    <n v="0.80288461538461542"/>
    <n v="38"/>
    <n v="35"/>
    <n v="0.92105263157894735"/>
    <n v="9588"/>
    <n v="3256.5"/>
    <n v="6650"/>
    <n v="19494.5"/>
    <n v="58.366766467065872"/>
  </r>
  <r>
    <d v="2024-12-21T00:00:00"/>
    <x v="2"/>
    <n v="12"/>
    <x v="5"/>
    <x v="3"/>
    <n v="321"/>
    <n v="329"/>
    <n v="34"/>
    <n v="15"/>
    <n v="0.84358974358974359"/>
    <n v="38"/>
    <n v="36"/>
    <n v="0.94736842105263153"/>
    <n v="8988.75"/>
    <n v="3207.75"/>
    <n v="6650"/>
    <n v="18846.5"/>
    <n v="57.284194528875382"/>
  </r>
  <r>
    <d v="2024-12-28T00:00:00"/>
    <x v="2"/>
    <n v="12"/>
    <x v="5"/>
    <x v="3"/>
    <n v="287"/>
    <n v="310"/>
    <n v="11"/>
    <n v="15"/>
    <n v="0.79487179487179482"/>
    <n v="38"/>
    <n v="36"/>
    <n v="0.94736842105263153"/>
    <n v="8988.75"/>
    <n v="3022.5"/>
    <n v="6650"/>
    <n v="18661.25"/>
    <n v="60.197580645161288"/>
  </r>
  <r>
    <d v="2025-01-04T00:00:00"/>
    <x v="3"/>
    <n v="1"/>
    <x v="5"/>
    <x v="3"/>
    <n v="233"/>
    <n v="243"/>
    <n v="1"/>
    <n v="13"/>
    <n v="0.71893491124260356"/>
    <n v="38"/>
    <n v="35"/>
    <n v="0.92105263157894735"/>
    <n v="7790.25"/>
    <n v="2369.25"/>
    <n v="6650"/>
    <n v="16809.5"/>
    <n v="69.174897119341566"/>
  </r>
  <r>
    <d v="2025-01-11T00:00:00"/>
    <x v="3"/>
    <n v="1"/>
    <x v="5"/>
    <x v="3"/>
    <n v="189"/>
    <n v="190"/>
    <n v="0"/>
    <n v="10"/>
    <n v="0.73076923076923073"/>
    <n v="38"/>
    <n v="36"/>
    <n v="0.94736842105263153"/>
    <n v="5992.5"/>
    <n v="1852.5"/>
    <n v="6650"/>
    <n v="14495"/>
    <n v="76.28947368421052"/>
  </r>
  <r>
    <d v="2025-01-18T00:00:00"/>
    <x v="3"/>
    <n v="1"/>
    <x v="5"/>
    <x v="3"/>
    <n v="188"/>
    <n v="188"/>
    <n v="0"/>
    <n v="10"/>
    <n v="0.72307692307692306"/>
    <n v="38"/>
    <n v="38"/>
    <n v="1"/>
    <n v="5992.5"/>
    <n v="1833"/>
    <n v="6650"/>
    <n v="14475.5"/>
    <n v="76.997340425531917"/>
  </r>
  <r>
    <d v="2025-01-25T00:00:00"/>
    <x v="3"/>
    <n v="1"/>
    <x v="5"/>
    <x v="3"/>
    <n v="196"/>
    <n v="196"/>
    <n v="0"/>
    <n v="10"/>
    <n v="0.75384615384615383"/>
    <n v="38"/>
    <n v="36"/>
    <n v="0.94736842105263153"/>
    <n v="5992.5"/>
    <n v="1911"/>
    <n v="6650"/>
    <n v="14553.5"/>
    <n v="74.252551020408163"/>
  </r>
  <r>
    <d v="2025-02-01T00:00:00"/>
    <x v="3"/>
    <n v="2"/>
    <x v="5"/>
    <x v="3"/>
    <n v="212"/>
    <n v="212"/>
    <n v="0"/>
    <n v="11"/>
    <n v="0.74125874125874125"/>
    <n v="38"/>
    <n v="34"/>
    <n v="0.89473684210526316"/>
    <n v="6591.75"/>
    <n v="2067"/>
    <n v="6650"/>
    <n v="15308.75"/>
    <n v="72.211084905660371"/>
  </r>
  <r>
    <d v="2025-02-08T00:00:00"/>
    <x v="3"/>
    <n v="2"/>
    <x v="5"/>
    <x v="3"/>
    <n v="225"/>
    <n v="225"/>
    <n v="0"/>
    <n v="13"/>
    <n v="0.66568047337278102"/>
    <n v="38"/>
    <n v="38"/>
    <n v="1"/>
    <n v="7790.25"/>
    <n v="2193.75"/>
    <n v="6650"/>
    <n v="16634"/>
    <n v="73.928888888888892"/>
  </r>
  <r>
    <d v="2025-02-15T00:00:00"/>
    <x v="3"/>
    <n v="2"/>
    <x v="5"/>
    <x v="3"/>
    <n v="218"/>
    <n v="218"/>
    <n v="0"/>
    <n v="12"/>
    <n v="0.69871794871794868"/>
    <n v="38"/>
    <n v="36"/>
    <n v="0.94736842105263153"/>
    <n v="7191"/>
    <n v="2125.5"/>
    <n v="6650"/>
    <n v="15966.5"/>
    <n v="73.2408256880734"/>
  </r>
  <r>
    <d v="2025-02-22T00:00:00"/>
    <x v="3"/>
    <n v="2"/>
    <x v="5"/>
    <x v="3"/>
    <n v="232"/>
    <n v="232"/>
    <n v="0"/>
    <n v="13"/>
    <n v="0.68639053254437865"/>
    <n v="38"/>
    <n v="36"/>
    <n v="0.94736842105263153"/>
    <n v="7790.25"/>
    <n v="2262"/>
    <n v="6650"/>
    <n v="16702.25"/>
    <n v="71.99245689655173"/>
  </r>
  <r>
    <d v="2025-03-01T00:00:00"/>
    <x v="3"/>
    <n v="3"/>
    <x v="5"/>
    <x v="3"/>
    <n v="230"/>
    <n v="230"/>
    <n v="0"/>
    <n v="12"/>
    <n v="0.73717948717948723"/>
    <n v="38"/>
    <n v="34"/>
    <n v="0.89473684210526316"/>
    <n v="7191"/>
    <n v="2242.5"/>
    <n v="6650"/>
    <n v="16083.5"/>
    <n v="69.928260869565221"/>
  </r>
  <r>
    <d v="2025-03-08T00:00:00"/>
    <x v="3"/>
    <n v="3"/>
    <x v="5"/>
    <x v="3"/>
    <n v="237"/>
    <n v="237"/>
    <n v="0"/>
    <n v="12"/>
    <n v="0.75961538461538458"/>
    <n v="41"/>
    <n v="39"/>
    <n v="0.95121951219512191"/>
    <n v="7191"/>
    <n v="2310.75"/>
    <n v="7175"/>
    <n v="16676.75"/>
    <n v="70.366033755274259"/>
  </r>
  <r>
    <d v="2025-03-15T00:00:00"/>
    <x v="3"/>
    <n v="3"/>
    <x v="5"/>
    <x v="3"/>
    <n v="238"/>
    <n v="238"/>
    <n v="0"/>
    <n v="12"/>
    <n v="0.76282051282051277"/>
    <n v="41"/>
    <n v="41"/>
    <n v="1"/>
    <n v="7191"/>
    <n v="2320.5"/>
    <n v="7175"/>
    <n v="16686.5"/>
    <n v="70.111344537815128"/>
  </r>
  <r>
    <d v="2025-03-22T00:00:00"/>
    <x v="3"/>
    <n v="3"/>
    <x v="5"/>
    <x v="3"/>
    <n v="241"/>
    <n v="241"/>
    <n v="0"/>
    <n v="13"/>
    <n v="0.71301775147928992"/>
    <n v="41"/>
    <n v="41"/>
    <n v="1"/>
    <n v="7790.25"/>
    <n v="2349.75"/>
    <n v="7175"/>
    <n v="17315"/>
    <n v="71.84647302904564"/>
  </r>
  <r>
    <d v="2025-03-29T00:00:00"/>
    <x v="3"/>
    <n v="3"/>
    <x v="5"/>
    <x v="3"/>
    <n v="251"/>
    <n v="251"/>
    <n v="0"/>
    <n v="12"/>
    <n v="0.80448717948717952"/>
    <n v="41"/>
    <n v="40"/>
    <n v="0.97560975609756095"/>
    <n v="7191"/>
    <n v="2447.25"/>
    <n v="7175"/>
    <n v="16813.25"/>
    <n v="66.985059760956176"/>
  </r>
  <r>
    <d v="2025-04-05T00:00:00"/>
    <x v="3"/>
    <n v="4"/>
    <x v="5"/>
    <x v="3"/>
    <n v="257"/>
    <n v="257"/>
    <n v="0"/>
    <n v="14"/>
    <n v="0.70604395604395609"/>
    <n v="41"/>
    <n v="39"/>
    <n v="0.95121951219512191"/>
    <n v="8389.5"/>
    <n v="2505.75"/>
    <n v="7175"/>
    <n v="18070.25"/>
    <n v="70.312256809338521"/>
  </r>
  <r>
    <d v="2025-04-12T00:00:00"/>
    <x v="3"/>
    <n v="4"/>
    <x v="5"/>
    <x v="3"/>
    <n v="271"/>
    <n v="271"/>
    <n v="0"/>
    <n v="13"/>
    <n v="0.80177514792899407"/>
    <n v="41"/>
    <n v="41"/>
    <n v="1"/>
    <n v="7790.25"/>
    <n v="2642.25"/>
    <n v="7175"/>
    <n v="17607.5"/>
    <n v="64.972324723247226"/>
  </r>
  <r>
    <d v="2025-04-19T00:00:00"/>
    <x v="3"/>
    <n v="4"/>
    <x v="5"/>
    <x v="3"/>
    <n v="272"/>
    <n v="272"/>
    <n v="0"/>
    <n v="14"/>
    <n v="0.74725274725274726"/>
    <n v="41"/>
    <n v="40"/>
    <n v="0.97560975609756095"/>
    <n v="8389.5"/>
    <n v="2652"/>
    <n v="7175"/>
    <n v="18216.5"/>
    <n v="66.972426470588232"/>
  </r>
  <r>
    <d v="2025-04-26T00:00:00"/>
    <x v="3"/>
    <n v="4"/>
    <x v="5"/>
    <x v="3"/>
    <n v="260"/>
    <n v="260"/>
    <n v="0"/>
    <n v="14"/>
    <n v="0.7142857142857143"/>
    <n v="41"/>
    <n v="38"/>
    <n v="0.92682926829268297"/>
    <n v="8389.5"/>
    <n v="2535"/>
    <n v="7175"/>
    <n v="18099.5"/>
    <n v="69.613461538461536"/>
  </r>
  <r>
    <d v="2025-05-03T00:00:00"/>
    <x v="3"/>
    <n v="5"/>
    <x v="5"/>
    <x v="3"/>
    <n v="259"/>
    <n v="259"/>
    <n v="0"/>
    <n v="13"/>
    <n v="0.76627218934911245"/>
    <n v="41"/>
    <n v="37"/>
    <n v="0.90243902439024393"/>
    <n v="7790.25"/>
    <n v="2525.25"/>
    <n v="7175"/>
    <n v="17490.5"/>
    <n v="67.530888030888036"/>
  </r>
  <r>
    <d v="2025-05-10T00:00:00"/>
    <x v="3"/>
    <n v="5"/>
    <x v="5"/>
    <x v="3"/>
    <n v="272"/>
    <n v="272"/>
    <n v="0"/>
    <n v="14"/>
    <n v="0.74725274725274726"/>
    <n v="41"/>
    <n v="36"/>
    <n v="0.87804878048780488"/>
    <n v="8389.5"/>
    <n v="2652"/>
    <n v="7175"/>
    <n v="18216.5"/>
    <n v="66.972426470588232"/>
  </r>
  <r>
    <d v="2025-05-17T00:00:00"/>
    <x v="3"/>
    <n v="5"/>
    <x v="5"/>
    <x v="3"/>
    <n v="260"/>
    <n v="260"/>
    <n v="0"/>
    <n v="13"/>
    <n v="0.76923076923076927"/>
    <n v="41"/>
    <n v="41"/>
    <n v="1"/>
    <n v="7790.25"/>
    <n v="2535"/>
    <n v="7175"/>
    <n v="17500.25"/>
    <n v="67.308653846153845"/>
  </r>
  <r>
    <d v="2025-05-24T00:00:00"/>
    <x v="3"/>
    <n v="5"/>
    <x v="5"/>
    <x v="3"/>
    <n v="271"/>
    <n v="271"/>
    <n v="0"/>
    <n v="14"/>
    <n v="0.74450549450549453"/>
    <n v="41"/>
    <n v="40"/>
    <n v="0.97560975609756095"/>
    <n v="8389.5"/>
    <n v="2642.25"/>
    <n v="7175"/>
    <n v="18206.75"/>
    <n v="67.183579335793354"/>
  </r>
  <r>
    <d v="2025-05-31T00:00:00"/>
    <x v="3"/>
    <n v="5"/>
    <x v="5"/>
    <x v="3"/>
    <n v="278"/>
    <n v="278"/>
    <n v="0"/>
    <n v="14"/>
    <n v="0.76373626373626369"/>
    <n v="41"/>
    <n v="40"/>
    <n v="0.97560975609756095"/>
    <n v="8389.5"/>
    <n v="2710.5"/>
    <n v="7175"/>
    <n v="18275"/>
    <n v="65.737410071942449"/>
  </r>
  <r>
    <d v="2025-06-07T00:00:00"/>
    <x v="3"/>
    <n v="6"/>
    <x v="5"/>
    <x v="3"/>
    <n v="267"/>
    <n v="267"/>
    <n v="0"/>
    <n v="14"/>
    <n v="0.73351648351648346"/>
    <n v="41"/>
    <n v="39"/>
    <n v="0.95121951219512191"/>
    <n v="8389.5"/>
    <n v="2603.25"/>
    <n v="7175"/>
    <n v="18167.75"/>
    <n v="68.044007490636702"/>
  </r>
  <r>
    <d v="2025-06-14T00:00:00"/>
    <x v="3"/>
    <n v="6"/>
    <x v="5"/>
    <x v="3"/>
    <n v="261"/>
    <n v="261"/>
    <n v="0"/>
    <n v="15"/>
    <n v="0.66923076923076918"/>
    <n v="41"/>
    <n v="38"/>
    <n v="0.92682926829268297"/>
    <n v="8988.75"/>
    <n v="2544.75"/>
    <n v="7175"/>
    <n v="18708.5"/>
    <n v="71.680076628352495"/>
  </r>
  <r>
    <d v="2025-06-21T00:00:00"/>
    <x v="3"/>
    <n v="6"/>
    <x v="5"/>
    <x v="3"/>
    <n v="248"/>
    <n v="248"/>
    <n v="0"/>
    <n v="13"/>
    <n v="0.73372781065088755"/>
    <n v="41"/>
    <n v="39"/>
    <n v="0.95121951219512191"/>
    <n v="7790.25"/>
    <n v="2418"/>
    <n v="7175"/>
    <n v="17383.25"/>
    <n v="70.09375"/>
  </r>
  <r>
    <d v="2025-06-28T00:00:00"/>
    <x v="3"/>
    <n v="6"/>
    <x v="5"/>
    <x v="3"/>
    <n v="259"/>
    <n v="259"/>
    <n v="0"/>
    <n v="13"/>
    <n v="0.76627218934911245"/>
    <n v="41"/>
    <n v="39"/>
    <n v="0.95121951219512191"/>
    <n v="7790.25"/>
    <n v="2525.25"/>
    <n v="7175"/>
    <n v="17490.5"/>
    <n v="67.530888030888036"/>
  </r>
  <r>
    <d v="2025-07-05T00:00:00"/>
    <x v="3"/>
    <n v="7"/>
    <x v="5"/>
    <x v="3"/>
    <n v="264"/>
    <n v="264"/>
    <n v="0"/>
    <n v="13"/>
    <n v="0.78106508875739644"/>
    <n v="41"/>
    <n v="39"/>
    <n v="0.95121951219512191"/>
    <n v="7790.25"/>
    <n v="2574"/>
    <n v="7175"/>
    <n v="17539.25"/>
    <n v="66.436553030303031"/>
  </r>
  <r>
    <d v="2025-07-12T00:00:00"/>
    <x v="3"/>
    <n v="7"/>
    <x v="5"/>
    <x v="3"/>
    <n v="256"/>
    <n v="256"/>
    <n v="0"/>
    <n v="13"/>
    <n v="0.75739644970414199"/>
    <n v="41"/>
    <n v="40"/>
    <n v="0.97560975609756095"/>
    <n v="7790.25"/>
    <n v="2496"/>
    <n v="7175"/>
    <n v="17461.25"/>
    <n v="68.2080078125"/>
  </r>
  <r>
    <d v="2025-07-19T00:00:00"/>
    <x v="3"/>
    <n v="7"/>
    <x v="5"/>
    <x v="3"/>
    <n v="273"/>
    <n v="273"/>
    <n v="0"/>
    <n v="14"/>
    <n v="0.75"/>
    <n v="41"/>
    <n v="37"/>
    <n v="0.90243902439024393"/>
    <n v="8389.5"/>
    <n v="2661.75"/>
    <n v="7175"/>
    <n v="18226.25"/>
    <n v="66.762820512820511"/>
  </r>
  <r>
    <d v="2025-07-26T00:00:00"/>
    <x v="3"/>
    <n v="7"/>
    <x v="5"/>
    <x v="3"/>
    <n v="283"/>
    <n v="283"/>
    <n v="0"/>
    <n v="14"/>
    <n v="0.77747252747252749"/>
    <n v="41"/>
    <n v="37"/>
    <n v="0.90243902439024393"/>
    <n v="8389.5"/>
    <n v="2759.25"/>
    <n v="7175"/>
    <n v="18323.75"/>
    <n v="64.7482332155477"/>
  </r>
  <r>
    <d v="2025-08-02T00:00:00"/>
    <x v="3"/>
    <n v="8"/>
    <x v="5"/>
    <x v="3"/>
    <n v="276"/>
    <n v="276"/>
    <n v="0"/>
    <n v="14"/>
    <n v="0.75824175824175821"/>
    <n v="41"/>
    <n v="38"/>
    <n v="0.92682926829268297"/>
    <n v="8389.5"/>
    <n v="2691"/>
    <n v="7175"/>
    <n v="18255.5"/>
    <n v="66.143115942028984"/>
  </r>
  <r>
    <d v="2025-08-09T00:00:00"/>
    <x v="3"/>
    <n v="8"/>
    <x v="5"/>
    <x v="3"/>
    <n v="277"/>
    <n v="277"/>
    <n v="0"/>
    <n v="13"/>
    <n v="0.81952662721893488"/>
    <n v="41"/>
    <n v="40"/>
    <n v="0.97560975609756095"/>
    <n v="7790.25"/>
    <n v="2700.75"/>
    <n v="7175"/>
    <n v="17666"/>
    <n v="63.776173285198553"/>
  </r>
  <r>
    <d v="2025-08-16T00:00:00"/>
    <x v="3"/>
    <n v="8"/>
    <x v="5"/>
    <x v="3"/>
    <n v="287"/>
    <n v="287"/>
    <n v="0"/>
    <n v="15"/>
    <n v="0.73589743589743595"/>
    <n v="41"/>
    <n v="38"/>
    <n v="0.92682926829268297"/>
    <n v="8988.75"/>
    <n v="2798.25"/>
    <n v="7175"/>
    <n v="18962"/>
    <n v="66.069686411149831"/>
  </r>
  <r>
    <d v="2025-08-23T00:00:00"/>
    <x v="3"/>
    <n v="8"/>
    <x v="5"/>
    <x v="3"/>
    <n v="273"/>
    <n v="273"/>
    <n v="0"/>
    <n v="14"/>
    <n v="0.75"/>
    <n v="41"/>
    <n v="40"/>
    <n v="0.97560975609756095"/>
    <n v="8389.5"/>
    <n v="2661.75"/>
    <n v="7175"/>
    <n v="18226.25"/>
    <n v="66.762820512820511"/>
  </r>
  <r>
    <d v="2025-08-30T00:00:00"/>
    <x v="3"/>
    <n v="8"/>
    <x v="5"/>
    <x v="3"/>
    <n v="266"/>
    <n v="266"/>
    <n v="0"/>
    <n v="14"/>
    <n v="0.73076923076923073"/>
    <n v="41"/>
    <n v="37"/>
    <n v="0.90243902439024393"/>
    <n v="8389.5"/>
    <n v="2593.5"/>
    <n v="7175"/>
    <n v="18158"/>
    <n v="68.263157894736835"/>
  </r>
  <r>
    <d v="2025-09-06T00:00:00"/>
    <x v="3"/>
    <n v="9"/>
    <x v="5"/>
    <x v="3"/>
    <n v="254"/>
    <n v="254"/>
    <n v="0"/>
    <n v="13"/>
    <n v="0.75147928994082835"/>
    <n v="41"/>
    <n v="40"/>
    <n v="0.97560975609756095"/>
    <n v="7790.25"/>
    <n v="2476.5"/>
    <n v="7175"/>
    <n v="17441.75"/>
    <n v="68.668307086614178"/>
  </r>
  <r>
    <d v="2025-09-13T00:00:00"/>
    <x v="3"/>
    <n v="9"/>
    <x v="5"/>
    <x v="3"/>
    <n v="242"/>
    <n v="242"/>
    <n v="0"/>
    <n v="12"/>
    <n v="0.77564102564102566"/>
    <n v="41"/>
    <n v="40"/>
    <n v="0.97560975609756095"/>
    <n v="7191"/>
    <n v="2359.5"/>
    <n v="7175"/>
    <n v="16725.5"/>
    <n v="69.11363636363636"/>
  </r>
  <r>
    <d v="2025-09-20T00:00:00"/>
    <x v="3"/>
    <n v="9"/>
    <x v="5"/>
    <x v="3"/>
    <n v="260"/>
    <n v="260"/>
    <n v="0"/>
    <n v="13"/>
    <n v="0.76923076923076927"/>
    <n v="41"/>
    <n v="39"/>
    <n v="0.95121951219512191"/>
    <n v="7790.25"/>
    <n v="2535"/>
    <n v="7175"/>
    <n v="17500.25"/>
    <n v="67.308653846153845"/>
  </r>
  <r>
    <d v="2025-09-27T00:00:00"/>
    <x v="3"/>
    <n v="9"/>
    <x v="5"/>
    <x v="3"/>
    <n v="256"/>
    <n v="256"/>
    <n v="0"/>
    <n v="13"/>
    <n v="0.75739644970414199"/>
    <n v="41"/>
    <n v="40"/>
    <n v="0.97560975609756095"/>
    <n v="7790.25"/>
    <n v="2496"/>
    <n v="7175"/>
    <n v="17461.25"/>
    <n v="68.2080078125"/>
  </r>
  <r>
    <d v="2025-10-04T00:00:00"/>
    <x v="3"/>
    <n v="10"/>
    <x v="5"/>
    <x v="3"/>
    <n v="259"/>
    <n v="259"/>
    <n v="0"/>
    <n v="13"/>
    <n v="0.76627218934911245"/>
    <n v="41"/>
    <n v="39"/>
    <n v="0.95121951219512191"/>
    <n v="7790.25"/>
    <n v="2525.25"/>
    <n v="7175"/>
    <n v="17490.5"/>
    <n v="67.530888030888036"/>
  </r>
  <r>
    <d v="2025-10-11T00:00:00"/>
    <x v="3"/>
    <n v="10"/>
    <x v="5"/>
    <x v="3"/>
    <n v="260"/>
    <n v="260"/>
    <n v="0"/>
    <n v="13"/>
    <n v="0.76923076923076927"/>
    <n v="41"/>
    <n v="39"/>
    <n v="0.95121951219512191"/>
    <n v="7790.25"/>
    <n v="2535"/>
    <n v="7175"/>
    <n v="17500.25"/>
    <n v="67.308653846153845"/>
  </r>
  <r>
    <d v="2025-10-18T00:00:00"/>
    <x v="3"/>
    <n v="10"/>
    <x v="5"/>
    <x v="3"/>
    <n v="274"/>
    <n v="274"/>
    <n v="0"/>
    <n v="14"/>
    <n v="0.75274725274725274"/>
    <n v="41"/>
    <n v="39"/>
    <n v="0.95121951219512191"/>
    <n v="8389.5"/>
    <n v="2671.5"/>
    <n v="7175"/>
    <n v="18236"/>
    <n v="66.554744525547449"/>
  </r>
  <r>
    <d v="2025-10-25T00:00:00"/>
    <x v="3"/>
    <n v="10"/>
    <x v="5"/>
    <x v="3"/>
    <n v="285"/>
    <n v="285"/>
    <n v="0"/>
    <n v="15"/>
    <n v="0.73076923076923073"/>
    <n v="41"/>
    <n v="38"/>
    <n v="0.92682926829268297"/>
    <n v="8988.75"/>
    <n v="2778.75"/>
    <n v="7175"/>
    <n v="18942.5"/>
    <n v="66.464912280701753"/>
  </r>
  <r>
    <d v="2025-11-01T00:00:00"/>
    <x v="3"/>
    <n v="11"/>
    <x v="5"/>
    <x v="3"/>
    <n v="300"/>
    <n v="299"/>
    <n v="1"/>
    <n v="15"/>
    <n v="0.76666666666666672"/>
    <n v="41"/>
    <n v="40"/>
    <n v="0.97560975609756095"/>
    <n v="8988.75"/>
    <n v="2915.25"/>
    <n v="7175"/>
    <n v="19079"/>
    <n v="63.809364548494983"/>
  </r>
  <r>
    <d v="2025-11-08T00:00:00"/>
    <x v="3"/>
    <n v="11"/>
    <x v="5"/>
    <x v="3"/>
    <n v="334"/>
    <n v="330"/>
    <n v="5"/>
    <n v="16"/>
    <n v="0.79326923076923073"/>
    <n v="41"/>
    <n v="40"/>
    <n v="0.97560975609756095"/>
    <n v="9588"/>
    <n v="3217.5"/>
    <n v="7175"/>
    <n v="19980.5"/>
    <n v="60.546969696969697"/>
  </r>
  <r>
    <d v="2025-11-15T00:00:00"/>
    <x v="3"/>
    <n v="11"/>
    <x v="5"/>
    <x v="3"/>
    <n v="333"/>
    <n v="330"/>
    <n v="8"/>
    <n v="15"/>
    <n v="0.84615384615384615"/>
    <n v="41"/>
    <n v="39"/>
    <n v="0.95121951219512191"/>
    <n v="8988.75"/>
    <n v="3217.5"/>
    <n v="7175"/>
    <n v="19381.25"/>
    <n v="58.731060606060609"/>
  </r>
  <r>
    <d v="2025-11-22T00:00:00"/>
    <x v="3"/>
    <n v="11"/>
    <x v="5"/>
    <x v="3"/>
    <n v="329"/>
    <n v="329"/>
    <n v="8"/>
    <n v="15"/>
    <n v="0.84358974358974359"/>
    <n v="41"/>
    <n v="40"/>
    <n v="0.97560975609756095"/>
    <n v="8988.75"/>
    <n v="3207.75"/>
    <n v="7175"/>
    <n v="19371.5"/>
    <n v="58.879939209726437"/>
  </r>
  <r>
    <d v="2025-11-29T00:00:00"/>
    <x v="3"/>
    <n v="11"/>
    <x v="5"/>
    <x v="3"/>
    <n v="386"/>
    <n v="355"/>
    <n v="39"/>
    <n v="16"/>
    <n v="0.85336538461538458"/>
    <n v="41"/>
    <n v="38"/>
    <n v="0.92682926829268297"/>
    <n v="9588"/>
    <n v="3461.25"/>
    <n v="7175"/>
    <n v="20224.25"/>
    <n v="56.969718309859147"/>
  </r>
  <r>
    <d v="2025-12-06T00:00:00"/>
    <x v="3"/>
    <n v="12"/>
    <x v="5"/>
    <x v="3"/>
    <n v="394"/>
    <n v="358"/>
    <n v="75"/>
    <n v="16"/>
    <n v="0.86057692307692313"/>
    <n v="41"/>
    <n v="40"/>
    <n v="0.97560975609756095"/>
    <n v="9588"/>
    <n v="3490.5"/>
    <n v="7175"/>
    <n v="20253.5"/>
    <n v="56.574022346368707"/>
  </r>
  <r>
    <d v="2025-12-13T00:00:00"/>
    <x v="3"/>
    <n v="12"/>
    <x v="5"/>
    <x v="3"/>
    <n v="416"/>
    <n v="359"/>
    <n v="132"/>
    <n v="17"/>
    <n v="0.81221719457013575"/>
    <n v="41"/>
    <n v="38"/>
    <n v="0.92682926829268297"/>
    <n v="10187.25"/>
    <n v="3500.25"/>
    <n v="7175"/>
    <n v="20862.5"/>
    <n v="58.112813370473539"/>
  </r>
  <r>
    <d v="2025-12-20T00:00:00"/>
    <x v="3"/>
    <n v="12"/>
    <x v="5"/>
    <x v="3"/>
    <n v="370"/>
    <n v="359"/>
    <n v="143"/>
    <n v="16"/>
    <n v="0.86298076923076927"/>
    <n v="41"/>
    <n v="39"/>
    <n v="0.95121951219512191"/>
    <n v="9588"/>
    <n v="3500.25"/>
    <n v="7175"/>
    <n v="20263.25"/>
    <n v="56.443593314763227"/>
  </r>
  <r>
    <d v="2025-12-27T00:00:00"/>
    <x v="3"/>
    <n v="12"/>
    <x v="5"/>
    <x v="3"/>
    <n v="316"/>
    <n v="354"/>
    <n v="105"/>
    <n v="17"/>
    <n v="0.80090497737556565"/>
    <n v="41"/>
    <n v="41"/>
    <n v="1"/>
    <n v="10187.25"/>
    <n v="3451.5"/>
    <n v="7175"/>
    <n v="20813.75"/>
    <n v="58.795903954802263"/>
  </r>
  <r>
    <d v="2026-01-03T00:00:00"/>
    <x v="4"/>
    <n v="1"/>
    <x v="5"/>
    <x v="3"/>
    <n v="272"/>
    <n v="326"/>
    <n v="51"/>
    <n v="15"/>
    <n v="0.83589743589743593"/>
    <n v="41"/>
    <n v="39"/>
    <n v="0.95121951219512191"/>
    <n v="8988.75"/>
    <n v="3178.5"/>
    <n v="7175"/>
    <n v="19342.25"/>
    <n v="59.33205521472393"/>
  </r>
  <r>
    <d v="2026-01-10T00:00:00"/>
    <x v="4"/>
    <n v="1"/>
    <x v="5"/>
    <x v="3"/>
    <n v="216"/>
    <n v="256"/>
    <n v="11"/>
    <n v="13"/>
    <n v="0.75739644970414199"/>
    <n v="41"/>
    <n v="39"/>
    <n v="0.95121951219512191"/>
    <n v="7790.25"/>
    <n v="2496"/>
    <n v="7175"/>
    <n v="17461.25"/>
    <n v="68.2080078125"/>
  </r>
  <r>
    <d v="2026-01-17T00:00:00"/>
    <x v="4"/>
    <n v="1"/>
    <x v="5"/>
    <x v="3"/>
    <n v="215"/>
    <n v="226"/>
    <n v="0"/>
    <n v="12"/>
    <n v="0.72435897435897434"/>
    <n v="41"/>
    <n v="39"/>
    <n v="0.95121951219512191"/>
    <n v="7191"/>
    <n v="2203.5"/>
    <n v="7175"/>
    <n v="16569.5"/>
    <n v="73.31637168141593"/>
  </r>
  <r>
    <d v="2026-01-24T00:00:00"/>
    <x v="4"/>
    <n v="1"/>
    <x v="5"/>
    <x v="3"/>
    <n v="221"/>
    <n v="221"/>
    <n v="0"/>
    <n v="12"/>
    <n v="0.70833333333333337"/>
    <n v="41"/>
    <n v="40"/>
    <n v="0.97560975609756095"/>
    <n v="7191"/>
    <n v="2154.75"/>
    <n v="7175"/>
    <n v="16520.75"/>
    <n v="74.754524886877832"/>
  </r>
  <r>
    <d v="2026-01-31T00:00:00"/>
    <x v="4"/>
    <n v="1"/>
    <x v="5"/>
    <x v="3"/>
    <n v="228"/>
    <n v="228"/>
    <n v="0"/>
    <n v="11"/>
    <n v="0.79720279720279719"/>
    <n v="41"/>
    <n v="39"/>
    <n v="0.95121951219512191"/>
    <n v="6591.75"/>
    <n v="2223"/>
    <n v="7175"/>
    <n v="15989.75"/>
    <n v="70.130482456140356"/>
  </r>
  <r>
    <d v="2026-02-07T00:00:00"/>
    <x v="4"/>
    <n v="2"/>
    <x v="5"/>
    <x v="3"/>
    <n v="239"/>
    <n v="239"/>
    <n v="0"/>
    <n v="12"/>
    <n v="0.76602564102564108"/>
    <n v="41"/>
    <n v="41"/>
    <n v="1"/>
    <n v="7191"/>
    <n v="2330.25"/>
    <n v="7175"/>
    <n v="16696.25"/>
    <n v="69.858786610878667"/>
  </r>
  <r>
    <d v="2026-02-14T00:00:00"/>
    <x v="4"/>
    <n v="2"/>
    <x v="5"/>
    <x v="3"/>
    <n v="245"/>
    <n v="245"/>
    <n v="0"/>
    <n v="12"/>
    <n v="0.78525641025641024"/>
    <n v="41"/>
    <n v="39"/>
    <n v="0.95121951219512191"/>
    <n v="7191"/>
    <n v="2388.75"/>
    <n v="7175"/>
    <n v="16754.75"/>
    <n v="68.386734693877557"/>
  </r>
  <r>
    <d v="2026-02-21T00:00:00"/>
    <x v="4"/>
    <n v="2"/>
    <x v="5"/>
    <x v="3"/>
    <n v="260"/>
    <n v="260"/>
    <n v="0"/>
    <n v="14"/>
    <n v="0.7142857142857143"/>
    <n v="41"/>
    <n v="36"/>
    <n v="0.87804878048780488"/>
    <n v="8389.5"/>
    <n v="2535"/>
    <n v="7175"/>
    <n v="18099.5"/>
    <n v="69.613461538461536"/>
  </r>
  <r>
    <d v="2026-02-28T00:00:00"/>
    <x v="4"/>
    <n v="2"/>
    <x v="5"/>
    <x v="3"/>
    <n v="257"/>
    <n v="257"/>
    <n v="0"/>
    <n v="13"/>
    <n v="0.76035502958579881"/>
    <n v="41"/>
    <n v="41"/>
    <n v="1"/>
    <n v="7790.25"/>
    <n v="2505.75"/>
    <n v="7175"/>
    <n v="17471"/>
    <n v="67.980544747081709"/>
  </r>
  <r>
    <d v="2026-03-07T00:00:00"/>
    <x v="4"/>
    <n v="3"/>
    <x v="5"/>
    <x v="3"/>
    <n v="260"/>
    <n v="260"/>
    <n v="0"/>
    <n v="13"/>
    <n v="0.76923076923076927"/>
    <n v="41"/>
    <n v="37"/>
    <n v="0.90243902439024393"/>
    <n v="7790.25"/>
    <n v="2535"/>
    <n v="7175"/>
    <n v="17500.25"/>
    <n v="67.308653846153845"/>
  </r>
  <r>
    <d v="2026-03-14T00:00:00"/>
    <x v="4"/>
    <n v="3"/>
    <x v="5"/>
    <x v="3"/>
    <n v="267"/>
    <n v="267"/>
    <n v="0"/>
    <n v="14"/>
    <n v="0.73351648351648346"/>
    <n v="41"/>
    <n v="39"/>
    <n v="0.95121951219512191"/>
    <n v="8389.5"/>
    <n v="2603.25"/>
    <n v="7175"/>
    <n v="18167.75"/>
    <n v="68.044007490636702"/>
  </r>
  <r>
    <d v="2026-03-21T00:00:00"/>
    <x v="4"/>
    <n v="3"/>
    <x v="5"/>
    <x v="3"/>
    <n v="286"/>
    <n v="286"/>
    <n v="0"/>
    <n v="14"/>
    <n v="0.7857142857142857"/>
    <n v="41"/>
    <n v="41"/>
    <n v="1"/>
    <n v="8389.5"/>
    <n v="2788.5"/>
    <n v="7175"/>
    <n v="18353"/>
    <n v="64.171328671328666"/>
  </r>
  <r>
    <d v="2026-03-28T00:00:00"/>
    <x v="4"/>
    <n v="3"/>
    <x v="5"/>
    <x v="3"/>
    <n v="265"/>
    <n v="265"/>
    <n v="0"/>
    <n v="14"/>
    <n v="0.72802197802197799"/>
    <n v="41"/>
    <n v="38"/>
    <n v="0.92682926829268297"/>
    <n v="8389.5"/>
    <n v="2583.75"/>
    <n v="7175"/>
    <n v="18148.25"/>
    <n v="68.483962264150946"/>
  </r>
  <r>
    <d v="2026-04-04T00:00:00"/>
    <x v="4"/>
    <n v="4"/>
    <x v="5"/>
    <x v="3"/>
    <n v="274"/>
    <n v="274"/>
    <n v="0"/>
    <n v="14"/>
    <n v="0.75274725274725274"/>
    <n v="41"/>
    <n v="38"/>
    <n v="0.92682926829268297"/>
    <n v="8389.5"/>
    <n v="2671.5"/>
    <n v="7175"/>
    <n v="18236"/>
    <n v="66.554744525547449"/>
  </r>
  <r>
    <d v="2026-04-11T00:00:00"/>
    <x v="4"/>
    <n v="4"/>
    <x v="5"/>
    <x v="3"/>
    <n v="263"/>
    <n v="263"/>
    <n v="0"/>
    <n v="14"/>
    <n v="0.72252747252747251"/>
    <n v="41"/>
    <n v="39"/>
    <n v="0.95121951219512191"/>
    <n v="8389.5"/>
    <n v="2564.25"/>
    <n v="7175"/>
    <n v="18128.75"/>
    <n v="68.930608365019012"/>
  </r>
  <r>
    <d v="2026-04-18T00:00:00"/>
    <x v="4"/>
    <n v="4"/>
    <x v="5"/>
    <x v="3"/>
    <n v="263"/>
    <n v="263"/>
    <n v="0"/>
    <n v="13"/>
    <n v="0.77810650887573962"/>
    <n v="41"/>
    <n v="37"/>
    <n v="0.90243902439024393"/>
    <n v="7790.25"/>
    <n v="2564.25"/>
    <n v="7175"/>
    <n v="17529.5"/>
    <n v="66.652091254752847"/>
  </r>
  <r>
    <d v="2026-04-25T00:00:00"/>
    <x v="4"/>
    <n v="4"/>
    <x v="5"/>
    <x v="3"/>
    <n v="284"/>
    <n v="284"/>
    <n v="0"/>
    <n v="15"/>
    <n v="0.72820512820512817"/>
    <n v="41"/>
    <n v="40"/>
    <n v="0.97560975609756095"/>
    <n v="8988.75"/>
    <n v="2769"/>
    <n v="7175"/>
    <n v="18932.75"/>
    <n v="66.664612676056336"/>
  </r>
  <r>
    <d v="2026-05-02T00:00:00"/>
    <x v="4"/>
    <n v="5"/>
    <x v="5"/>
    <x v="3"/>
    <n v="281"/>
    <n v="281"/>
    <n v="0"/>
    <n v="14"/>
    <n v="0.77197802197802201"/>
    <n v="41"/>
    <n v="41"/>
    <n v="1"/>
    <n v="8389.5"/>
    <n v="2739.75"/>
    <n v="7175"/>
    <n v="18304.25"/>
    <n v="65.139679715302492"/>
  </r>
  <r>
    <d v="2026-05-09T00:00:00"/>
    <x v="4"/>
    <n v="5"/>
    <x v="5"/>
    <x v="3"/>
    <n v="286"/>
    <n v="286"/>
    <n v="0"/>
    <n v="15"/>
    <n v="0.73333333333333328"/>
    <n v="41"/>
    <n v="38"/>
    <n v="0.92682926829268297"/>
    <n v="8988.75"/>
    <n v="2788.5"/>
    <n v="7175"/>
    <n v="18952.25"/>
    <n v="66.266608391608386"/>
  </r>
  <r>
    <d v="2026-05-16T00:00:00"/>
    <x v="4"/>
    <n v="5"/>
    <x v="5"/>
    <x v="3"/>
    <n v="276"/>
    <n v="276"/>
    <n v="0"/>
    <n v="14"/>
    <n v="0.75824175824175821"/>
    <n v="41"/>
    <n v="38"/>
    <n v="0.92682926829268297"/>
    <n v="8389.5"/>
    <n v="2691"/>
    <n v="7175"/>
    <n v="18255.5"/>
    <n v="66.143115942028984"/>
  </r>
  <r>
    <d v="2026-05-23T00:00:00"/>
    <x v="4"/>
    <n v="5"/>
    <x v="5"/>
    <x v="3"/>
    <n v="274"/>
    <n v="274"/>
    <n v="0"/>
    <n v="14"/>
    <n v="0.75274725274725274"/>
    <n v="41"/>
    <n v="39"/>
    <n v="0.95121951219512191"/>
    <n v="8389.5"/>
    <n v="2671.5"/>
    <n v="7175"/>
    <n v="18236"/>
    <n v="66.554744525547449"/>
  </r>
  <r>
    <d v="2026-05-30T00:00:00"/>
    <x v="4"/>
    <n v="5"/>
    <x v="5"/>
    <x v="3"/>
    <n v="283"/>
    <n v="283"/>
    <n v="0"/>
    <n v="15"/>
    <n v="0.72564102564102562"/>
    <n v="41"/>
    <n v="38"/>
    <n v="0.92682926829268297"/>
    <n v="8988.75"/>
    <n v="2759.25"/>
    <n v="7175"/>
    <n v="18923"/>
    <n v="66.865724381625441"/>
  </r>
  <r>
    <d v="2026-06-06T00:00:00"/>
    <x v="4"/>
    <n v="6"/>
    <x v="5"/>
    <x v="3"/>
    <n v="271"/>
    <n v="271"/>
    <n v="0"/>
    <n v="13"/>
    <n v="0.80177514792899407"/>
    <n v="41"/>
    <n v="38"/>
    <n v="0.92682926829268297"/>
    <n v="7790.25"/>
    <n v="2642.25"/>
    <n v="7175"/>
    <n v="17607.5"/>
    <n v="64.972324723247226"/>
  </r>
  <r>
    <d v="2026-06-13T00:00:00"/>
    <x v="4"/>
    <n v="6"/>
    <x v="5"/>
    <x v="3"/>
    <n v="269"/>
    <n v="269"/>
    <n v="0"/>
    <n v="13"/>
    <n v="0.79585798816568043"/>
    <n v="41"/>
    <n v="39"/>
    <n v="0.95121951219512191"/>
    <n v="7790.25"/>
    <n v="2622.75"/>
    <n v="7175"/>
    <n v="17588"/>
    <n v="65.382899628252787"/>
  </r>
  <r>
    <d v="2026-06-20T00:00:00"/>
    <x v="4"/>
    <n v="6"/>
    <x v="5"/>
    <x v="3"/>
    <n v="275"/>
    <n v="275"/>
    <n v="0"/>
    <n v="14"/>
    <n v="0.75549450549450547"/>
    <n v="41"/>
    <n v="39"/>
    <n v="0.95121951219512191"/>
    <n v="8389.5"/>
    <n v="2681.25"/>
    <n v="7175"/>
    <n v="18245.75"/>
    <n v="66.348181818181814"/>
  </r>
  <r>
    <d v="2026-06-27T00:00:00"/>
    <x v="4"/>
    <n v="6"/>
    <x v="5"/>
    <x v="3"/>
    <n v="280"/>
    <n v="280"/>
    <n v="0"/>
    <n v="15"/>
    <n v="0.71794871794871795"/>
    <n v="41"/>
    <n v="40"/>
    <n v="0.97560975609756095"/>
    <n v="8988.75"/>
    <n v="2730"/>
    <n v="7175"/>
    <n v="18893.75"/>
    <n v="67.477678571428569"/>
  </r>
  <r>
    <d v="2026-07-04T00:00:00"/>
    <x v="4"/>
    <n v="7"/>
    <x v="5"/>
    <x v="3"/>
    <n v="279"/>
    <n v="279"/>
    <n v="0"/>
    <n v="14"/>
    <n v="0.76648351648351654"/>
    <n v="41"/>
    <n v="40"/>
    <n v="0.97560975609756095"/>
    <n v="8389.5"/>
    <n v="2720.25"/>
    <n v="7175"/>
    <n v="18284.75"/>
    <n v="65.536738351254485"/>
  </r>
  <r>
    <d v="2026-07-11T00:00:00"/>
    <x v="4"/>
    <n v="7"/>
    <x v="5"/>
    <x v="3"/>
    <n v="278"/>
    <n v="278"/>
    <n v="0"/>
    <n v="15"/>
    <n v="0.71282051282051284"/>
    <n v="41"/>
    <n v="39"/>
    <n v="0.95121951219512191"/>
    <n v="8988.75"/>
    <n v="2710.5"/>
    <n v="7175"/>
    <n v="18874.25"/>
    <n v="67.892985611510795"/>
  </r>
  <r>
    <d v="2026-07-18T00:00:00"/>
    <x v="4"/>
    <n v="7"/>
    <x v="5"/>
    <x v="3"/>
    <n v="280"/>
    <n v="280"/>
    <n v="0"/>
    <n v="15"/>
    <n v="0.71794871794871795"/>
    <n v="41"/>
    <n v="41"/>
    <n v="1"/>
    <n v="8988.75"/>
    <n v="2730"/>
    <n v="7175"/>
    <n v="18893.75"/>
    <n v="67.477678571428569"/>
  </r>
  <r>
    <d v="2026-07-25T00:00:00"/>
    <x v="4"/>
    <n v="7"/>
    <x v="5"/>
    <x v="3"/>
    <n v="279"/>
    <n v="279"/>
    <n v="0"/>
    <n v="14"/>
    <n v="0.76648351648351654"/>
    <n v="41"/>
    <n v="40"/>
    <n v="0.97560975609756095"/>
    <n v="8389.5"/>
    <n v="2720.25"/>
    <n v="7175"/>
    <n v="18284.75"/>
    <n v="65.536738351254485"/>
  </r>
  <r>
    <d v="2022-08-06T00:00:00"/>
    <x v="0"/>
    <n v="8"/>
    <x v="6"/>
    <x v="3"/>
    <n v="193"/>
    <n v="193"/>
    <n v="0"/>
    <n v="9"/>
    <n v="0.82478632478632474"/>
    <n v="35"/>
    <n v="35"/>
    <n v="1"/>
    <n v="9110.25"/>
    <n v="1640.5"/>
    <n v="5425"/>
    <n v="16175.75"/>
    <n v="83.812176165803109"/>
  </r>
  <r>
    <d v="2022-08-13T00:00:00"/>
    <x v="0"/>
    <n v="8"/>
    <x v="6"/>
    <x v="3"/>
    <n v="192"/>
    <n v="192"/>
    <n v="0"/>
    <n v="9"/>
    <n v="0.82051282051282048"/>
    <n v="35"/>
    <n v="34"/>
    <n v="0.97142857142857142"/>
    <n v="9110.25"/>
    <n v="1632"/>
    <n v="5425"/>
    <n v="16167.25"/>
    <n v="84.204427083333329"/>
  </r>
  <r>
    <d v="2022-08-20T00:00:00"/>
    <x v="0"/>
    <n v="8"/>
    <x v="6"/>
    <x v="3"/>
    <n v="192"/>
    <n v="192"/>
    <n v="0"/>
    <n v="9"/>
    <n v="0.82051282051282048"/>
    <n v="35"/>
    <n v="32"/>
    <n v="0.91428571428571426"/>
    <n v="9110.25"/>
    <n v="1632"/>
    <n v="5425"/>
    <n v="16167.25"/>
    <n v="84.204427083333329"/>
  </r>
  <r>
    <d v="2022-08-27T00:00:00"/>
    <x v="0"/>
    <n v="8"/>
    <x v="6"/>
    <x v="3"/>
    <n v="185"/>
    <n v="185"/>
    <n v="0"/>
    <n v="9"/>
    <n v="0.79059829059829057"/>
    <n v="35"/>
    <n v="35"/>
    <n v="1"/>
    <n v="9110.25"/>
    <n v="1572.5"/>
    <n v="5425"/>
    <n v="16107.75"/>
    <n v="87.068918918918925"/>
  </r>
  <r>
    <d v="2022-09-03T00:00:00"/>
    <x v="0"/>
    <n v="9"/>
    <x v="6"/>
    <x v="3"/>
    <n v="186"/>
    <n v="186"/>
    <n v="0"/>
    <n v="9"/>
    <n v="0.79487179487179482"/>
    <n v="35"/>
    <n v="34"/>
    <n v="0.97142857142857142"/>
    <n v="9110.25"/>
    <n v="1581"/>
    <n v="5425"/>
    <n v="16116.25"/>
    <n v="86.646505376344081"/>
  </r>
  <r>
    <d v="2022-09-10T00:00:00"/>
    <x v="0"/>
    <n v="9"/>
    <x v="6"/>
    <x v="3"/>
    <n v="187"/>
    <n v="187"/>
    <n v="0"/>
    <n v="8"/>
    <n v="0.89903846153846156"/>
    <n v="35"/>
    <n v="33"/>
    <n v="0.94285714285714284"/>
    <n v="8098"/>
    <n v="1589.5"/>
    <n v="5425"/>
    <n v="15112.5"/>
    <n v="80.815508021390372"/>
  </r>
  <r>
    <d v="2022-09-17T00:00:00"/>
    <x v="0"/>
    <n v="9"/>
    <x v="6"/>
    <x v="3"/>
    <n v="185"/>
    <n v="185"/>
    <n v="0"/>
    <n v="9"/>
    <n v="0.79059829059829057"/>
    <n v="35"/>
    <n v="32"/>
    <n v="0.91428571428571426"/>
    <n v="9110.25"/>
    <n v="1572.5"/>
    <n v="5425"/>
    <n v="16107.75"/>
    <n v="87.068918918918925"/>
  </r>
  <r>
    <d v="2022-09-24T00:00:00"/>
    <x v="0"/>
    <n v="9"/>
    <x v="6"/>
    <x v="3"/>
    <n v="183"/>
    <n v="183"/>
    <n v="0"/>
    <n v="9"/>
    <n v="0.78205128205128205"/>
    <n v="35"/>
    <n v="32"/>
    <n v="0.91428571428571426"/>
    <n v="9110.25"/>
    <n v="1555.5"/>
    <n v="5425"/>
    <n v="16090.75"/>
    <n v="87.927595628415304"/>
  </r>
  <r>
    <d v="2022-10-01T00:00:00"/>
    <x v="0"/>
    <n v="10"/>
    <x v="6"/>
    <x v="3"/>
    <n v="189"/>
    <n v="189"/>
    <n v="0"/>
    <n v="10"/>
    <n v="0.72692307692307689"/>
    <n v="35"/>
    <n v="34"/>
    <n v="0.97142857142857142"/>
    <n v="10122.5"/>
    <n v="1606.5"/>
    <n v="5425"/>
    <n v="17154"/>
    <n v="90.761904761904759"/>
  </r>
  <r>
    <d v="2022-10-08T00:00:00"/>
    <x v="0"/>
    <n v="10"/>
    <x v="6"/>
    <x v="3"/>
    <n v="178"/>
    <n v="178"/>
    <n v="0"/>
    <n v="9"/>
    <n v="0.76068376068376065"/>
    <n v="35"/>
    <n v="31"/>
    <n v="0.88571428571428568"/>
    <n v="9110.25"/>
    <n v="1513"/>
    <n v="5425"/>
    <n v="16048.25"/>
    <n v="90.158707865168537"/>
  </r>
  <r>
    <d v="2022-10-15T00:00:00"/>
    <x v="0"/>
    <n v="10"/>
    <x v="6"/>
    <x v="3"/>
    <n v="184"/>
    <n v="184"/>
    <n v="0"/>
    <n v="9"/>
    <n v="0.78632478632478631"/>
    <n v="35"/>
    <n v="35"/>
    <n v="1"/>
    <n v="9110.25"/>
    <n v="1564"/>
    <n v="5425"/>
    <n v="16099.25"/>
    <n v="87.495923913043484"/>
  </r>
  <r>
    <d v="2022-10-22T00:00:00"/>
    <x v="0"/>
    <n v="10"/>
    <x v="6"/>
    <x v="3"/>
    <n v="187"/>
    <n v="187"/>
    <n v="0"/>
    <n v="9"/>
    <n v="0.79914529914529919"/>
    <n v="35"/>
    <n v="34"/>
    <n v="0.97142857142857142"/>
    <n v="9110.25"/>
    <n v="1589.5"/>
    <n v="5425"/>
    <n v="16124.75"/>
    <n v="86.228609625668454"/>
  </r>
  <r>
    <d v="2022-10-29T00:00:00"/>
    <x v="0"/>
    <n v="10"/>
    <x v="6"/>
    <x v="3"/>
    <n v="204"/>
    <n v="204"/>
    <n v="0"/>
    <n v="10"/>
    <n v="0.7846153846153846"/>
    <n v="35"/>
    <n v="33"/>
    <n v="0.94285714285714284"/>
    <n v="10122.5"/>
    <n v="1734"/>
    <n v="5425"/>
    <n v="17281.5"/>
    <n v="84.713235294117652"/>
  </r>
  <r>
    <d v="2022-11-05T00:00:00"/>
    <x v="0"/>
    <n v="11"/>
    <x v="6"/>
    <x v="3"/>
    <n v="205"/>
    <n v="205"/>
    <n v="0"/>
    <n v="9"/>
    <n v="0.87606837606837606"/>
    <n v="35"/>
    <n v="33"/>
    <n v="0.94285714285714284"/>
    <n v="9110.25"/>
    <n v="1742.5"/>
    <n v="5425"/>
    <n v="16277.75"/>
    <n v="79.403658536585368"/>
  </r>
  <r>
    <d v="2022-11-12T00:00:00"/>
    <x v="0"/>
    <n v="11"/>
    <x v="6"/>
    <x v="3"/>
    <n v="215"/>
    <n v="215"/>
    <n v="0"/>
    <n v="10"/>
    <n v="0.82692307692307687"/>
    <n v="35"/>
    <n v="35"/>
    <n v="1"/>
    <n v="10122.5"/>
    <n v="1827.5"/>
    <n v="5425"/>
    <n v="17375"/>
    <n v="80.813953488372093"/>
  </r>
  <r>
    <d v="2022-11-19T00:00:00"/>
    <x v="0"/>
    <n v="11"/>
    <x v="6"/>
    <x v="3"/>
    <n v="230"/>
    <n v="229"/>
    <n v="1"/>
    <n v="12"/>
    <n v="0.73397435897435892"/>
    <n v="35"/>
    <n v="34"/>
    <n v="0.97142857142857142"/>
    <n v="12147"/>
    <n v="1946.5"/>
    <n v="5425"/>
    <n v="19518.5"/>
    <n v="85.233624454148469"/>
  </r>
  <r>
    <d v="2022-11-26T00:00:00"/>
    <x v="0"/>
    <n v="11"/>
    <x v="6"/>
    <x v="3"/>
    <n v="263"/>
    <n v="259"/>
    <n v="5"/>
    <n v="13"/>
    <n v="0.76627218934911245"/>
    <n v="35"/>
    <n v="34"/>
    <n v="0.97142857142857142"/>
    <n v="13159.25"/>
    <n v="2201.5"/>
    <n v="5425"/>
    <n v="20785.75"/>
    <n v="80.253861003861005"/>
  </r>
  <r>
    <d v="2022-12-03T00:00:00"/>
    <x v="0"/>
    <n v="12"/>
    <x v="6"/>
    <x v="3"/>
    <n v="279"/>
    <n v="268"/>
    <n v="16"/>
    <n v="12"/>
    <n v="0.85897435897435892"/>
    <n v="35"/>
    <n v="35"/>
    <n v="1"/>
    <n v="12147"/>
    <n v="2278"/>
    <n v="5425"/>
    <n v="19850"/>
    <n v="74.067164179104481"/>
  </r>
  <r>
    <d v="2022-12-10T00:00:00"/>
    <x v="0"/>
    <n v="12"/>
    <x v="6"/>
    <x v="3"/>
    <n v="295"/>
    <n v="279"/>
    <n v="32"/>
    <n v="14"/>
    <n v="0.76648351648351654"/>
    <n v="35"/>
    <n v="33"/>
    <n v="0.94285714285714284"/>
    <n v="14171.5"/>
    <n v="2371.5"/>
    <n v="5425"/>
    <n v="21968"/>
    <n v="78.738351254480293"/>
  </r>
  <r>
    <d v="2022-12-17T00:00:00"/>
    <x v="0"/>
    <n v="12"/>
    <x v="6"/>
    <x v="3"/>
    <n v="271"/>
    <n v="277"/>
    <n v="26"/>
    <n v="14"/>
    <n v="0.76098901098901095"/>
    <n v="35"/>
    <n v="34"/>
    <n v="0.97142857142857142"/>
    <n v="14171.5"/>
    <n v="2354.5"/>
    <n v="5425"/>
    <n v="21951"/>
    <n v="79.245487364620942"/>
  </r>
  <r>
    <d v="2022-12-24T00:00:00"/>
    <x v="0"/>
    <n v="12"/>
    <x v="6"/>
    <x v="3"/>
    <n v="232"/>
    <n v="247"/>
    <n v="11"/>
    <n v="12"/>
    <n v="0.79166666666666663"/>
    <n v="35"/>
    <n v="32"/>
    <n v="0.91428571428571426"/>
    <n v="12147"/>
    <n v="2099.5"/>
    <n v="5425"/>
    <n v="19671.5"/>
    <n v="79.641700404858298"/>
  </r>
  <r>
    <d v="2022-12-31T00:00:00"/>
    <x v="0"/>
    <n v="12"/>
    <x v="6"/>
    <x v="3"/>
    <n v="194"/>
    <n v="203"/>
    <n v="2"/>
    <n v="10"/>
    <n v="0.78076923076923077"/>
    <n v="35"/>
    <n v="34"/>
    <n v="0.97142857142857142"/>
    <n v="10122.5"/>
    <n v="1725.5"/>
    <n v="5425"/>
    <n v="17273"/>
    <n v="85.088669950738918"/>
  </r>
  <r>
    <d v="2023-01-07T00:00:00"/>
    <x v="1"/>
    <n v="1"/>
    <x v="6"/>
    <x v="3"/>
    <n v="170"/>
    <n v="172"/>
    <n v="0"/>
    <n v="9"/>
    <n v="0.7350427350427351"/>
    <n v="35"/>
    <n v="32"/>
    <n v="0.91428571428571426"/>
    <n v="9110.25"/>
    <n v="1462"/>
    <n v="5425"/>
    <n v="15997.25"/>
    <n v="93.007267441860463"/>
  </r>
  <r>
    <d v="2023-01-14T00:00:00"/>
    <x v="1"/>
    <n v="1"/>
    <x v="6"/>
    <x v="3"/>
    <n v="139"/>
    <n v="139"/>
    <n v="0"/>
    <n v="8"/>
    <n v="0.66826923076923073"/>
    <n v="35"/>
    <n v="34"/>
    <n v="0.97142857142857142"/>
    <n v="8098"/>
    <n v="1181.5"/>
    <n v="5425"/>
    <n v="14704.5"/>
    <n v="105.7877697841727"/>
  </r>
  <r>
    <d v="2023-01-21T00:00:00"/>
    <x v="1"/>
    <n v="1"/>
    <x v="6"/>
    <x v="3"/>
    <n v="158"/>
    <n v="158"/>
    <n v="0"/>
    <n v="8"/>
    <n v="0.75961538461538458"/>
    <n v="35"/>
    <n v="35"/>
    <n v="1"/>
    <n v="8098"/>
    <n v="1343"/>
    <n v="5425"/>
    <n v="14866"/>
    <n v="94.088607594936704"/>
  </r>
  <r>
    <d v="2023-01-28T00:00:00"/>
    <x v="1"/>
    <n v="1"/>
    <x v="6"/>
    <x v="3"/>
    <n v="159"/>
    <n v="159"/>
    <n v="0"/>
    <n v="9"/>
    <n v="0.67948717948717952"/>
    <n v="35"/>
    <n v="32"/>
    <n v="0.91428571428571426"/>
    <n v="9110.25"/>
    <n v="1351.5"/>
    <n v="5425"/>
    <n v="15886.75"/>
    <n v="99.916666666666671"/>
  </r>
  <r>
    <d v="2023-02-04T00:00:00"/>
    <x v="1"/>
    <n v="2"/>
    <x v="6"/>
    <x v="3"/>
    <n v="158"/>
    <n v="158"/>
    <n v="0"/>
    <n v="8"/>
    <n v="0.75961538461538458"/>
    <n v="35"/>
    <n v="33"/>
    <n v="0.94285714285714284"/>
    <n v="8098"/>
    <n v="1343"/>
    <n v="5425"/>
    <n v="14866"/>
    <n v="94.088607594936704"/>
  </r>
  <r>
    <d v="2023-02-11T00:00:00"/>
    <x v="1"/>
    <n v="2"/>
    <x v="6"/>
    <x v="3"/>
    <n v="174"/>
    <n v="174"/>
    <n v="0"/>
    <n v="9"/>
    <n v="0.74358974358974361"/>
    <n v="35"/>
    <n v="35"/>
    <n v="1"/>
    <n v="9110.25"/>
    <n v="1479"/>
    <n v="5425"/>
    <n v="16014.25"/>
    <n v="92.035919540229884"/>
  </r>
  <r>
    <d v="2023-02-18T00:00:00"/>
    <x v="1"/>
    <n v="2"/>
    <x v="6"/>
    <x v="3"/>
    <n v="176"/>
    <n v="176"/>
    <n v="0"/>
    <n v="9"/>
    <n v="0.75213675213675213"/>
    <n v="35"/>
    <n v="34"/>
    <n v="0.97142857142857142"/>
    <n v="9110.25"/>
    <n v="1496"/>
    <n v="5425"/>
    <n v="16031.25"/>
    <n v="91.086647727272734"/>
  </r>
  <r>
    <d v="2023-02-25T00:00:00"/>
    <x v="1"/>
    <n v="2"/>
    <x v="6"/>
    <x v="3"/>
    <n v="177"/>
    <n v="177"/>
    <n v="0"/>
    <n v="8"/>
    <n v="0.85096153846153844"/>
    <n v="35"/>
    <n v="33"/>
    <n v="0.94285714285714284"/>
    <n v="8098"/>
    <n v="1504.5"/>
    <n v="5425"/>
    <n v="15027.5"/>
    <n v="84.901129943502823"/>
  </r>
  <r>
    <d v="2023-03-04T00:00:00"/>
    <x v="1"/>
    <n v="3"/>
    <x v="6"/>
    <x v="3"/>
    <n v="185"/>
    <n v="185"/>
    <n v="0"/>
    <n v="9"/>
    <n v="0.79059829059829057"/>
    <n v="35"/>
    <n v="32"/>
    <n v="0.91428571428571426"/>
    <n v="9110.25"/>
    <n v="1572.5"/>
    <n v="5425"/>
    <n v="16107.75"/>
    <n v="87.068918918918925"/>
  </r>
  <r>
    <d v="2023-03-11T00:00:00"/>
    <x v="1"/>
    <n v="3"/>
    <x v="6"/>
    <x v="3"/>
    <n v="179"/>
    <n v="179"/>
    <n v="0"/>
    <n v="9"/>
    <n v="0.7649572649572649"/>
    <n v="35"/>
    <n v="34"/>
    <n v="0.97142857142857142"/>
    <n v="9110.25"/>
    <n v="1521.5"/>
    <n v="5425"/>
    <n v="16056.75"/>
    <n v="89.702513966480453"/>
  </r>
  <r>
    <d v="2023-03-18T00:00:00"/>
    <x v="1"/>
    <n v="3"/>
    <x v="6"/>
    <x v="3"/>
    <n v="186"/>
    <n v="186"/>
    <n v="0"/>
    <n v="9"/>
    <n v="0.79487179487179482"/>
    <n v="35"/>
    <n v="35"/>
    <n v="1"/>
    <n v="9110.25"/>
    <n v="1581"/>
    <n v="5425"/>
    <n v="16116.25"/>
    <n v="86.646505376344081"/>
  </r>
  <r>
    <d v="2023-03-25T00:00:00"/>
    <x v="1"/>
    <n v="3"/>
    <x v="6"/>
    <x v="3"/>
    <n v="177"/>
    <n v="177"/>
    <n v="0"/>
    <n v="9"/>
    <n v="0.75641025641025639"/>
    <n v="35"/>
    <n v="32"/>
    <n v="0.91428571428571426"/>
    <n v="9110.25"/>
    <n v="1504.5"/>
    <n v="5425"/>
    <n v="16039.75"/>
    <n v="90.620056497175142"/>
  </r>
  <r>
    <d v="2023-04-01T00:00:00"/>
    <x v="1"/>
    <n v="4"/>
    <x v="6"/>
    <x v="3"/>
    <n v="172"/>
    <n v="172"/>
    <n v="0"/>
    <n v="8"/>
    <n v="0.82692307692307687"/>
    <n v="35"/>
    <n v="35"/>
    <n v="1"/>
    <n v="8098"/>
    <n v="1462"/>
    <n v="5425"/>
    <n v="14985"/>
    <n v="87.122093023255815"/>
  </r>
  <r>
    <d v="2023-04-08T00:00:00"/>
    <x v="1"/>
    <n v="4"/>
    <x v="6"/>
    <x v="3"/>
    <n v="195"/>
    <n v="195"/>
    <n v="0"/>
    <n v="9"/>
    <n v="0.83333333333333337"/>
    <n v="35"/>
    <n v="33"/>
    <n v="0.94285714285714284"/>
    <n v="9110.25"/>
    <n v="1657.5"/>
    <n v="5425"/>
    <n v="16192.75"/>
    <n v="83.039743589743594"/>
  </r>
  <r>
    <d v="2023-04-15T00:00:00"/>
    <x v="1"/>
    <n v="4"/>
    <x v="6"/>
    <x v="3"/>
    <n v="191"/>
    <n v="191"/>
    <n v="0"/>
    <n v="9"/>
    <n v="0.81623931623931623"/>
    <n v="35"/>
    <n v="32"/>
    <n v="0.91428571428571426"/>
    <n v="9110.25"/>
    <n v="1623.5"/>
    <n v="5425"/>
    <n v="16158.75"/>
    <n v="84.600785340314133"/>
  </r>
  <r>
    <d v="2023-04-22T00:00:00"/>
    <x v="1"/>
    <n v="4"/>
    <x v="6"/>
    <x v="3"/>
    <n v="187"/>
    <n v="187"/>
    <n v="0"/>
    <n v="9"/>
    <n v="0.79914529914529919"/>
    <n v="35"/>
    <n v="35"/>
    <n v="1"/>
    <n v="9110.25"/>
    <n v="1589.5"/>
    <n v="5425"/>
    <n v="16124.75"/>
    <n v="86.228609625668454"/>
  </r>
  <r>
    <d v="2023-04-29T00:00:00"/>
    <x v="1"/>
    <n v="4"/>
    <x v="6"/>
    <x v="3"/>
    <n v="192"/>
    <n v="192"/>
    <n v="0"/>
    <n v="9"/>
    <n v="0.82051282051282048"/>
    <n v="35"/>
    <n v="32"/>
    <n v="0.91428571428571426"/>
    <n v="9110.25"/>
    <n v="1632"/>
    <n v="5425"/>
    <n v="16167.25"/>
    <n v="84.204427083333329"/>
  </r>
  <r>
    <d v="2023-05-06T00:00:00"/>
    <x v="1"/>
    <n v="5"/>
    <x v="6"/>
    <x v="3"/>
    <n v="193"/>
    <n v="193"/>
    <n v="0"/>
    <n v="9"/>
    <n v="0.82478632478632474"/>
    <n v="35"/>
    <n v="33"/>
    <n v="0.94285714285714284"/>
    <n v="9110.25"/>
    <n v="1640.5"/>
    <n v="5425"/>
    <n v="16175.75"/>
    <n v="83.812176165803109"/>
  </r>
  <r>
    <d v="2023-05-13T00:00:00"/>
    <x v="1"/>
    <n v="5"/>
    <x v="6"/>
    <x v="3"/>
    <n v="196"/>
    <n v="196"/>
    <n v="0"/>
    <n v="10"/>
    <n v="0.75384615384615383"/>
    <n v="35"/>
    <n v="34"/>
    <n v="0.97142857142857142"/>
    <n v="10122.5"/>
    <n v="1666"/>
    <n v="5425"/>
    <n v="17213.5"/>
    <n v="87.823979591836732"/>
  </r>
  <r>
    <d v="2023-05-20T00:00:00"/>
    <x v="1"/>
    <n v="5"/>
    <x v="6"/>
    <x v="3"/>
    <n v="195"/>
    <n v="195"/>
    <n v="0"/>
    <n v="9"/>
    <n v="0.83333333333333337"/>
    <n v="35"/>
    <n v="33"/>
    <n v="0.94285714285714284"/>
    <n v="9110.25"/>
    <n v="1657.5"/>
    <n v="5425"/>
    <n v="16192.75"/>
    <n v="83.039743589743594"/>
  </r>
  <r>
    <d v="2023-05-27T00:00:00"/>
    <x v="1"/>
    <n v="5"/>
    <x v="6"/>
    <x v="3"/>
    <n v="190"/>
    <n v="190"/>
    <n v="0"/>
    <n v="10"/>
    <n v="0.73076923076923073"/>
    <n v="35"/>
    <n v="34"/>
    <n v="0.97142857142857142"/>
    <n v="10122.5"/>
    <n v="1615"/>
    <n v="5425"/>
    <n v="17162.5"/>
    <n v="90.328947368421055"/>
  </r>
  <r>
    <d v="2023-06-03T00:00:00"/>
    <x v="1"/>
    <n v="6"/>
    <x v="6"/>
    <x v="3"/>
    <n v="191"/>
    <n v="191"/>
    <n v="0"/>
    <n v="9"/>
    <n v="0.81623931623931623"/>
    <n v="35"/>
    <n v="33"/>
    <n v="0.94285714285714284"/>
    <n v="9110.25"/>
    <n v="1623.5"/>
    <n v="5425"/>
    <n v="16158.75"/>
    <n v="84.600785340314133"/>
  </r>
  <r>
    <d v="2023-06-10T00:00:00"/>
    <x v="1"/>
    <n v="6"/>
    <x v="6"/>
    <x v="3"/>
    <n v="185"/>
    <n v="185"/>
    <n v="0"/>
    <n v="8"/>
    <n v="0.88942307692307687"/>
    <n v="35"/>
    <n v="33"/>
    <n v="0.94285714285714284"/>
    <n v="8098"/>
    <n v="1572.5"/>
    <n v="5425"/>
    <n v="15095.5"/>
    <n v="81.597297297297303"/>
  </r>
  <r>
    <d v="2023-06-17T00:00:00"/>
    <x v="1"/>
    <n v="6"/>
    <x v="6"/>
    <x v="3"/>
    <n v="192"/>
    <n v="192"/>
    <n v="0"/>
    <n v="10"/>
    <n v="0.7384615384615385"/>
    <n v="35"/>
    <n v="30"/>
    <n v="0.8571428571428571"/>
    <n v="10122.5"/>
    <n v="1632"/>
    <n v="5425"/>
    <n v="17179.5"/>
    <n v="89.4765625"/>
  </r>
  <r>
    <d v="2023-06-24T00:00:00"/>
    <x v="1"/>
    <n v="6"/>
    <x v="6"/>
    <x v="3"/>
    <n v="185"/>
    <n v="185"/>
    <n v="0"/>
    <n v="9"/>
    <n v="0.79059829059829057"/>
    <n v="35"/>
    <n v="31"/>
    <n v="0.88571428571428568"/>
    <n v="9110.25"/>
    <n v="1572.5"/>
    <n v="5425"/>
    <n v="16107.75"/>
    <n v="87.068918918918925"/>
  </r>
  <r>
    <d v="2023-07-01T00:00:00"/>
    <x v="1"/>
    <n v="7"/>
    <x v="6"/>
    <x v="3"/>
    <n v="180"/>
    <n v="180"/>
    <n v="0"/>
    <n v="9"/>
    <n v="0.76923076923076927"/>
    <n v="35"/>
    <n v="35"/>
    <n v="1"/>
    <n v="9110.25"/>
    <n v="1530"/>
    <n v="5425"/>
    <n v="16065.25"/>
    <n v="89.251388888888883"/>
  </r>
  <r>
    <d v="2023-07-08T00:00:00"/>
    <x v="1"/>
    <n v="7"/>
    <x v="6"/>
    <x v="3"/>
    <n v="182"/>
    <n v="182"/>
    <n v="0"/>
    <n v="9"/>
    <n v="0.77777777777777779"/>
    <n v="35"/>
    <n v="34"/>
    <n v="0.97142857142857142"/>
    <n v="9110.25"/>
    <n v="1547"/>
    <n v="5425"/>
    <n v="16082.25"/>
    <n v="88.364010989010993"/>
  </r>
  <r>
    <d v="2023-07-15T00:00:00"/>
    <x v="1"/>
    <n v="7"/>
    <x v="6"/>
    <x v="3"/>
    <n v="184"/>
    <n v="184"/>
    <n v="0"/>
    <n v="9"/>
    <n v="0.78632478632478631"/>
    <n v="35"/>
    <n v="33"/>
    <n v="0.94285714285714284"/>
    <n v="9110.25"/>
    <n v="1564"/>
    <n v="5425"/>
    <n v="16099.25"/>
    <n v="87.495923913043484"/>
  </r>
  <r>
    <d v="2023-07-22T00:00:00"/>
    <x v="1"/>
    <n v="7"/>
    <x v="6"/>
    <x v="3"/>
    <n v="198"/>
    <n v="198"/>
    <n v="0"/>
    <n v="10"/>
    <n v="0.7615384615384615"/>
    <n v="35"/>
    <n v="34"/>
    <n v="0.97142857142857142"/>
    <n v="10122.5"/>
    <n v="1683"/>
    <n v="5425"/>
    <n v="17230.5"/>
    <n v="87.022727272727266"/>
  </r>
  <r>
    <d v="2023-07-29T00:00:00"/>
    <x v="1"/>
    <n v="7"/>
    <x v="6"/>
    <x v="3"/>
    <n v="192"/>
    <n v="192"/>
    <n v="0"/>
    <n v="10"/>
    <n v="0.7384615384615385"/>
    <n v="35"/>
    <n v="34"/>
    <n v="0.97142857142857142"/>
    <n v="10122.5"/>
    <n v="1632"/>
    <n v="5425"/>
    <n v="17179.5"/>
    <n v="89.4765625"/>
  </r>
  <r>
    <d v="2023-08-05T00:00:00"/>
    <x v="1"/>
    <n v="8"/>
    <x v="6"/>
    <x v="3"/>
    <n v="195"/>
    <n v="195"/>
    <n v="0"/>
    <n v="10"/>
    <n v="0.75"/>
    <n v="35"/>
    <n v="35"/>
    <n v="1"/>
    <n v="10122.5"/>
    <n v="1657.5"/>
    <n v="5425"/>
    <n v="17205"/>
    <n v="88.230769230769226"/>
  </r>
  <r>
    <d v="2023-08-12T00:00:00"/>
    <x v="1"/>
    <n v="8"/>
    <x v="6"/>
    <x v="3"/>
    <n v="195"/>
    <n v="195"/>
    <n v="0"/>
    <n v="10"/>
    <n v="0.75"/>
    <n v="35"/>
    <n v="31"/>
    <n v="0.88571428571428568"/>
    <n v="10122.5"/>
    <n v="1657.5"/>
    <n v="5425"/>
    <n v="17205"/>
    <n v="88.230769230769226"/>
  </r>
  <r>
    <d v="2023-08-19T00:00:00"/>
    <x v="1"/>
    <n v="8"/>
    <x v="6"/>
    <x v="3"/>
    <n v="196"/>
    <n v="196"/>
    <n v="0"/>
    <n v="10"/>
    <n v="0.75384615384615383"/>
    <n v="35"/>
    <n v="34"/>
    <n v="0.97142857142857142"/>
    <n v="10122.5"/>
    <n v="1666"/>
    <n v="5425"/>
    <n v="17213.5"/>
    <n v="87.823979591836732"/>
  </r>
  <r>
    <d v="2023-08-26T00:00:00"/>
    <x v="1"/>
    <n v="8"/>
    <x v="6"/>
    <x v="3"/>
    <n v="194"/>
    <n v="194"/>
    <n v="0"/>
    <n v="10"/>
    <n v="0.74615384615384617"/>
    <n v="35"/>
    <n v="31"/>
    <n v="0.88571428571428568"/>
    <n v="10122.5"/>
    <n v="1649"/>
    <n v="5425"/>
    <n v="17196.5"/>
    <n v="88.641752577319593"/>
  </r>
  <r>
    <d v="2023-09-02T00:00:00"/>
    <x v="1"/>
    <n v="9"/>
    <x v="6"/>
    <x v="3"/>
    <n v="179"/>
    <n v="179"/>
    <n v="0"/>
    <n v="8"/>
    <n v="0.86057692307692313"/>
    <n v="35"/>
    <n v="31"/>
    <n v="0.88571428571428568"/>
    <n v="8098"/>
    <n v="1521.5"/>
    <n v="5425"/>
    <n v="15044.5"/>
    <n v="84.047486033519547"/>
  </r>
  <r>
    <d v="2023-09-09T00:00:00"/>
    <x v="1"/>
    <n v="9"/>
    <x v="6"/>
    <x v="3"/>
    <n v="186"/>
    <n v="186"/>
    <n v="0"/>
    <n v="10"/>
    <n v="0.7153846153846154"/>
    <n v="35"/>
    <n v="34"/>
    <n v="0.97142857142857142"/>
    <n v="10122.5"/>
    <n v="1581"/>
    <n v="5425"/>
    <n v="17128.5"/>
    <n v="92.088709677419359"/>
  </r>
  <r>
    <d v="2023-09-16T00:00:00"/>
    <x v="1"/>
    <n v="9"/>
    <x v="6"/>
    <x v="3"/>
    <n v="187"/>
    <n v="187"/>
    <n v="0"/>
    <n v="9"/>
    <n v="0.79914529914529919"/>
    <n v="35"/>
    <n v="32"/>
    <n v="0.91428571428571426"/>
    <n v="9110.25"/>
    <n v="1589.5"/>
    <n v="5425"/>
    <n v="16124.75"/>
    <n v="86.228609625668454"/>
  </r>
  <r>
    <d v="2023-09-23T00:00:00"/>
    <x v="1"/>
    <n v="9"/>
    <x v="6"/>
    <x v="3"/>
    <n v="184"/>
    <n v="184"/>
    <n v="0"/>
    <n v="9"/>
    <n v="0.78632478632478631"/>
    <n v="35"/>
    <n v="32"/>
    <n v="0.91428571428571426"/>
    <n v="9110.25"/>
    <n v="1564"/>
    <n v="5425"/>
    <n v="16099.25"/>
    <n v="87.495923913043484"/>
  </r>
  <r>
    <d v="2023-09-30T00:00:00"/>
    <x v="1"/>
    <n v="9"/>
    <x v="6"/>
    <x v="3"/>
    <n v="179"/>
    <n v="179"/>
    <n v="0"/>
    <n v="9"/>
    <n v="0.7649572649572649"/>
    <n v="35"/>
    <n v="34"/>
    <n v="0.97142857142857142"/>
    <n v="9110.25"/>
    <n v="1521.5"/>
    <n v="5425"/>
    <n v="16056.75"/>
    <n v="89.702513966480453"/>
  </r>
  <r>
    <d v="2023-10-07T00:00:00"/>
    <x v="1"/>
    <n v="10"/>
    <x v="6"/>
    <x v="3"/>
    <n v="182"/>
    <n v="182"/>
    <n v="0"/>
    <n v="9"/>
    <n v="0.77777777777777779"/>
    <n v="35"/>
    <n v="32"/>
    <n v="0.91428571428571426"/>
    <n v="9110.25"/>
    <n v="1547"/>
    <n v="5425"/>
    <n v="16082.25"/>
    <n v="88.364010989010993"/>
  </r>
  <r>
    <d v="2023-10-14T00:00:00"/>
    <x v="1"/>
    <n v="10"/>
    <x v="6"/>
    <x v="3"/>
    <n v="184"/>
    <n v="184"/>
    <n v="0"/>
    <n v="10"/>
    <n v="0.70769230769230773"/>
    <n v="35"/>
    <n v="33"/>
    <n v="0.94285714285714284"/>
    <n v="10122.5"/>
    <n v="1564"/>
    <n v="5425"/>
    <n v="17111.5"/>
    <n v="92.997282608695656"/>
  </r>
  <r>
    <d v="2023-10-21T00:00:00"/>
    <x v="1"/>
    <n v="10"/>
    <x v="6"/>
    <x v="3"/>
    <n v="198"/>
    <n v="198"/>
    <n v="0"/>
    <n v="10"/>
    <n v="0.7615384615384615"/>
    <n v="35"/>
    <n v="30"/>
    <n v="0.8571428571428571"/>
    <n v="10122.5"/>
    <n v="1683"/>
    <n v="5425"/>
    <n v="17230.5"/>
    <n v="87.022727272727266"/>
  </r>
  <r>
    <d v="2023-10-28T00:00:00"/>
    <x v="1"/>
    <n v="10"/>
    <x v="6"/>
    <x v="3"/>
    <n v="202"/>
    <n v="202"/>
    <n v="0"/>
    <n v="10"/>
    <n v="0.77692307692307694"/>
    <n v="35"/>
    <n v="31"/>
    <n v="0.88571428571428568"/>
    <n v="10122.5"/>
    <n v="1717"/>
    <n v="5425"/>
    <n v="17264.5"/>
    <n v="85.46782178217822"/>
  </r>
  <r>
    <d v="2023-11-04T00:00:00"/>
    <x v="1"/>
    <n v="11"/>
    <x v="6"/>
    <x v="3"/>
    <n v="202"/>
    <n v="202"/>
    <n v="0"/>
    <n v="9"/>
    <n v="0.86324786324786329"/>
    <n v="35"/>
    <n v="35"/>
    <n v="1"/>
    <n v="9110.25"/>
    <n v="1717"/>
    <n v="5425"/>
    <n v="16252.25"/>
    <n v="80.456683168316829"/>
  </r>
  <r>
    <d v="2023-11-11T00:00:00"/>
    <x v="1"/>
    <n v="11"/>
    <x v="6"/>
    <x v="3"/>
    <n v="225"/>
    <n v="225"/>
    <n v="0"/>
    <n v="12"/>
    <n v="0.72115384615384615"/>
    <n v="35"/>
    <n v="33"/>
    <n v="0.94285714285714284"/>
    <n v="12147"/>
    <n v="1912.5"/>
    <n v="5425"/>
    <n v="19484.5"/>
    <n v="86.597777777777779"/>
  </r>
  <r>
    <d v="2023-11-18T00:00:00"/>
    <x v="1"/>
    <n v="11"/>
    <x v="6"/>
    <x v="3"/>
    <n v="247"/>
    <n v="246"/>
    <n v="1"/>
    <n v="12"/>
    <n v="0.78846153846153844"/>
    <n v="35"/>
    <n v="34"/>
    <n v="0.97142857142857142"/>
    <n v="12147"/>
    <n v="2091"/>
    <n v="5425"/>
    <n v="19663"/>
    <n v="79.930894308943095"/>
  </r>
  <r>
    <d v="2023-11-25T00:00:00"/>
    <x v="1"/>
    <n v="11"/>
    <x v="6"/>
    <x v="3"/>
    <n v="249"/>
    <n v="246"/>
    <n v="4"/>
    <n v="13"/>
    <n v="0.72781065088757402"/>
    <n v="35"/>
    <n v="31"/>
    <n v="0.88571428571428568"/>
    <n v="13159.25"/>
    <n v="2091"/>
    <n v="5425"/>
    <n v="20675.25"/>
    <n v="84.045731707317074"/>
  </r>
  <r>
    <d v="2023-12-02T00:00:00"/>
    <x v="1"/>
    <n v="12"/>
    <x v="6"/>
    <x v="3"/>
    <n v="278"/>
    <n v="268"/>
    <n v="14"/>
    <n v="14"/>
    <n v="0.73626373626373631"/>
    <n v="35"/>
    <n v="35"/>
    <n v="1"/>
    <n v="14171.5"/>
    <n v="2278"/>
    <n v="5425"/>
    <n v="21874.5"/>
    <n v="81.621268656716424"/>
  </r>
  <r>
    <d v="2023-12-09T00:00:00"/>
    <x v="1"/>
    <n v="12"/>
    <x v="6"/>
    <x v="3"/>
    <n v="299"/>
    <n v="278"/>
    <n v="35"/>
    <n v="13"/>
    <n v="0.8224852071005917"/>
    <n v="35"/>
    <n v="33"/>
    <n v="0.94285714285714284"/>
    <n v="13159.25"/>
    <n v="2363"/>
    <n v="5425"/>
    <n v="20947.25"/>
    <n v="75.349820143884898"/>
  </r>
  <r>
    <d v="2023-12-16T00:00:00"/>
    <x v="1"/>
    <n v="12"/>
    <x v="6"/>
    <x v="3"/>
    <n v="282"/>
    <n v="279"/>
    <n v="38"/>
    <n v="15"/>
    <n v="0.7153846153846154"/>
    <n v="35"/>
    <n v="32"/>
    <n v="0.91428571428571426"/>
    <n v="15183.75"/>
    <n v="2371.5"/>
    <n v="5425"/>
    <n v="22980.25"/>
    <n v="82.366487455197131"/>
  </r>
  <r>
    <d v="2023-12-23T00:00:00"/>
    <x v="1"/>
    <n v="12"/>
    <x v="6"/>
    <x v="3"/>
    <n v="251"/>
    <n v="264"/>
    <n v="25"/>
    <n v="12"/>
    <n v="0.84615384615384615"/>
    <n v="35"/>
    <n v="34"/>
    <n v="0.97142857142857142"/>
    <n v="12147"/>
    <n v="2244"/>
    <n v="5425"/>
    <n v="19816"/>
    <n v="75.060606060606062"/>
  </r>
  <r>
    <d v="2023-12-30T00:00:00"/>
    <x v="1"/>
    <n v="12"/>
    <x v="6"/>
    <x v="3"/>
    <n v="219"/>
    <n v="233"/>
    <n v="11"/>
    <n v="12"/>
    <n v="0.74679487179487181"/>
    <n v="35"/>
    <n v="30"/>
    <n v="0.8571428571428571"/>
    <n v="12147"/>
    <n v="1980.5"/>
    <n v="5425"/>
    <n v="19552.5"/>
    <n v="83.91630901287553"/>
  </r>
  <r>
    <d v="2024-01-06T00:00:00"/>
    <x v="2"/>
    <n v="1"/>
    <x v="6"/>
    <x v="3"/>
    <n v="169"/>
    <n v="180"/>
    <n v="0"/>
    <n v="9"/>
    <n v="0.76923076923076927"/>
    <n v="35"/>
    <n v="31"/>
    <n v="0.88571428571428568"/>
    <n v="9110.25"/>
    <n v="1530"/>
    <n v="5425"/>
    <n v="16065.25"/>
    <n v="89.251388888888883"/>
  </r>
  <r>
    <d v="2024-01-13T00:00:00"/>
    <x v="2"/>
    <n v="1"/>
    <x v="6"/>
    <x v="3"/>
    <n v="138"/>
    <n v="138"/>
    <n v="0"/>
    <n v="8"/>
    <n v="0.66346153846153844"/>
    <n v="35"/>
    <n v="34"/>
    <n v="0.97142857142857142"/>
    <n v="8098"/>
    <n v="1173"/>
    <n v="5425"/>
    <n v="14696"/>
    <n v="106.49275362318841"/>
  </r>
  <r>
    <d v="2024-01-20T00:00:00"/>
    <x v="2"/>
    <n v="1"/>
    <x v="6"/>
    <x v="3"/>
    <n v="147"/>
    <n v="147"/>
    <n v="0"/>
    <n v="8"/>
    <n v="0.70673076923076927"/>
    <n v="35"/>
    <n v="32"/>
    <n v="0.91428571428571426"/>
    <n v="8098"/>
    <n v="1249.5"/>
    <n v="5425"/>
    <n v="14772.5"/>
    <n v="100.49319727891159"/>
  </r>
  <r>
    <d v="2024-01-27T00:00:00"/>
    <x v="2"/>
    <n v="1"/>
    <x v="6"/>
    <x v="3"/>
    <n v="164"/>
    <n v="164"/>
    <n v="0"/>
    <n v="8"/>
    <n v="0.78846153846153844"/>
    <n v="35"/>
    <n v="33"/>
    <n v="0.94285714285714284"/>
    <n v="8098"/>
    <n v="1394"/>
    <n v="5425"/>
    <n v="14917"/>
    <n v="90.957317073170728"/>
  </r>
  <r>
    <d v="2024-02-03T00:00:00"/>
    <x v="2"/>
    <n v="2"/>
    <x v="6"/>
    <x v="3"/>
    <n v="171"/>
    <n v="171"/>
    <n v="0"/>
    <n v="8"/>
    <n v="0.82211538461538458"/>
    <n v="35"/>
    <n v="33"/>
    <n v="0.94285714285714284"/>
    <n v="8098"/>
    <n v="1453.5"/>
    <n v="5425"/>
    <n v="14976.5"/>
    <n v="87.581871345029242"/>
  </r>
  <r>
    <d v="2024-02-10T00:00:00"/>
    <x v="2"/>
    <n v="2"/>
    <x v="6"/>
    <x v="3"/>
    <n v="177"/>
    <n v="177"/>
    <n v="0"/>
    <n v="9"/>
    <n v="0.75641025641025639"/>
    <n v="35"/>
    <n v="33"/>
    <n v="0.94285714285714284"/>
    <n v="9110.25"/>
    <n v="1504.5"/>
    <n v="5425"/>
    <n v="16039.75"/>
    <n v="90.620056497175142"/>
  </r>
  <r>
    <d v="2024-02-17T00:00:00"/>
    <x v="2"/>
    <n v="2"/>
    <x v="6"/>
    <x v="3"/>
    <n v="176"/>
    <n v="176"/>
    <n v="0"/>
    <n v="9"/>
    <n v="0.75213675213675213"/>
    <n v="35"/>
    <n v="31"/>
    <n v="0.88571428571428568"/>
    <n v="9110.25"/>
    <n v="1496"/>
    <n v="5425"/>
    <n v="16031.25"/>
    <n v="91.086647727272734"/>
  </r>
  <r>
    <d v="2024-02-24T00:00:00"/>
    <x v="2"/>
    <n v="2"/>
    <x v="6"/>
    <x v="3"/>
    <n v="174"/>
    <n v="174"/>
    <n v="0"/>
    <n v="9"/>
    <n v="0.74358974358974361"/>
    <n v="35"/>
    <n v="31"/>
    <n v="0.88571428571428568"/>
    <n v="9110.25"/>
    <n v="1479"/>
    <n v="5425"/>
    <n v="16014.25"/>
    <n v="92.035919540229884"/>
  </r>
  <r>
    <d v="2024-03-02T00:00:00"/>
    <x v="2"/>
    <n v="3"/>
    <x v="6"/>
    <x v="3"/>
    <n v="191"/>
    <n v="191"/>
    <n v="0"/>
    <n v="9"/>
    <n v="0.81623931623931623"/>
    <n v="35"/>
    <n v="32"/>
    <n v="0.91428571428571426"/>
    <n v="9110.25"/>
    <n v="1623.5"/>
    <n v="5425"/>
    <n v="16158.75"/>
    <n v="84.600785340314133"/>
  </r>
  <r>
    <d v="2024-03-09T00:00:00"/>
    <x v="2"/>
    <n v="3"/>
    <x v="6"/>
    <x v="3"/>
    <n v="180"/>
    <n v="180"/>
    <n v="0"/>
    <n v="9"/>
    <n v="0.76923076923076927"/>
    <n v="35"/>
    <n v="31"/>
    <n v="0.88571428571428568"/>
    <n v="9110.25"/>
    <n v="1530"/>
    <n v="5425"/>
    <n v="16065.25"/>
    <n v="89.251388888888883"/>
  </r>
  <r>
    <d v="2024-03-16T00:00:00"/>
    <x v="2"/>
    <n v="3"/>
    <x v="6"/>
    <x v="3"/>
    <n v="197"/>
    <n v="197"/>
    <n v="0"/>
    <n v="9"/>
    <n v="0.84188034188034189"/>
    <n v="35"/>
    <n v="32"/>
    <n v="0.91428571428571426"/>
    <n v="9110.25"/>
    <n v="1674.5"/>
    <n v="5425"/>
    <n v="16209.75"/>
    <n v="82.282994923857871"/>
  </r>
  <r>
    <d v="2024-03-23T00:00:00"/>
    <x v="2"/>
    <n v="3"/>
    <x v="6"/>
    <x v="3"/>
    <n v="180"/>
    <n v="180"/>
    <n v="0"/>
    <n v="9"/>
    <n v="0.76923076923076927"/>
    <n v="35"/>
    <n v="34"/>
    <n v="0.97142857142857142"/>
    <n v="9110.25"/>
    <n v="1530"/>
    <n v="5425"/>
    <n v="16065.25"/>
    <n v="89.251388888888883"/>
  </r>
  <r>
    <d v="2024-03-30T00:00:00"/>
    <x v="2"/>
    <n v="3"/>
    <x v="6"/>
    <x v="3"/>
    <n v="180"/>
    <n v="180"/>
    <n v="0"/>
    <n v="9"/>
    <n v="0.76923076923076927"/>
    <n v="35"/>
    <n v="34"/>
    <n v="0.97142857142857142"/>
    <n v="9110.25"/>
    <n v="1530"/>
    <n v="5425"/>
    <n v="16065.25"/>
    <n v="89.251388888888883"/>
  </r>
  <r>
    <d v="2024-04-06T00:00:00"/>
    <x v="2"/>
    <n v="4"/>
    <x v="6"/>
    <x v="3"/>
    <n v="187"/>
    <n v="187"/>
    <n v="0"/>
    <n v="9"/>
    <n v="0.79914529914529919"/>
    <n v="35"/>
    <n v="30"/>
    <n v="0.8571428571428571"/>
    <n v="9110.25"/>
    <n v="1589.5"/>
    <n v="5425"/>
    <n v="16124.75"/>
    <n v="86.228609625668454"/>
  </r>
  <r>
    <d v="2024-04-13T00:00:00"/>
    <x v="2"/>
    <n v="4"/>
    <x v="6"/>
    <x v="3"/>
    <n v="192"/>
    <n v="192"/>
    <n v="0"/>
    <n v="10"/>
    <n v="0.7384615384615385"/>
    <n v="35"/>
    <n v="33"/>
    <n v="0.94285714285714284"/>
    <n v="10122.5"/>
    <n v="1632"/>
    <n v="5425"/>
    <n v="17179.5"/>
    <n v="89.4765625"/>
  </r>
  <r>
    <d v="2024-04-20T00:00:00"/>
    <x v="2"/>
    <n v="4"/>
    <x v="6"/>
    <x v="3"/>
    <n v="186"/>
    <n v="186"/>
    <n v="0"/>
    <n v="9"/>
    <n v="0.79487179487179482"/>
    <n v="35"/>
    <n v="35"/>
    <n v="1"/>
    <n v="9110.25"/>
    <n v="1581"/>
    <n v="5425"/>
    <n v="16116.25"/>
    <n v="86.646505376344081"/>
  </r>
  <r>
    <d v="2024-04-27T00:00:00"/>
    <x v="2"/>
    <n v="4"/>
    <x v="6"/>
    <x v="3"/>
    <n v="202"/>
    <n v="202"/>
    <n v="0"/>
    <n v="9"/>
    <n v="0.86324786324786329"/>
    <n v="35"/>
    <n v="35"/>
    <n v="1"/>
    <n v="9110.25"/>
    <n v="1717"/>
    <n v="5425"/>
    <n v="16252.25"/>
    <n v="80.456683168316829"/>
  </r>
  <r>
    <d v="2024-05-04T00:00:00"/>
    <x v="2"/>
    <n v="5"/>
    <x v="6"/>
    <x v="3"/>
    <n v="200"/>
    <n v="200"/>
    <n v="0"/>
    <n v="10"/>
    <n v="0.76923076923076927"/>
    <n v="35"/>
    <n v="34"/>
    <n v="0.97142857142857142"/>
    <n v="10122.5"/>
    <n v="1700"/>
    <n v="5425"/>
    <n v="17247.5"/>
    <n v="86.237499999999997"/>
  </r>
  <r>
    <d v="2024-05-11T00:00:00"/>
    <x v="2"/>
    <n v="5"/>
    <x v="6"/>
    <x v="3"/>
    <n v="203"/>
    <n v="203"/>
    <n v="0"/>
    <n v="10"/>
    <n v="0.78076923076923077"/>
    <n v="35"/>
    <n v="34"/>
    <n v="0.97142857142857142"/>
    <n v="10122.5"/>
    <n v="1725.5"/>
    <n v="5425"/>
    <n v="17273"/>
    <n v="85.088669950738918"/>
  </r>
  <r>
    <d v="2024-05-18T00:00:00"/>
    <x v="2"/>
    <n v="5"/>
    <x v="6"/>
    <x v="3"/>
    <n v="202"/>
    <n v="202"/>
    <n v="0"/>
    <n v="10"/>
    <n v="0.77692307692307694"/>
    <n v="35"/>
    <n v="32"/>
    <n v="0.91428571428571426"/>
    <n v="10122.5"/>
    <n v="1717"/>
    <n v="5425"/>
    <n v="17264.5"/>
    <n v="85.46782178217822"/>
  </r>
  <r>
    <d v="2024-05-25T00:00:00"/>
    <x v="2"/>
    <n v="5"/>
    <x v="6"/>
    <x v="3"/>
    <n v="199"/>
    <n v="199"/>
    <n v="0"/>
    <n v="10"/>
    <n v="0.76538461538461533"/>
    <n v="35"/>
    <n v="33"/>
    <n v="0.94285714285714284"/>
    <n v="10122.5"/>
    <n v="1691.5"/>
    <n v="5425"/>
    <n v="17239"/>
    <n v="86.628140703517587"/>
  </r>
  <r>
    <d v="2024-06-01T00:00:00"/>
    <x v="2"/>
    <n v="6"/>
    <x v="6"/>
    <x v="3"/>
    <n v="197"/>
    <n v="197"/>
    <n v="0"/>
    <n v="9"/>
    <n v="0.84188034188034189"/>
    <n v="35"/>
    <n v="32"/>
    <n v="0.91428571428571426"/>
    <n v="9110.25"/>
    <n v="1674.5"/>
    <n v="5425"/>
    <n v="16209.75"/>
    <n v="82.282994923857871"/>
  </r>
  <r>
    <d v="2024-06-08T00:00:00"/>
    <x v="2"/>
    <n v="6"/>
    <x v="6"/>
    <x v="3"/>
    <n v="201"/>
    <n v="201"/>
    <n v="0"/>
    <n v="10"/>
    <n v="0.77307692307692311"/>
    <n v="35"/>
    <n v="35"/>
    <n v="1"/>
    <n v="10122.5"/>
    <n v="1708.5"/>
    <n v="5425"/>
    <n v="17256"/>
    <n v="85.850746268656721"/>
  </r>
  <r>
    <d v="2024-06-15T00:00:00"/>
    <x v="2"/>
    <n v="6"/>
    <x v="6"/>
    <x v="3"/>
    <n v="187"/>
    <n v="187"/>
    <n v="0"/>
    <n v="9"/>
    <n v="0.79914529914529919"/>
    <n v="35"/>
    <n v="34"/>
    <n v="0.97142857142857142"/>
    <n v="9110.25"/>
    <n v="1589.5"/>
    <n v="5425"/>
    <n v="16124.75"/>
    <n v="86.228609625668454"/>
  </r>
  <r>
    <d v="2024-06-22T00:00:00"/>
    <x v="2"/>
    <n v="6"/>
    <x v="6"/>
    <x v="3"/>
    <n v="187"/>
    <n v="187"/>
    <n v="0"/>
    <n v="9"/>
    <n v="0.79914529914529919"/>
    <n v="35"/>
    <n v="31"/>
    <n v="0.88571428571428568"/>
    <n v="9110.25"/>
    <n v="1589.5"/>
    <n v="5425"/>
    <n v="16124.75"/>
    <n v="86.228609625668454"/>
  </r>
  <r>
    <d v="2024-06-29T00:00:00"/>
    <x v="2"/>
    <n v="6"/>
    <x v="6"/>
    <x v="3"/>
    <n v="190"/>
    <n v="190"/>
    <n v="0"/>
    <n v="9"/>
    <n v="0.81196581196581197"/>
    <n v="35"/>
    <n v="34"/>
    <n v="0.97142857142857142"/>
    <n v="9110.25"/>
    <n v="1615"/>
    <n v="5425"/>
    <n v="16150.25"/>
    <n v="85.001315789473679"/>
  </r>
  <r>
    <d v="2024-07-06T00:00:00"/>
    <x v="2"/>
    <n v="7"/>
    <x v="6"/>
    <x v="3"/>
    <n v="187"/>
    <n v="187"/>
    <n v="0"/>
    <n v="9"/>
    <n v="0.79914529914529919"/>
    <n v="35"/>
    <n v="33"/>
    <n v="0.94285714285714284"/>
    <n v="9110.25"/>
    <n v="1589.5"/>
    <n v="5425"/>
    <n v="16124.75"/>
    <n v="86.228609625668454"/>
  </r>
  <r>
    <d v="2024-07-13T00:00:00"/>
    <x v="2"/>
    <n v="7"/>
    <x v="6"/>
    <x v="3"/>
    <n v="192"/>
    <n v="192"/>
    <n v="0"/>
    <n v="10"/>
    <n v="0.7384615384615385"/>
    <n v="35"/>
    <n v="33"/>
    <n v="0.94285714285714284"/>
    <n v="10122.5"/>
    <n v="1632"/>
    <n v="5425"/>
    <n v="17179.5"/>
    <n v="89.4765625"/>
  </r>
  <r>
    <d v="2024-07-20T00:00:00"/>
    <x v="2"/>
    <n v="7"/>
    <x v="6"/>
    <x v="3"/>
    <n v="194"/>
    <n v="194"/>
    <n v="0"/>
    <n v="10"/>
    <n v="0.74615384615384617"/>
    <n v="35"/>
    <n v="33"/>
    <n v="0.94285714285714284"/>
    <n v="10122.5"/>
    <n v="1649"/>
    <n v="5425"/>
    <n v="17196.5"/>
    <n v="88.641752577319593"/>
  </r>
  <r>
    <d v="2024-07-27T00:00:00"/>
    <x v="2"/>
    <n v="7"/>
    <x v="6"/>
    <x v="3"/>
    <n v="200"/>
    <n v="200"/>
    <n v="0"/>
    <n v="10"/>
    <n v="0.76923076923076927"/>
    <n v="35"/>
    <n v="35"/>
    <n v="1"/>
    <n v="10122.5"/>
    <n v="1700"/>
    <n v="5425"/>
    <n v="17247.5"/>
    <n v="86.237499999999997"/>
  </r>
  <r>
    <d v="2024-08-03T00:00:00"/>
    <x v="2"/>
    <n v="8"/>
    <x v="6"/>
    <x v="3"/>
    <n v="208"/>
    <n v="208"/>
    <n v="0"/>
    <n v="11"/>
    <n v="0.72727272727272729"/>
    <n v="35"/>
    <n v="32"/>
    <n v="0.91428571428571426"/>
    <n v="11134.75"/>
    <n v="1768"/>
    <n v="5425"/>
    <n v="18327.75"/>
    <n v="88.114182692307693"/>
  </r>
  <r>
    <d v="2024-08-10T00:00:00"/>
    <x v="2"/>
    <n v="8"/>
    <x v="6"/>
    <x v="3"/>
    <n v="204"/>
    <n v="204"/>
    <n v="0"/>
    <n v="10"/>
    <n v="0.7846153846153846"/>
    <n v="35"/>
    <n v="32"/>
    <n v="0.91428571428571426"/>
    <n v="10122.5"/>
    <n v="1734"/>
    <n v="5425"/>
    <n v="17281.5"/>
    <n v="84.713235294117652"/>
  </r>
  <r>
    <d v="2024-08-17T00:00:00"/>
    <x v="2"/>
    <n v="8"/>
    <x v="6"/>
    <x v="3"/>
    <n v="197"/>
    <n v="197"/>
    <n v="0"/>
    <n v="10"/>
    <n v="0.75769230769230766"/>
    <n v="35"/>
    <n v="35"/>
    <n v="1"/>
    <n v="10122.5"/>
    <n v="1674.5"/>
    <n v="5425"/>
    <n v="17222"/>
    <n v="87.421319796954322"/>
  </r>
  <r>
    <d v="2024-08-24T00:00:00"/>
    <x v="2"/>
    <n v="8"/>
    <x v="6"/>
    <x v="3"/>
    <n v="190"/>
    <n v="190"/>
    <n v="0"/>
    <n v="10"/>
    <n v="0.73076923076923073"/>
    <n v="35"/>
    <n v="34"/>
    <n v="0.97142857142857142"/>
    <n v="10122.5"/>
    <n v="1615"/>
    <n v="5425"/>
    <n v="17162.5"/>
    <n v="90.328947368421055"/>
  </r>
  <r>
    <d v="2024-08-31T00:00:00"/>
    <x v="2"/>
    <n v="8"/>
    <x v="6"/>
    <x v="3"/>
    <n v="181"/>
    <n v="181"/>
    <n v="0"/>
    <n v="10"/>
    <n v="0.69615384615384612"/>
    <n v="35"/>
    <n v="33"/>
    <n v="0.94285714285714284"/>
    <n v="10122.5"/>
    <n v="1538.5"/>
    <n v="5425"/>
    <n v="17086"/>
    <n v="94.39779005524862"/>
  </r>
  <r>
    <d v="2024-09-07T00:00:00"/>
    <x v="2"/>
    <n v="9"/>
    <x v="6"/>
    <x v="3"/>
    <n v="180"/>
    <n v="180"/>
    <n v="0"/>
    <n v="9"/>
    <n v="0.76923076923076927"/>
    <n v="35"/>
    <n v="35"/>
    <n v="1"/>
    <n v="9110.25"/>
    <n v="1530"/>
    <n v="5425"/>
    <n v="16065.25"/>
    <n v="89.251388888888883"/>
  </r>
  <r>
    <d v="2024-09-14T00:00:00"/>
    <x v="2"/>
    <n v="9"/>
    <x v="6"/>
    <x v="3"/>
    <n v="177"/>
    <n v="177"/>
    <n v="0"/>
    <n v="8"/>
    <n v="0.85096153846153844"/>
    <n v="35"/>
    <n v="33"/>
    <n v="0.94285714285714284"/>
    <n v="8098"/>
    <n v="1504.5"/>
    <n v="5425"/>
    <n v="15027.5"/>
    <n v="84.901129943502823"/>
  </r>
  <r>
    <d v="2024-09-21T00:00:00"/>
    <x v="2"/>
    <n v="9"/>
    <x v="6"/>
    <x v="3"/>
    <n v="185"/>
    <n v="185"/>
    <n v="0"/>
    <n v="8"/>
    <n v="0.88942307692307687"/>
    <n v="35"/>
    <n v="35"/>
    <n v="1"/>
    <n v="8098"/>
    <n v="1572.5"/>
    <n v="5425"/>
    <n v="15095.5"/>
    <n v="81.597297297297303"/>
  </r>
  <r>
    <d v="2024-09-28T00:00:00"/>
    <x v="2"/>
    <n v="9"/>
    <x v="6"/>
    <x v="3"/>
    <n v="180"/>
    <n v="180"/>
    <n v="0"/>
    <n v="9"/>
    <n v="0.76923076923076927"/>
    <n v="35"/>
    <n v="33"/>
    <n v="0.94285714285714284"/>
    <n v="9110.25"/>
    <n v="1530"/>
    <n v="5425"/>
    <n v="16065.25"/>
    <n v="89.251388888888883"/>
  </r>
  <r>
    <d v="2024-10-05T00:00:00"/>
    <x v="2"/>
    <n v="10"/>
    <x v="6"/>
    <x v="3"/>
    <n v="183"/>
    <n v="183"/>
    <n v="0"/>
    <n v="9"/>
    <n v="0.78205128205128205"/>
    <n v="35"/>
    <n v="30"/>
    <n v="0.8571428571428571"/>
    <n v="9110.25"/>
    <n v="1555.5"/>
    <n v="5425"/>
    <n v="16090.75"/>
    <n v="87.927595628415304"/>
  </r>
  <r>
    <d v="2024-10-12T00:00:00"/>
    <x v="2"/>
    <n v="10"/>
    <x v="6"/>
    <x v="3"/>
    <n v="189"/>
    <n v="189"/>
    <n v="0"/>
    <n v="10"/>
    <n v="0.72692307692307689"/>
    <n v="35"/>
    <n v="31"/>
    <n v="0.88571428571428568"/>
    <n v="10122.5"/>
    <n v="1606.5"/>
    <n v="5425"/>
    <n v="17154"/>
    <n v="90.761904761904759"/>
  </r>
  <r>
    <d v="2024-10-19T00:00:00"/>
    <x v="2"/>
    <n v="10"/>
    <x v="6"/>
    <x v="3"/>
    <n v="198"/>
    <n v="198"/>
    <n v="0"/>
    <n v="10"/>
    <n v="0.7615384615384615"/>
    <n v="35"/>
    <n v="32"/>
    <n v="0.91428571428571426"/>
    <n v="10122.5"/>
    <n v="1683"/>
    <n v="5425"/>
    <n v="17230.5"/>
    <n v="87.022727272727266"/>
  </r>
  <r>
    <d v="2024-10-26T00:00:00"/>
    <x v="2"/>
    <n v="10"/>
    <x v="6"/>
    <x v="3"/>
    <n v="209"/>
    <n v="209"/>
    <n v="0"/>
    <n v="10"/>
    <n v="0.80384615384615388"/>
    <n v="35"/>
    <n v="35"/>
    <n v="1"/>
    <n v="10122.5"/>
    <n v="1776.5"/>
    <n v="5425"/>
    <n v="17324"/>
    <n v="82.889952153110045"/>
  </r>
  <r>
    <d v="2024-11-02T00:00:00"/>
    <x v="2"/>
    <n v="11"/>
    <x v="6"/>
    <x v="3"/>
    <n v="207"/>
    <n v="207"/>
    <n v="0"/>
    <n v="10"/>
    <n v="0.7961538461538461"/>
    <n v="35"/>
    <n v="34"/>
    <n v="0.97142857142857142"/>
    <n v="10122.5"/>
    <n v="1759.5"/>
    <n v="5425"/>
    <n v="17307"/>
    <n v="83.608695652173907"/>
  </r>
  <r>
    <d v="2024-11-09T00:00:00"/>
    <x v="2"/>
    <n v="11"/>
    <x v="6"/>
    <x v="3"/>
    <n v="233"/>
    <n v="233"/>
    <n v="0"/>
    <n v="12"/>
    <n v="0.74679487179487181"/>
    <n v="35"/>
    <n v="34"/>
    <n v="0.97142857142857142"/>
    <n v="12147"/>
    <n v="1980.5"/>
    <n v="5425"/>
    <n v="19552.5"/>
    <n v="83.91630901287553"/>
  </r>
  <r>
    <d v="2024-11-16T00:00:00"/>
    <x v="2"/>
    <n v="11"/>
    <x v="6"/>
    <x v="3"/>
    <n v="243"/>
    <n v="243"/>
    <n v="0"/>
    <n v="12"/>
    <n v="0.77884615384615385"/>
    <n v="35"/>
    <n v="34"/>
    <n v="0.97142857142857142"/>
    <n v="12147"/>
    <n v="2065.5"/>
    <n v="5425"/>
    <n v="19637.5"/>
    <n v="80.812757201646093"/>
  </r>
  <r>
    <d v="2024-11-23T00:00:00"/>
    <x v="2"/>
    <n v="11"/>
    <x v="6"/>
    <x v="3"/>
    <n v="253"/>
    <n v="252"/>
    <n v="1"/>
    <n v="13"/>
    <n v="0.74556213017751483"/>
    <n v="35"/>
    <n v="29"/>
    <n v="0.82857142857142863"/>
    <n v="13159.25"/>
    <n v="2142"/>
    <n v="5425"/>
    <n v="20726.25"/>
    <n v="82.24702380952381"/>
  </r>
  <r>
    <d v="2024-11-30T00:00:00"/>
    <x v="2"/>
    <n v="11"/>
    <x v="6"/>
    <x v="3"/>
    <n v="285"/>
    <n v="273"/>
    <n v="13"/>
    <n v="15"/>
    <n v="0.7"/>
    <n v="35"/>
    <n v="35"/>
    <n v="1"/>
    <n v="15183.75"/>
    <n v="2320.5"/>
    <n v="5425"/>
    <n v="22929.25"/>
    <n v="83.989926739926744"/>
  </r>
  <r>
    <d v="2024-12-07T00:00:00"/>
    <x v="2"/>
    <n v="12"/>
    <x v="6"/>
    <x v="3"/>
    <n v="299"/>
    <n v="279"/>
    <n v="33"/>
    <n v="14"/>
    <n v="0.76648351648351654"/>
    <n v="35"/>
    <n v="32"/>
    <n v="0.91428571428571426"/>
    <n v="14171.5"/>
    <n v="2371.5"/>
    <n v="5425"/>
    <n v="21968"/>
    <n v="78.738351254480293"/>
  </r>
  <r>
    <d v="2024-12-14T00:00:00"/>
    <x v="2"/>
    <n v="12"/>
    <x v="6"/>
    <x v="3"/>
    <n v="300"/>
    <n v="282"/>
    <n v="51"/>
    <n v="14"/>
    <n v="0.77472527472527475"/>
    <n v="35"/>
    <n v="35"/>
    <n v="1"/>
    <n v="14171.5"/>
    <n v="2397"/>
    <n v="5425"/>
    <n v="21993.5"/>
    <n v="77.991134751773046"/>
  </r>
  <r>
    <d v="2024-12-21T00:00:00"/>
    <x v="2"/>
    <n v="12"/>
    <x v="6"/>
    <x v="3"/>
    <n v="278"/>
    <n v="276"/>
    <n v="53"/>
    <n v="15"/>
    <n v="0.70769230769230773"/>
    <n v="35"/>
    <n v="34"/>
    <n v="0.97142857142857142"/>
    <n v="15183.75"/>
    <n v="2346"/>
    <n v="5425"/>
    <n v="22954.75"/>
    <n v="83.169384057971016"/>
  </r>
  <r>
    <d v="2024-12-28T00:00:00"/>
    <x v="2"/>
    <n v="12"/>
    <x v="6"/>
    <x v="3"/>
    <n v="230"/>
    <n v="265"/>
    <n v="18"/>
    <n v="13"/>
    <n v="0.78402366863905326"/>
    <n v="35"/>
    <n v="32"/>
    <n v="0.91428571428571426"/>
    <n v="13159.25"/>
    <n v="2252.5"/>
    <n v="5425"/>
    <n v="20836.75"/>
    <n v="78.629245283018861"/>
  </r>
  <r>
    <d v="2025-01-04T00:00:00"/>
    <x v="3"/>
    <n v="1"/>
    <x v="6"/>
    <x v="3"/>
    <n v="190"/>
    <n v="204"/>
    <n v="4"/>
    <n v="10"/>
    <n v="0.7846153846153846"/>
    <n v="35"/>
    <n v="33"/>
    <n v="0.94285714285714284"/>
    <n v="10122.5"/>
    <n v="1734"/>
    <n v="5425"/>
    <n v="17281.5"/>
    <n v="84.713235294117652"/>
  </r>
  <r>
    <d v="2025-01-11T00:00:00"/>
    <x v="3"/>
    <n v="1"/>
    <x v="6"/>
    <x v="3"/>
    <n v="149"/>
    <n v="153"/>
    <n v="0"/>
    <n v="8"/>
    <n v="0.73557692307692313"/>
    <n v="35"/>
    <n v="31"/>
    <n v="0.88571428571428568"/>
    <n v="8098"/>
    <n v="1300.5"/>
    <n v="5425"/>
    <n v="14823.5"/>
    <n v="96.885620915032675"/>
  </r>
  <r>
    <d v="2025-01-18T00:00:00"/>
    <x v="3"/>
    <n v="1"/>
    <x v="6"/>
    <x v="3"/>
    <n v="159"/>
    <n v="159"/>
    <n v="0"/>
    <n v="8"/>
    <n v="0.76442307692307687"/>
    <n v="35"/>
    <n v="34"/>
    <n v="0.97142857142857142"/>
    <n v="8098"/>
    <n v="1351.5"/>
    <n v="5425"/>
    <n v="14874.5"/>
    <n v="93.550314465408803"/>
  </r>
  <r>
    <d v="2025-01-25T00:00:00"/>
    <x v="3"/>
    <n v="1"/>
    <x v="6"/>
    <x v="3"/>
    <n v="165"/>
    <n v="165"/>
    <n v="0"/>
    <n v="8"/>
    <n v="0.79326923076923073"/>
    <n v="35"/>
    <n v="33"/>
    <n v="0.94285714285714284"/>
    <n v="8098"/>
    <n v="1402.5"/>
    <n v="5425"/>
    <n v="14925.5"/>
    <n v="90.457575757575754"/>
  </r>
  <r>
    <d v="2025-02-01T00:00:00"/>
    <x v="3"/>
    <n v="2"/>
    <x v="6"/>
    <x v="3"/>
    <n v="166"/>
    <n v="166"/>
    <n v="0"/>
    <n v="8"/>
    <n v="0.79807692307692313"/>
    <n v="37"/>
    <n v="36"/>
    <n v="0.97297297297297303"/>
    <n v="8098"/>
    <n v="1411"/>
    <n v="5735"/>
    <n v="15244"/>
    <n v="91.831325301204814"/>
  </r>
  <r>
    <d v="2025-02-08T00:00:00"/>
    <x v="3"/>
    <n v="2"/>
    <x v="6"/>
    <x v="3"/>
    <n v="171"/>
    <n v="171"/>
    <n v="0"/>
    <n v="9"/>
    <n v="0.73076923076923073"/>
    <n v="37"/>
    <n v="37"/>
    <n v="1"/>
    <n v="9110.25"/>
    <n v="1453.5"/>
    <n v="5735"/>
    <n v="16298.75"/>
    <n v="95.314327485380119"/>
  </r>
  <r>
    <d v="2025-02-15T00:00:00"/>
    <x v="3"/>
    <n v="2"/>
    <x v="6"/>
    <x v="3"/>
    <n v="188"/>
    <n v="188"/>
    <n v="0"/>
    <n v="9"/>
    <n v="0.80341880341880345"/>
    <n v="37"/>
    <n v="35"/>
    <n v="0.94594594594594594"/>
    <n v="9110.25"/>
    <n v="1598"/>
    <n v="5735"/>
    <n v="16443.25"/>
    <n v="87.464095744680847"/>
  </r>
  <r>
    <d v="2025-02-22T00:00:00"/>
    <x v="3"/>
    <n v="2"/>
    <x v="6"/>
    <x v="3"/>
    <n v="182"/>
    <n v="182"/>
    <n v="0"/>
    <n v="9"/>
    <n v="0.77777777777777779"/>
    <n v="37"/>
    <n v="36"/>
    <n v="0.97297297297297303"/>
    <n v="9110.25"/>
    <n v="1547"/>
    <n v="5735"/>
    <n v="16392.25"/>
    <n v="90.067307692307693"/>
  </r>
  <r>
    <d v="2025-03-01T00:00:00"/>
    <x v="3"/>
    <n v="3"/>
    <x v="6"/>
    <x v="3"/>
    <n v="193"/>
    <n v="193"/>
    <n v="0"/>
    <n v="9"/>
    <n v="0.82478632478632474"/>
    <n v="37"/>
    <n v="36"/>
    <n v="0.97297297297297303"/>
    <n v="9110.25"/>
    <n v="1640.5"/>
    <n v="5735"/>
    <n v="16485.75"/>
    <n v="85.418393782383419"/>
  </r>
  <r>
    <d v="2025-03-08T00:00:00"/>
    <x v="3"/>
    <n v="3"/>
    <x v="6"/>
    <x v="3"/>
    <n v="201"/>
    <n v="201"/>
    <n v="0"/>
    <n v="10"/>
    <n v="0.77307692307692311"/>
    <n v="37"/>
    <n v="36"/>
    <n v="0.97297297297297303"/>
    <n v="10122.5"/>
    <n v="1708.5"/>
    <n v="5735"/>
    <n v="17566"/>
    <n v="87.393034825870643"/>
  </r>
  <r>
    <d v="2025-03-15T00:00:00"/>
    <x v="3"/>
    <n v="3"/>
    <x v="6"/>
    <x v="3"/>
    <n v="204"/>
    <n v="204"/>
    <n v="0"/>
    <n v="10"/>
    <n v="0.7846153846153846"/>
    <n v="37"/>
    <n v="34"/>
    <n v="0.91891891891891897"/>
    <n v="10122.5"/>
    <n v="1734"/>
    <n v="5735"/>
    <n v="17591.5"/>
    <n v="86.232843137254903"/>
  </r>
  <r>
    <d v="2025-03-22T00:00:00"/>
    <x v="3"/>
    <n v="3"/>
    <x v="6"/>
    <x v="3"/>
    <n v="207"/>
    <n v="207"/>
    <n v="0"/>
    <n v="11"/>
    <n v="0.72377622377622375"/>
    <n v="37"/>
    <n v="32"/>
    <n v="0.86486486486486491"/>
    <n v="11134.75"/>
    <n v="1759.5"/>
    <n v="5735"/>
    <n v="18629.25"/>
    <n v="89.996376811594203"/>
  </r>
  <r>
    <d v="2025-03-29T00:00:00"/>
    <x v="3"/>
    <n v="3"/>
    <x v="6"/>
    <x v="3"/>
    <n v="207"/>
    <n v="207"/>
    <n v="0"/>
    <n v="11"/>
    <n v="0.72377622377622375"/>
    <n v="37"/>
    <n v="37"/>
    <n v="1"/>
    <n v="11134.75"/>
    <n v="1759.5"/>
    <n v="5735"/>
    <n v="18629.25"/>
    <n v="89.996376811594203"/>
  </r>
  <r>
    <d v="2025-04-05T00:00:00"/>
    <x v="3"/>
    <n v="4"/>
    <x v="6"/>
    <x v="3"/>
    <n v="208"/>
    <n v="208"/>
    <n v="0"/>
    <n v="11"/>
    <n v="0.72727272727272729"/>
    <n v="37"/>
    <n v="35"/>
    <n v="0.94594594594594594"/>
    <n v="11134.75"/>
    <n v="1768"/>
    <n v="5735"/>
    <n v="18637.75"/>
    <n v="89.604567307692307"/>
  </r>
  <r>
    <d v="2025-04-12T00:00:00"/>
    <x v="3"/>
    <n v="4"/>
    <x v="6"/>
    <x v="3"/>
    <n v="215"/>
    <n v="215"/>
    <n v="0"/>
    <n v="11"/>
    <n v="0.75174825174825177"/>
    <n v="37"/>
    <n v="36"/>
    <n v="0.97297297297297303"/>
    <n v="11134.75"/>
    <n v="1827.5"/>
    <n v="5735"/>
    <n v="18697.25"/>
    <n v="86.963953488372098"/>
  </r>
  <r>
    <d v="2025-04-19T00:00:00"/>
    <x v="3"/>
    <n v="4"/>
    <x v="6"/>
    <x v="3"/>
    <n v="200"/>
    <n v="200"/>
    <n v="0"/>
    <n v="11"/>
    <n v="0.69930069930069927"/>
    <n v="37"/>
    <n v="36"/>
    <n v="0.97297297297297303"/>
    <n v="11134.75"/>
    <n v="1700"/>
    <n v="5735"/>
    <n v="18569.75"/>
    <n v="92.848749999999995"/>
  </r>
  <r>
    <d v="2025-04-26T00:00:00"/>
    <x v="3"/>
    <n v="4"/>
    <x v="6"/>
    <x v="3"/>
    <n v="213"/>
    <n v="213"/>
    <n v="0"/>
    <n v="11"/>
    <n v="0.74475524475524479"/>
    <n v="37"/>
    <n v="32"/>
    <n v="0.86486486486486491"/>
    <n v="11134.75"/>
    <n v="1810.5"/>
    <n v="5735"/>
    <n v="18680.25"/>
    <n v="87.700704225352112"/>
  </r>
  <r>
    <d v="2025-05-03T00:00:00"/>
    <x v="3"/>
    <n v="5"/>
    <x v="6"/>
    <x v="3"/>
    <n v="236"/>
    <n v="236"/>
    <n v="0"/>
    <n v="12"/>
    <n v="0.75641025641025639"/>
    <n v="37"/>
    <n v="36"/>
    <n v="0.97297297297297303"/>
    <n v="12147"/>
    <n v="2006"/>
    <n v="5735"/>
    <n v="19888"/>
    <n v="84.271186440677965"/>
  </r>
  <r>
    <d v="2025-05-10T00:00:00"/>
    <x v="3"/>
    <n v="5"/>
    <x v="6"/>
    <x v="3"/>
    <n v="220"/>
    <n v="220"/>
    <n v="0"/>
    <n v="11"/>
    <n v="0.76923076923076927"/>
    <n v="37"/>
    <n v="36"/>
    <n v="0.97297297297297303"/>
    <n v="11134.75"/>
    <n v="1870"/>
    <n v="5735"/>
    <n v="18739.75"/>
    <n v="85.180681818181824"/>
  </r>
  <r>
    <d v="2025-05-17T00:00:00"/>
    <x v="3"/>
    <n v="5"/>
    <x v="6"/>
    <x v="3"/>
    <n v="217"/>
    <n v="217"/>
    <n v="0"/>
    <n v="12"/>
    <n v="0.69551282051282048"/>
    <n v="37"/>
    <n v="35"/>
    <n v="0.94594594594594594"/>
    <n v="12147"/>
    <n v="1844.5"/>
    <n v="5735"/>
    <n v="19726.5"/>
    <n v="90.905529953917053"/>
  </r>
  <r>
    <d v="2025-05-24T00:00:00"/>
    <x v="3"/>
    <n v="5"/>
    <x v="6"/>
    <x v="3"/>
    <n v="215"/>
    <n v="215"/>
    <n v="0"/>
    <n v="11"/>
    <n v="0.75174825174825177"/>
    <n v="37"/>
    <n v="37"/>
    <n v="1"/>
    <n v="11134.75"/>
    <n v="1827.5"/>
    <n v="5735"/>
    <n v="18697.25"/>
    <n v="86.963953488372098"/>
  </r>
  <r>
    <d v="2025-05-31T00:00:00"/>
    <x v="3"/>
    <n v="5"/>
    <x v="6"/>
    <x v="3"/>
    <n v="221"/>
    <n v="221"/>
    <n v="0"/>
    <n v="11"/>
    <n v="0.77272727272727271"/>
    <n v="37"/>
    <n v="32"/>
    <n v="0.86486486486486491"/>
    <n v="11134.75"/>
    <n v="1878.5"/>
    <n v="5735"/>
    <n v="18748.25"/>
    <n v="84.83371040723982"/>
  </r>
  <r>
    <d v="2025-06-07T00:00:00"/>
    <x v="3"/>
    <n v="6"/>
    <x v="6"/>
    <x v="3"/>
    <n v="214"/>
    <n v="214"/>
    <n v="0"/>
    <n v="12"/>
    <n v="0.6858974358974359"/>
    <n v="37"/>
    <n v="36"/>
    <n v="0.97297297297297303"/>
    <n v="12147"/>
    <n v="1819"/>
    <n v="5735"/>
    <n v="19701"/>
    <n v="92.060747663551396"/>
  </r>
  <r>
    <d v="2025-06-14T00:00:00"/>
    <x v="3"/>
    <n v="6"/>
    <x v="6"/>
    <x v="3"/>
    <n v="216"/>
    <n v="216"/>
    <n v="0"/>
    <n v="11"/>
    <n v="0.75524475524475521"/>
    <n v="37"/>
    <n v="35"/>
    <n v="0.94594594594594594"/>
    <n v="11134.75"/>
    <n v="1836"/>
    <n v="5735"/>
    <n v="18705.75"/>
    <n v="86.600694444444443"/>
  </r>
  <r>
    <d v="2025-06-21T00:00:00"/>
    <x v="3"/>
    <n v="6"/>
    <x v="6"/>
    <x v="3"/>
    <n v="210"/>
    <n v="210"/>
    <n v="0"/>
    <n v="10"/>
    <n v="0.80769230769230771"/>
    <n v="37"/>
    <n v="36"/>
    <n v="0.97297297297297303"/>
    <n v="10122.5"/>
    <n v="1785"/>
    <n v="5735"/>
    <n v="17642.5"/>
    <n v="84.011904761904759"/>
  </r>
  <r>
    <d v="2025-06-28T00:00:00"/>
    <x v="3"/>
    <n v="6"/>
    <x v="6"/>
    <x v="3"/>
    <n v="216"/>
    <n v="216"/>
    <n v="0"/>
    <n v="12"/>
    <n v="0.69230769230769229"/>
    <n v="37"/>
    <n v="36"/>
    <n v="0.97297297297297303"/>
    <n v="12147"/>
    <n v="1836"/>
    <n v="5735"/>
    <n v="19718"/>
    <n v="91.287037037037038"/>
  </r>
  <r>
    <d v="2025-07-05T00:00:00"/>
    <x v="3"/>
    <n v="7"/>
    <x v="6"/>
    <x v="3"/>
    <n v="213"/>
    <n v="213"/>
    <n v="0"/>
    <n v="12"/>
    <n v="0.68269230769230771"/>
    <n v="37"/>
    <n v="36"/>
    <n v="0.97297297297297303"/>
    <n v="12147"/>
    <n v="1810.5"/>
    <n v="5735"/>
    <n v="19692.5"/>
    <n v="92.453051643192495"/>
  </r>
  <r>
    <d v="2025-07-12T00:00:00"/>
    <x v="3"/>
    <n v="7"/>
    <x v="6"/>
    <x v="3"/>
    <n v="207"/>
    <n v="207"/>
    <n v="0"/>
    <n v="11"/>
    <n v="0.72377622377622375"/>
    <n v="37"/>
    <n v="35"/>
    <n v="0.94594594594594594"/>
    <n v="11134.75"/>
    <n v="1759.5"/>
    <n v="5735"/>
    <n v="18629.25"/>
    <n v="89.996376811594203"/>
  </r>
  <r>
    <d v="2025-07-19T00:00:00"/>
    <x v="3"/>
    <n v="7"/>
    <x v="6"/>
    <x v="3"/>
    <n v="216"/>
    <n v="216"/>
    <n v="0"/>
    <n v="12"/>
    <n v="0.69230769230769229"/>
    <n v="37"/>
    <n v="35"/>
    <n v="0.94594594594594594"/>
    <n v="12147"/>
    <n v="1836"/>
    <n v="5735"/>
    <n v="19718"/>
    <n v="91.287037037037038"/>
  </r>
  <r>
    <d v="2025-07-26T00:00:00"/>
    <x v="3"/>
    <n v="7"/>
    <x v="6"/>
    <x v="3"/>
    <n v="210"/>
    <n v="210"/>
    <n v="0"/>
    <n v="11"/>
    <n v="0.73426573426573427"/>
    <n v="37"/>
    <n v="35"/>
    <n v="0.94594594594594594"/>
    <n v="11134.75"/>
    <n v="1785"/>
    <n v="5735"/>
    <n v="18654.75"/>
    <n v="88.832142857142856"/>
  </r>
  <r>
    <d v="2025-08-02T00:00:00"/>
    <x v="3"/>
    <n v="8"/>
    <x v="6"/>
    <x v="3"/>
    <n v="218"/>
    <n v="218"/>
    <n v="0"/>
    <n v="12"/>
    <n v="0.69871794871794868"/>
    <n v="37"/>
    <n v="37"/>
    <n v="1"/>
    <n v="12147"/>
    <n v="1853"/>
    <n v="5735"/>
    <n v="19735"/>
    <n v="90.527522935779814"/>
  </r>
  <r>
    <d v="2025-08-09T00:00:00"/>
    <x v="3"/>
    <n v="8"/>
    <x v="6"/>
    <x v="3"/>
    <n v="234"/>
    <n v="234"/>
    <n v="0"/>
    <n v="12"/>
    <n v="0.75"/>
    <n v="37"/>
    <n v="34"/>
    <n v="0.91891891891891897"/>
    <n v="12147"/>
    <n v="1989"/>
    <n v="5735"/>
    <n v="19871"/>
    <n v="84.918803418803421"/>
  </r>
  <r>
    <d v="2025-08-16T00:00:00"/>
    <x v="3"/>
    <n v="8"/>
    <x v="6"/>
    <x v="3"/>
    <n v="226"/>
    <n v="226"/>
    <n v="0"/>
    <n v="11"/>
    <n v="0.79020979020979021"/>
    <n v="37"/>
    <n v="32"/>
    <n v="0.86486486486486491"/>
    <n v="11134.75"/>
    <n v="1921"/>
    <n v="5735"/>
    <n v="18790.75"/>
    <n v="83.144911504424783"/>
  </r>
  <r>
    <d v="2025-08-23T00:00:00"/>
    <x v="3"/>
    <n v="8"/>
    <x v="6"/>
    <x v="3"/>
    <n v="219"/>
    <n v="219"/>
    <n v="0"/>
    <n v="11"/>
    <n v="0.76573426573426573"/>
    <n v="37"/>
    <n v="34"/>
    <n v="0.91891891891891897"/>
    <n v="11134.75"/>
    <n v="1861.5"/>
    <n v="5735"/>
    <n v="18731.25"/>
    <n v="85.530821917808225"/>
  </r>
  <r>
    <d v="2025-08-30T00:00:00"/>
    <x v="3"/>
    <n v="8"/>
    <x v="6"/>
    <x v="3"/>
    <n v="213"/>
    <n v="213"/>
    <n v="0"/>
    <n v="11"/>
    <n v="0.74475524475524479"/>
    <n v="37"/>
    <n v="35"/>
    <n v="0.94594594594594594"/>
    <n v="11134.75"/>
    <n v="1810.5"/>
    <n v="5735"/>
    <n v="18680.25"/>
    <n v="87.700704225352112"/>
  </r>
  <r>
    <d v="2025-09-06T00:00:00"/>
    <x v="3"/>
    <n v="9"/>
    <x v="6"/>
    <x v="3"/>
    <n v="203"/>
    <n v="203"/>
    <n v="0"/>
    <n v="11"/>
    <n v="0.70979020979020979"/>
    <n v="37"/>
    <n v="36"/>
    <n v="0.97297297297297303"/>
    <n v="11134.75"/>
    <n v="1725.5"/>
    <n v="5735"/>
    <n v="18595.25"/>
    <n v="91.60221674876847"/>
  </r>
  <r>
    <d v="2025-09-13T00:00:00"/>
    <x v="3"/>
    <n v="9"/>
    <x v="6"/>
    <x v="3"/>
    <n v="203"/>
    <n v="203"/>
    <n v="0"/>
    <n v="12"/>
    <n v="0.65064102564102566"/>
    <n v="37"/>
    <n v="35"/>
    <n v="0.94594594594594594"/>
    <n v="12147"/>
    <n v="1725.5"/>
    <n v="5735"/>
    <n v="19607.5"/>
    <n v="96.588669950738918"/>
  </r>
  <r>
    <d v="2025-09-20T00:00:00"/>
    <x v="3"/>
    <n v="9"/>
    <x v="6"/>
    <x v="3"/>
    <n v="201"/>
    <n v="201"/>
    <n v="0"/>
    <n v="10"/>
    <n v="0.77307692307692311"/>
    <n v="37"/>
    <n v="37"/>
    <n v="1"/>
    <n v="10122.5"/>
    <n v="1708.5"/>
    <n v="5735"/>
    <n v="17566"/>
    <n v="87.393034825870643"/>
  </r>
  <r>
    <d v="2025-09-27T00:00:00"/>
    <x v="3"/>
    <n v="9"/>
    <x v="6"/>
    <x v="3"/>
    <n v="208"/>
    <n v="208"/>
    <n v="0"/>
    <n v="10"/>
    <n v="0.8"/>
    <n v="37"/>
    <n v="35"/>
    <n v="0.94594594594594594"/>
    <n v="10122.5"/>
    <n v="1768"/>
    <n v="5735"/>
    <n v="17625.5"/>
    <n v="84.737980769230774"/>
  </r>
  <r>
    <d v="2025-10-04T00:00:00"/>
    <x v="3"/>
    <n v="10"/>
    <x v="6"/>
    <x v="3"/>
    <n v="208"/>
    <n v="208"/>
    <n v="0"/>
    <n v="11"/>
    <n v="0.72727272727272729"/>
    <n v="37"/>
    <n v="36"/>
    <n v="0.97297297297297303"/>
    <n v="11134.75"/>
    <n v="1768"/>
    <n v="5735"/>
    <n v="18637.75"/>
    <n v="89.604567307692307"/>
  </r>
  <r>
    <d v="2025-10-11T00:00:00"/>
    <x v="3"/>
    <n v="10"/>
    <x v="6"/>
    <x v="3"/>
    <n v="223"/>
    <n v="223"/>
    <n v="0"/>
    <n v="12"/>
    <n v="0.71474358974358976"/>
    <n v="37"/>
    <n v="33"/>
    <n v="0.89189189189189189"/>
    <n v="12147"/>
    <n v="1895.5"/>
    <n v="5735"/>
    <n v="19777.5"/>
    <n v="88.688340807174882"/>
  </r>
  <r>
    <d v="2025-10-18T00:00:00"/>
    <x v="3"/>
    <n v="10"/>
    <x v="6"/>
    <x v="3"/>
    <n v="219"/>
    <n v="219"/>
    <n v="0"/>
    <n v="10"/>
    <n v="0.84230769230769231"/>
    <n v="37"/>
    <n v="37"/>
    <n v="1"/>
    <n v="10122.5"/>
    <n v="1861.5"/>
    <n v="5735"/>
    <n v="17719"/>
    <n v="80.908675799086751"/>
  </r>
  <r>
    <d v="2025-10-25T00:00:00"/>
    <x v="3"/>
    <n v="10"/>
    <x v="6"/>
    <x v="3"/>
    <n v="229"/>
    <n v="229"/>
    <n v="0"/>
    <n v="12"/>
    <n v="0.73397435897435892"/>
    <n v="37"/>
    <n v="36"/>
    <n v="0.97297297297297303"/>
    <n v="12147"/>
    <n v="1946.5"/>
    <n v="5735"/>
    <n v="19828.5"/>
    <n v="86.58733624454149"/>
  </r>
  <r>
    <d v="2025-11-01T00:00:00"/>
    <x v="3"/>
    <n v="11"/>
    <x v="6"/>
    <x v="3"/>
    <n v="237"/>
    <n v="237"/>
    <n v="0"/>
    <n v="11"/>
    <n v="0.82867132867132864"/>
    <n v="37"/>
    <n v="37"/>
    <n v="1"/>
    <n v="11134.75"/>
    <n v="2014.5"/>
    <n v="5735"/>
    <n v="18884.25"/>
    <n v="79.680379746835442"/>
  </r>
  <r>
    <d v="2025-11-08T00:00:00"/>
    <x v="3"/>
    <n v="11"/>
    <x v="6"/>
    <x v="3"/>
    <n v="245"/>
    <n v="245"/>
    <n v="0"/>
    <n v="13"/>
    <n v="0.7248520710059172"/>
    <n v="37"/>
    <n v="36"/>
    <n v="0.97297297297297303"/>
    <n v="13159.25"/>
    <n v="2082.5"/>
    <n v="5735"/>
    <n v="20976.75"/>
    <n v="85.619387755102039"/>
  </r>
  <r>
    <d v="2025-11-15T00:00:00"/>
    <x v="3"/>
    <n v="11"/>
    <x v="6"/>
    <x v="3"/>
    <n v="267"/>
    <n v="264"/>
    <n v="3"/>
    <n v="13"/>
    <n v="0.78106508875739644"/>
    <n v="37"/>
    <n v="32"/>
    <n v="0.86486486486486491"/>
    <n v="13159.25"/>
    <n v="2244"/>
    <n v="5735"/>
    <n v="21138.25"/>
    <n v="80.069128787878782"/>
  </r>
  <r>
    <d v="2025-11-22T00:00:00"/>
    <x v="3"/>
    <n v="11"/>
    <x v="6"/>
    <x v="3"/>
    <n v="288"/>
    <n v="278"/>
    <n v="13"/>
    <n v="15"/>
    <n v="0.71282051282051284"/>
    <n v="37"/>
    <n v="36"/>
    <n v="0.97297297297297303"/>
    <n v="15183.75"/>
    <n v="2363"/>
    <n v="5735"/>
    <n v="23281.75"/>
    <n v="83.747302158273385"/>
  </r>
  <r>
    <d v="2025-11-29T00:00:00"/>
    <x v="3"/>
    <n v="11"/>
    <x v="6"/>
    <x v="3"/>
    <n v="301"/>
    <n v="286"/>
    <n v="28"/>
    <n v="13"/>
    <n v="0.84615384615384615"/>
    <n v="37"/>
    <n v="35"/>
    <n v="0.94594594594594594"/>
    <n v="13159.25"/>
    <n v="2431"/>
    <n v="5735"/>
    <n v="21325.25"/>
    <n v="74.563811188811187"/>
  </r>
  <r>
    <d v="2025-12-06T00:00:00"/>
    <x v="3"/>
    <n v="12"/>
    <x v="6"/>
    <x v="3"/>
    <n v="309"/>
    <n v="291"/>
    <n v="46"/>
    <n v="16"/>
    <n v="0.69951923076923073"/>
    <n v="37"/>
    <n v="31"/>
    <n v="0.83783783783783783"/>
    <n v="16196"/>
    <n v="2473.5"/>
    <n v="5735"/>
    <n v="24404.5"/>
    <n v="83.864261168384886"/>
  </r>
  <r>
    <d v="2025-12-13T00:00:00"/>
    <x v="3"/>
    <n v="12"/>
    <x v="6"/>
    <x v="3"/>
    <n v="333"/>
    <n v="294"/>
    <n v="85"/>
    <n v="14"/>
    <n v="0.80769230769230771"/>
    <n v="37"/>
    <n v="32"/>
    <n v="0.86486486486486491"/>
    <n v="14171.5"/>
    <n v="2499"/>
    <n v="5735"/>
    <n v="22405.5"/>
    <n v="76.209183673469383"/>
  </r>
  <r>
    <d v="2025-12-20T00:00:00"/>
    <x v="3"/>
    <n v="12"/>
    <x v="6"/>
    <x v="3"/>
    <n v="301"/>
    <n v="292"/>
    <n v="94"/>
    <n v="16"/>
    <n v="0.70192307692307687"/>
    <n v="37"/>
    <n v="37"/>
    <n v="1"/>
    <n v="16196"/>
    <n v="2482"/>
    <n v="5735"/>
    <n v="24413"/>
    <n v="83.606164383561648"/>
  </r>
  <r>
    <d v="2025-12-27T00:00:00"/>
    <x v="3"/>
    <n v="12"/>
    <x v="6"/>
    <x v="3"/>
    <n v="264"/>
    <n v="286"/>
    <n v="72"/>
    <n v="14"/>
    <n v="0.7857142857142857"/>
    <n v="37"/>
    <n v="31"/>
    <n v="0.83783783783783783"/>
    <n v="14171.5"/>
    <n v="2431"/>
    <n v="5735"/>
    <n v="22337.5"/>
    <n v="78.103146853146853"/>
  </r>
  <r>
    <d v="2026-01-03T00:00:00"/>
    <x v="4"/>
    <n v="1"/>
    <x v="6"/>
    <x v="3"/>
    <n v="211"/>
    <n v="264"/>
    <n v="19"/>
    <n v="13"/>
    <n v="0.78106508875739644"/>
    <n v="37"/>
    <n v="36"/>
    <n v="0.97297297297297303"/>
    <n v="13159.25"/>
    <n v="2244"/>
    <n v="5735"/>
    <n v="21138.25"/>
    <n v="80.069128787878782"/>
  </r>
  <r>
    <d v="2026-01-10T00:00:00"/>
    <x v="4"/>
    <n v="1"/>
    <x v="6"/>
    <x v="3"/>
    <n v="178"/>
    <n v="197"/>
    <n v="0"/>
    <n v="9"/>
    <n v="0.84188034188034189"/>
    <n v="37"/>
    <n v="34"/>
    <n v="0.91891891891891897"/>
    <n v="9110.25"/>
    <n v="1674.5"/>
    <n v="5735"/>
    <n v="16519.75"/>
    <n v="83.85659898477158"/>
  </r>
  <r>
    <d v="2026-01-17T00:00:00"/>
    <x v="4"/>
    <n v="1"/>
    <x v="6"/>
    <x v="3"/>
    <n v="166"/>
    <n v="166"/>
    <n v="0"/>
    <n v="8"/>
    <n v="0.79807692307692313"/>
    <n v="37"/>
    <n v="37"/>
    <n v="1"/>
    <n v="8098"/>
    <n v="1411"/>
    <n v="5735"/>
    <n v="15244"/>
    <n v="91.831325301204814"/>
  </r>
  <r>
    <d v="2026-01-24T00:00:00"/>
    <x v="4"/>
    <n v="1"/>
    <x v="6"/>
    <x v="3"/>
    <n v="181"/>
    <n v="181"/>
    <n v="0"/>
    <n v="9"/>
    <n v="0.77350427350427353"/>
    <n v="37"/>
    <n v="35"/>
    <n v="0.94594594594594594"/>
    <n v="9110.25"/>
    <n v="1538.5"/>
    <n v="5735"/>
    <n v="16383.75"/>
    <n v="90.517955801104975"/>
  </r>
  <r>
    <d v="2026-01-31T00:00:00"/>
    <x v="4"/>
    <n v="1"/>
    <x v="6"/>
    <x v="3"/>
    <n v="193"/>
    <n v="193"/>
    <n v="0"/>
    <n v="9"/>
    <n v="0.82478632478632474"/>
    <n v="37"/>
    <n v="35"/>
    <n v="0.94594594594594594"/>
    <n v="9110.25"/>
    <n v="1640.5"/>
    <n v="5735"/>
    <n v="16485.75"/>
    <n v="85.418393782383419"/>
  </r>
  <r>
    <d v="2026-02-07T00:00:00"/>
    <x v="4"/>
    <n v="2"/>
    <x v="6"/>
    <x v="3"/>
    <n v="195"/>
    <n v="195"/>
    <n v="0"/>
    <n v="9"/>
    <n v="0.83333333333333337"/>
    <n v="37"/>
    <n v="36"/>
    <n v="0.97297297297297303"/>
    <n v="9110.25"/>
    <n v="1657.5"/>
    <n v="5735"/>
    <n v="16502.75"/>
    <n v="84.629487179487185"/>
  </r>
  <r>
    <d v="2026-02-14T00:00:00"/>
    <x v="4"/>
    <n v="2"/>
    <x v="6"/>
    <x v="3"/>
    <n v="206"/>
    <n v="206"/>
    <n v="0"/>
    <n v="10"/>
    <n v="0.79230769230769227"/>
    <n v="37"/>
    <n v="34"/>
    <n v="0.91891891891891897"/>
    <n v="10122.5"/>
    <n v="1751"/>
    <n v="5735"/>
    <n v="17608.5"/>
    <n v="85.478155339805824"/>
  </r>
  <r>
    <d v="2026-02-21T00:00:00"/>
    <x v="4"/>
    <n v="2"/>
    <x v="6"/>
    <x v="3"/>
    <n v="205"/>
    <n v="205"/>
    <n v="0"/>
    <n v="11"/>
    <n v="0.71678321678321677"/>
    <n v="37"/>
    <n v="37"/>
    <n v="1"/>
    <n v="11134.75"/>
    <n v="1742.5"/>
    <n v="5735"/>
    <n v="18612.25"/>
    <n v="90.791463414634151"/>
  </r>
  <r>
    <d v="2026-02-28T00:00:00"/>
    <x v="4"/>
    <n v="2"/>
    <x v="6"/>
    <x v="3"/>
    <n v="207"/>
    <n v="207"/>
    <n v="0"/>
    <n v="10"/>
    <n v="0.7961538461538461"/>
    <n v="37"/>
    <n v="36"/>
    <n v="0.97297297297297303"/>
    <n v="10122.5"/>
    <n v="1759.5"/>
    <n v="5735"/>
    <n v="17617"/>
    <n v="85.106280193236714"/>
  </r>
  <r>
    <d v="2026-03-07T00:00:00"/>
    <x v="4"/>
    <n v="3"/>
    <x v="6"/>
    <x v="3"/>
    <n v="221"/>
    <n v="221"/>
    <n v="0"/>
    <n v="10"/>
    <n v="0.85"/>
    <n v="37"/>
    <n v="36"/>
    <n v="0.97297297297297303"/>
    <n v="10122.5"/>
    <n v="1878.5"/>
    <n v="5735"/>
    <n v="17736"/>
    <n v="80.25339366515837"/>
  </r>
  <r>
    <d v="2026-03-14T00:00:00"/>
    <x v="4"/>
    <n v="3"/>
    <x v="6"/>
    <x v="3"/>
    <n v="220"/>
    <n v="220"/>
    <n v="0"/>
    <n v="12"/>
    <n v="0.70512820512820518"/>
    <n v="37"/>
    <n v="36"/>
    <n v="0.97297297297297303"/>
    <n v="12147"/>
    <n v="1870"/>
    <n v="5735"/>
    <n v="19752"/>
    <n v="89.781818181818181"/>
  </r>
  <r>
    <d v="2026-03-21T00:00:00"/>
    <x v="4"/>
    <n v="3"/>
    <x v="6"/>
    <x v="3"/>
    <n v="216"/>
    <n v="216"/>
    <n v="0"/>
    <n v="12"/>
    <n v="0.69230769230769229"/>
    <n v="37"/>
    <n v="34"/>
    <n v="0.91891891891891897"/>
    <n v="12147"/>
    <n v="1836"/>
    <n v="5735"/>
    <n v="19718"/>
    <n v="91.287037037037038"/>
  </r>
  <r>
    <d v="2026-03-28T00:00:00"/>
    <x v="4"/>
    <n v="3"/>
    <x v="6"/>
    <x v="3"/>
    <n v="214"/>
    <n v="214"/>
    <n v="0"/>
    <n v="10"/>
    <n v="0.82307692307692304"/>
    <n v="37"/>
    <n v="33"/>
    <n v="0.89189189189189189"/>
    <n v="10122.5"/>
    <n v="1819"/>
    <n v="5735"/>
    <n v="17676.5"/>
    <n v="82.600467289719631"/>
  </r>
  <r>
    <d v="2026-04-04T00:00:00"/>
    <x v="4"/>
    <n v="4"/>
    <x v="6"/>
    <x v="3"/>
    <n v="221"/>
    <n v="221"/>
    <n v="0"/>
    <n v="11"/>
    <n v="0.77272727272727271"/>
    <n v="37"/>
    <n v="34"/>
    <n v="0.91891891891891897"/>
    <n v="11134.75"/>
    <n v="1878.5"/>
    <n v="5735"/>
    <n v="18748.25"/>
    <n v="84.83371040723982"/>
  </r>
  <r>
    <d v="2026-04-11T00:00:00"/>
    <x v="4"/>
    <n v="4"/>
    <x v="6"/>
    <x v="3"/>
    <n v="211"/>
    <n v="211"/>
    <n v="0"/>
    <n v="11"/>
    <n v="0.73776223776223782"/>
    <n v="37"/>
    <n v="34"/>
    <n v="0.91891891891891897"/>
    <n v="11134.75"/>
    <n v="1793.5"/>
    <n v="5735"/>
    <n v="18663.25"/>
    <n v="88.45142180094787"/>
  </r>
  <r>
    <d v="2026-04-18T00:00:00"/>
    <x v="4"/>
    <n v="4"/>
    <x v="6"/>
    <x v="3"/>
    <n v="226"/>
    <n v="226"/>
    <n v="0"/>
    <n v="12"/>
    <n v="0.72435897435897434"/>
    <n v="37"/>
    <n v="36"/>
    <n v="0.97297297297297303"/>
    <n v="12147"/>
    <n v="1921"/>
    <n v="5735"/>
    <n v="19803"/>
    <n v="87.623893805309734"/>
  </r>
  <r>
    <d v="2026-04-25T00:00:00"/>
    <x v="4"/>
    <n v="4"/>
    <x v="6"/>
    <x v="3"/>
    <n v="238"/>
    <n v="238"/>
    <n v="0"/>
    <n v="12"/>
    <n v="0.76282051282051277"/>
    <n v="37"/>
    <n v="35"/>
    <n v="0.94594594594594594"/>
    <n v="12147"/>
    <n v="2023"/>
    <n v="5735"/>
    <n v="19905"/>
    <n v="83.634453781512605"/>
  </r>
  <r>
    <d v="2026-05-02T00:00:00"/>
    <x v="4"/>
    <n v="5"/>
    <x v="6"/>
    <x v="3"/>
    <n v="228"/>
    <n v="228"/>
    <n v="0"/>
    <n v="12"/>
    <n v="0.73076923076923073"/>
    <n v="37"/>
    <n v="36"/>
    <n v="0.97297297297297303"/>
    <n v="12147"/>
    <n v="1938"/>
    <n v="5735"/>
    <n v="19820"/>
    <n v="86.929824561403507"/>
  </r>
  <r>
    <d v="2026-05-09T00:00:00"/>
    <x v="4"/>
    <n v="5"/>
    <x v="6"/>
    <x v="3"/>
    <n v="228"/>
    <n v="227"/>
    <n v="1"/>
    <n v="12"/>
    <n v="0.72756410256410253"/>
    <n v="37"/>
    <n v="37"/>
    <n v="1"/>
    <n v="12147"/>
    <n v="1929.5"/>
    <n v="5735"/>
    <n v="19811.5"/>
    <n v="87.275330396475766"/>
  </r>
  <r>
    <d v="2026-05-16T00:00:00"/>
    <x v="4"/>
    <n v="5"/>
    <x v="6"/>
    <x v="3"/>
    <n v="234"/>
    <n v="235"/>
    <n v="0"/>
    <n v="11"/>
    <n v="0.82167832167832167"/>
    <n v="37"/>
    <n v="37"/>
    <n v="1"/>
    <n v="11134.75"/>
    <n v="1997.5"/>
    <n v="5735"/>
    <n v="18867.25"/>
    <n v="80.286170212765953"/>
  </r>
  <r>
    <d v="2026-05-23T00:00:00"/>
    <x v="4"/>
    <n v="5"/>
    <x v="6"/>
    <x v="3"/>
    <n v="229"/>
    <n v="229"/>
    <n v="0"/>
    <n v="12"/>
    <n v="0.73397435897435892"/>
    <n v="37"/>
    <n v="35"/>
    <n v="0.94594594594594594"/>
    <n v="12147"/>
    <n v="1946.5"/>
    <n v="5735"/>
    <n v="19828.5"/>
    <n v="86.58733624454149"/>
  </r>
  <r>
    <d v="2026-05-30T00:00:00"/>
    <x v="4"/>
    <n v="5"/>
    <x v="6"/>
    <x v="3"/>
    <n v="227"/>
    <n v="227"/>
    <n v="0"/>
    <n v="12"/>
    <n v="0.72756410256410253"/>
    <n v="37"/>
    <n v="36"/>
    <n v="0.97297297297297303"/>
    <n v="12147"/>
    <n v="1929.5"/>
    <n v="5735"/>
    <n v="19811.5"/>
    <n v="87.275330396475766"/>
  </r>
  <r>
    <d v="2026-06-06T00:00:00"/>
    <x v="4"/>
    <n v="6"/>
    <x v="6"/>
    <x v="3"/>
    <n v="225"/>
    <n v="223"/>
    <n v="2"/>
    <n v="12"/>
    <n v="0.71474358974358976"/>
    <n v="37"/>
    <n v="35"/>
    <n v="0.94594594594594594"/>
    <n v="12147"/>
    <n v="1895.5"/>
    <n v="5735"/>
    <n v="19777.5"/>
    <n v="88.688340807174882"/>
  </r>
  <r>
    <d v="2026-06-13T00:00:00"/>
    <x v="4"/>
    <n v="6"/>
    <x v="6"/>
    <x v="3"/>
    <n v="227"/>
    <n v="229"/>
    <n v="0"/>
    <n v="12"/>
    <n v="0.73397435897435892"/>
    <n v="37"/>
    <n v="35"/>
    <n v="0.94594594594594594"/>
    <n v="12147"/>
    <n v="1946.5"/>
    <n v="5735"/>
    <n v="19828.5"/>
    <n v="86.58733624454149"/>
  </r>
  <r>
    <d v="2026-06-20T00:00:00"/>
    <x v="4"/>
    <n v="6"/>
    <x v="6"/>
    <x v="3"/>
    <n v="212"/>
    <n v="212"/>
    <n v="0"/>
    <n v="10"/>
    <n v="0.81538461538461537"/>
    <n v="37"/>
    <n v="37"/>
    <n v="1"/>
    <n v="10122.5"/>
    <n v="1802"/>
    <n v="5735"/>
    <n v="17659.5"/>
    <n v="83.299528301886795"/>
  </r>
  <r>
    <d v="2026-06-27T00:00:00"/>
    <x v="4"/>
    <n v="6"/>
    <x v="6"/>
    <x v="3"/>
    <n v="228"/>
    <n v="228"/>
    <n v="0"/>
    <n v="12"/>
    <n v="0.73076923076923073"/>
    <n v="37"/>
    <n v="35"/>
    <n v="0.94594594594594594"/>
    <n v="12147"/>
    <n v="1938"/>
    <n v="5735"/>
    <n v="19820"/>
    <n v="86.929824561403507"/>
  </r>
  <r>
    <d v="2026-07-04T00:00:00"/>
    <x v="4"/>
    <n v="7"/>
    <x v="6"/>
    <x v="3"/>
    <n v="229"/>
    <n v="229"/>
    <n v="0"/>
    <n v="12"/>
    <n v="0.73397435897435892"/>
    <n v="37"/>
    <n v="36"/>
    <n v="0.97297297297297303"/>
    <n v="12147"/>
    <n v="1946.5"/>
    <n v="5735"/>
    <n v="19828.5"/>
    <n v="86.58733624454149"/>
  </r>
  <r>
    <d v="2026-07-11T00:00:00"/>
    <x v="4"/>
    <n v="7"/>
    <x v="6"/>
    <x v="3"/>
    <n v="225"/>
    <n v="225"/>
    <n v="0"/>
    <n v="12"/>
    <n v="0.72115384615384615"/>
    <n v="37"/>
    <n v="33"/>
    <n v="0.89189189189189189"/>
    <n v="12147"/>
    <n v="1912.5"/>
    <n v="5735"/>
    <n v="19794.5"/>
    <n v="87.975555555555559"/>
  </r>
  <r>
    <d v="2026-07-18T00:00:00"/>
    <x v="4"/>
    <n v="7"/>
    <x v="6"/>
    <x v="3"/>
    <n v="246"/>
    <n v="245"/>
    <n v="1"/>
    <n v="12"/>
    <n v="0.78525641025641024"/>
    <n v="37"/>
    <n v="36"/>
    <n v="0.97297297297297303"/>
    <n v="12147"/>
    <n v="2082.5"/>
    <n v="5735"/>
    <n v="19964.5"/>
    <n v="81.487755102040822"/>
  </r>
  <r>
    <d v="2026-07-25T00:00:00"/>
    <x v="4"/>
    <n v="7"/>
    <x v="6"/>
    <x v="3"/>
    <n v="227"/>
    <n v="228"/>
    <n v="0"/>
    <n v="12"/>
    <n v="0.73076923076923073"/>
    <n v="37"/>
    <n v="33"/>
    <n v="0.89189189189189189"/>
    <n v="12147"/>
    <n v="1938"/>
    <n v="5735"/>
    <n v="19820"/>
    <n v="86.929824561403507"/>
  </r>
  <r>
    <d v="2022-08-06T00:00:00"/>
    <x v="0"/>
    <n v="8"/>
    <x v="7"/>
    <x v="1"/>
    <n v="198"/>
    <n v="198"/>
    <n v="0"/>
    <n v="12"/>
    <n v="0.63461538461538458"/>
    <n v="35"/>
    <n v="35"/>
    <n v="1"/>
    <n v="11550"/>
    <n v="1782"/>
    <n v="5600"/>
    <n v="18932"/>
    <n v="95.616161616161619"/>
  </r>
  <r>
    <d v="2022-08-13T00:00:00"/>
    <x v="0"/>
    <n v="8"/>
    <x v="7"/>
    <x v="1"/>
    <n v="191"/>
    <n v="191"/>
    <n v="0"/>
    <n v="12"/>
    <n v="0.61217948717948723"/>
    <n v="35"/>
    <n v="29"/>
    <n v="0.82857142857142863"/>
    <n v="11550"/>
    <n v="1719"/>
    <n v="5600"/>
    <n v="18869"/>
    <n v="98.790575916230367"/>
  </r>
  <r>
    <d v="2022-08-20T00:00:00"/>
    <x v="0"/>
    <n v="8"/>
    <x v="7"/>
    <x v="1"/>
    <n v="189"/>
    <n v="189"/>
    <n v="0"/>
    <n v="12"/>
    <n v="0.60576923076923073"/>
    <n v="35"/>
    <n v="33"/>
    <n v="0.94285714285714284"/>
    <n v="11550"/>
    <n v="1701"/>
    <n v="5600"/>
    <n v="18851"/>
    <n v="99.740740740740748"/>
  </r>
  <r>
    <d v="2022-08-27T00:00:00"/>
    <x v="0"/>
    <n v="8"/>
    <x v="7"/>
    <x v="1"/>
    <n v="189"/>
    <n v="189"/>
    <n v="0"/>
    <n v="12"/>
    <n v="0.60576923076923073"/>
    <n v="35"/>
    <n v="33"/>
    <n v="0.94285714285714284"/>
    <n v="11550"/>
    <n v="1701"/>
    <n v="5600"/>
    <n v="18851"/>
    <n v="99.740740740740748"/>
  </r>
  <r>
    <d v="2022-09-03T00:00:00"/>
    <x v="0"/>
    <n v="9"/>
    <x v="7"/>
    <x v="1"/>
    <n v="186"/>
    <n v="186"/>
    <n v="0"/>
    <n v="11"/>
    <n v="0.65034965034965031"/>
    <n v="35"/>
    <n v="32"/>
    <n v="0.91428571428571426"/>
    <n v="10587.5"/>
    <n v="1674"/>
    <n v="5600"/>
    <n v="17861.5"/>
    <n v="96.02956989247312"/>
  </r>
  <r>
    <d v="2022-09-10T00:00:00"/>
    <x v="0"/>
    <n v="9"/>
    <x v="7"/>
    <x v="1"/>
    <n v="178"/>
    <n v="178"/>
    <n v="0"/>
    <n v="11"/>
    <n v="0.6223776223776224"/>
    <n v="35"/>
    <n v="33"/>
    <n v="0.94285714285714284"/>
    <n v="10587.5"/>
    <n v="1602"/>
    <n v="5600"/>
    <n v="17789.5"/>
    <n v="99.94101123595506"/>
  </r>
  <r>
    <d v="2022-09-17T00:00:00"/>
    <x v="0"/>
    <n v="9"/>
    <x v="7"/>
    <x v="1"/>
    <n v="179"/>
    <n v="179"/>
    <n v="0"/>
    <n v="11"/>
    <n v="0.62587412587412583"/>
    <n v="35"/>
    <n v="28"/>
    <n v="0.8"/>
    <n v="10587.5"/>
    <n v="1611"/>
    <n v="5600"/>
    <n v="17798.5"/>
    <n v="99.432960893854755"/>
  </r>
  <r>
    <d v="2022-09-24T00:00:00"/>
    <x v="0"/>
    <n v="9"/>
    <x v="7"/>
    <x v="1"/>
    <n v="180"/>
    <n v="180"/>
    <n v="0"/>
    <n v="12"/>
    <n v="0.57692307692307687"/>
    <n v="35"/>
    <n v="30"/>
    <n v="0.8571428571428571"/>
    <n v="11550"/>
    <n v="1620"/>
    <n v="5600"/>
    <n v="18770"/>
    <n v="104.2777777777778"/>
  </r>
  <r>
    <d v="2022-10-01T00:00:00"/>
    <x v="0"/>
    <n v="10"/>
    <x v="7"/>
    <x v="1"/>
    <n v="179"/>
    <n v="179"/>
    <n v="0"/>
    <n v="11"/>
    <n v="0.62587412587412583"/>
    <n v="35"/>
    <n v="34"/>
    <n v="0.97142857142857142"/>
    <n v="10587.5"/>
    <n v="1611"/>
    <n v="5600"/>
    <n v="17798.5"/>
    <n v="99.432960893854755"/>
  </r>
  <r>
    <d v="2022-10-08T00:00:00"/>
    <x v="0"/>
    <n v="10"/>
    <x v="7"/>
    <x v="1"/>
    <n v="181"/>
    <n v="181"/>
    <n v="0"/>
    <n v="11"/>
    <n v="0.63286713286713292"/>
    <n v="35"/>
    <n v="32"/>
    <n v="0.91428571428571426"/>
    <n v="10587.5"/>
    <n v="1629"/>
    <n v="5600"/>
    <n v="17816.5"/>
    <n v="98.43370165745857"/>
  </r>
  <r>
    <d v="2022-10-15T00:00:00"/>
    <x v="0"/>
    <n v="10"/>
    <x v="7"/>
    <x v="1"/>
    <n v="173"/>
    <n v="173"/>
    <n v="0"/>
    <n v="11"/>
    <n v="0.6048951048951049"/>
    <n v="35"/>
    <n v="28"/>
    <n v="0.8"/>
    <n v="10587.5"/>
    <n v="1557"/>
    <n v="5600"/>
    <n v="17744.5"/>
    <n v="102.56936416184971"/>
  </r>
  <r>
    <d v="2022-10-22T00:00:00"/>
    <x v="0"/>
    <n v="10"/>
    <x v="7"/>
    <x v="1"/>
    <n v="195"/>
    <n v="195"/>
    <n v="0"/>
    <n v="11"/>
    <n v="0.68181818181818177"/>
    <n v="35"/>
    <n v="32"/>
    <n v="0.91428571428571426"/>
    <n v="10587.5"/>
    <n v="1755"/>
    <n v="5600"/>
    <n v="17942.5"/>
    <n v="92.012820512820511"/>
  </r>
  <r>
    <d v="2022-10-29T00:00:00"/>
    <x v="0"/>
    <n v="10"/>
    <x v="7"/>
    <x v="1"/>
    <n v="200"/>
    <n v="200"/>
    <n v="0"/>
    <n v="12"/>
    <n v="0.64102564102564108"/>
    <n v="35"/>
    <n v="34"/>
    <n v="0.97142857142857142"/>
    <n v="11550"/>
    <n v="1800"/>
    <n v="5600"/>
    <n v="18950"/>
    <n v="94.75"/>
  </r>
  <r>
    <d v="2022-11-05T00:00:00"/>
    <x v="0"/>
    <n v="11"/>
    <x v="7"/>
    <x v="1"/>
    <n v="194"/>
    <n v="194"/>
    <n v="0"/>
    <n v="11"/>
    <n v="0.67832167832167833"/>
    <n v="35"/>
    <n v="30"/>
    <n v="0.8571428571428571"/>
    <n v="10587.5"/>
    <n v="1746"/>
    <n v="5600"/>
    <n v="17933.5"/>
    <n v="92.44072164948453"/>
  </r>
  <r>
    <d v="2022-11-12T00:00:00"/>
    <x v="0"/>
    <n v="11"/>
    <x v="7"/>
    <x v="1"/>
    <n v="218"/>
    <n v="218"/>
    <n v="0"/>
    <n v="12"/>
    <n v="0.69871794871794868"/>
    <n v="35"/>
    <n v="35"/>
    <n v="1"/>
    <n v="11550"/>
    <n v="1962"/>
    <n v="5600"/>
    <n v="19112"/>
    <n v="87.669724770642205"/>
  </r>
  <r>
    <d v="2022-11-19T00:00:00"/>
    <x v="0"/>
    <n v="11"/>
    <x v="7"/>
    <x v="1"/>
    <n v="239"/>
    <n v="238"/>
    <n v="1"/>
    <n v="12"/>
    <n v="0.76282051282051277"/>
    <n v="35"/>
    <n v="32"/>
    <n v="0.91428571428571426"/>
    <n v="11550"/>
    <n v="2142"/>
    <n v="5600"/>
    <n v="19292"/>
    <n v="81.058823529411768"/>
  </r>
  <r>
    <d v="2022-11-26T00:00:00"/>
    <x v="0"/>
    <n v="11"/>
    <x v="7"/>
    <x v="1"/>
    <n v="252"/>
    <n v="253"/>
    <n v="0"/>
    <n v="12"/>
    <n v="0.8108974358974359"/>
    <n v="35"/>
    <n v="32"/>
    <n v="0.91428571428571426"/>
    <n v="11550"/>
    <n v="2277"/>
    <n v="5600"/>
    <n v="19427"/>
    <n v="76.78656126482214"/>
  </r>
  <r>
    <d v="2022-12-03T00:00:00"/>
    <x v="0"/>
    <n v="12"/>
    <x v="7"/>
    <x v="1"/>
    <n v="280"/>
    <n v="265"/>
    <n v="15"/>
    <n v="12"/>
    <n v="0.84935897435897434"/>
    <n v="35"/>
    <n v="33"/>
    <n v="0.94285714285714284"/>
    <n v="11550"/>
    <n v="2385"/>
    <n v="5600"/>
    <n v="19535"/>
    <n v="73.716981132075475"/>
  </r>
  <r>
    <d v="2022-12-10T00:00:00"/>
    <x v="0"/>
    <n v="12"/>
    <x v="7"/>
    <x v="1"/>
    <n v="290"/>
    <n v="275"/>
    <n v="30"/>
    <n v="12"/>
    <n v="0.88141025641025639"/>
    <n v="35"/>
    <n v="32"/>
    <n v="0.91428571428571426"/>
    <n v="11550"/>
    <n v="2475"/>
    <n v="5600"/>
    <n v="19625"/>
    <n v="71.36363636363636"/>
  </r>
  <r>
    <d v="2022-12-17T00:00:00"/>
    <x v="0"/>
    <n v="12"/>
    <x v="7"/>
    <x v="1"/>
    <n v="268"/>
    <n v="272"/>
    <n v="26"/>
    <n v="13"/>
    <n v="0.80473372781065089"/>
    <n v="35"/>
    <n v="32"/>
    <n v="0.91428571428571426"/>
    <n v="12512.5"/>
    <n v="2448"/>
    <n v="5600"/>
    <n v="20560.5"/>
    <n v="75.590073529411768"/>
  </r>
  <r>
    <d v="2022-12-24T00:00:00"/>
    <x v="0"/>
    <n v="12"/>
    <x v="7"/>
    <x v="1"/>
    <n v="245"/>
    <n v="258"/>
    <n v="13"/>
    <n v="12"/>
    <n v="0.82692307692307687"/>
    <n v="35"/>
    <n v="33"/>
    <n v="0.94285714285714284"/>
    <n v="11550"/>
    <n v="2322"/>
    <n v="5600"/>
    <n v="19472"/>
    <n v="75.47286821705427"/>
  </r>
  <r>
    <d v="2022-12-31T00:00:00"/>
    <x v="0"/>
    <n v="12"/>
    <x v="7"/>
    <x v="1"/>
    <n v="207"/>
    <n v="220"/>
    <n v="0"/>
    <n v="12"/>
    <n v="0.70512820512820518"/>
    <n v="35"/>
    <n v="31"/>
    <n v="0.88571428571428568"/>
    <n v="11550"/>
    <n v="1980"/>
    <n v="5600"/>
    <n v="19130"/>
    <n v="86.954545454545453"/>
  </r>
  <r>
    <d v="2023-01-07T00:00:00"/>
    <x v="1"/>
    <n v="1"/>
    <x v="7"/>
    <x v="1"/>
    <n v="160"/>
    <n v="160"/>
    <n v="0"/>
    <n v="10"/>
    <n v="0.61538461538461542"/>
    <n v="35"/>
    <n v="33"/>
    <n v="0.94285714285714284"/>
    <n v="9625"/>
    <n v="1440"/>
    <n v="5600"/>
    <n v="16665"/>
    <n v="104.15625"/>
  </r>
  <r>
    <d v="2023-01-14T00:00:00"/>
    <x v="1"/>
    <n v="1"/>
    <x v="7"/>
    <x v="1"/>
    <n v="144"/>
    <n v="144"/>
    <n v="0"/>
    <n v="9"/>
    <n v="0.61538461538461542"/>
    <n v="35"/>
    <n v="29"/>
    <n v="0.82857142857142863"/>
    <n v="8662.5"/>
    <n v="1296"/>
    <n v="5600"/>
    <n v="15558.5"/>
    <n v="108.0451388888889"/>
  </r>
  <r>
    <d v="2023-01-21T00:00:00"/>
    <x v="1"/>
    <n v="1"/>
    <x v="7"/>
    <x v="1"/>
    <n v="161"/>
    <n v="161"/>
    <n v="0"/>
    <n v="10"/>
    <n v="0.61923076923076925"/>
    <n v="35"/>
    <n v="33"/>
    <n v="0.94285714285714284"/>
    <n v="9625"/>
    <n v="1449"/>
    <n v="5600"/>
    <n v="16674"/>
    <n v="103.5652173913043"/>
  </r>
  <r>
    <d v="2023-01-28T00:00:00"/>
    <x v="1"/>
    <n v="1"/>
    <x v="7"/>
    <x v="1"/>
    <n v="163"/>
    <n v="163"/>
    <n v="0"/>
    <n v="10"/>
    <n v="0.62692307692307692"/>
    <n v="35"/>
    <n v="27"/>
    <n v="0.77142857142857146"/>
    <n v="9625"/>
    <n v="1467"/>
    <n v="5600"/>
    <n v="16692"/>
    <n v="102.40490797546011"/>
  </r>
  <r>
    <d v="2023-02-04T00:00:00"/>
    <x v="1"/>
    <n v="2"/>
    <x v="7"/>
    <x v="1"/>
    <n v="162"/>
    <n v="162"/>
    <n v="0"/>
    <n v="10"/>
    <n v="0.62307692307692308"/>
    <n v="35"/>
    <n v="32"/>
    <n v="0.91428571428571426"/>
    <n v="9625"/>
    <n v="1458"/>
    <n v="5600"/>
    <n v="16683"/>
    <n v="102.9814814814815"/>
  </r>
  <r>
    <d v="2023-02-11T00:00:00"/>
    <x v="1"/>
    <n v="2"/>
    <x v="7"/>
    <x v="1"/>
    <n v="175"/>
    <n v="175"/>
    <n v="0"/>
    <n v="10"/>
    <n v="0.67307692307692313"/>
    <n v="35"/>
    <n v="30"/>
    <n v="0.8571428571428571"/>
    <n v="9625"/>
    <n v="1575"/>
    <n v="5600"/>
    <n v="16800"/>
    <n v="96"/>
  </r>
  <r>
    <d v="2023-02-18T00:00:00"/>
    <x v="1"/>
    <n v="2"/>
    <x v="7"/>
    <x v="1"/>
    <n v="179"/>
    <n v="179"/>
    <n v="0"/>
    <n v="11"/>
    <n v="0.62587412587412583"/>
    <n v="35"/>
    <n v="30"/>
    <n v="0.8571428571428571"/>
    <n v="10587.5"/>
    <n v="1611"/>
    <n v="5600"/>
    <n v="17798.5"/>
    <n v="99.432960893854755"/>
  </r>
  <r>
    <d v="2023-02-25T00:00:00"/>
    <x v="1"/>
    <n v="2"/>
    <x v="7"/>
    <x v="1"/>
    <n v="169"/>
    <n v="169"/>
    <n v="0"/>
    <n v="11"/>
    <n v="0.59090909090909094"/>
    <n v="35"/>
    <n v="31"/>
    <n v="0.88571428571428568"/>
    <n v="10587.5"/>
    <n v="1521"/>
    <n v="5600"/>
    <n v="17708.5"/>
    <n v="104.78402366863909"/>
  </r>
  <r>
    <d v="2023-03-04T00:00:00"/>
    <x v="1"/>
    <n v="3"/>
    <x v="7"/>
    <x v="1"/>
    <n v="178"/>
    <n v="178"/>
    <n v="0"/>
    <n v="11"/>
    <n v="0.6223776223776224"/>
    <n v="35"/>
    <n v="34"/>
    <n v="0.97142857142857142"/>
    <n v="10587.5"/>
    <n v="1602"/>
    <n v="5600"/>
    <n v="17789.5"/>
    <n v="99.94101123595506"/>
  </r>
  <r>
    <d v="2023-03-11T00:00:00"/>
    <x v="1"/>
    <n v="3"/>
    <x v="7"/>
    <x v="1"/>
    <n v="189"/>
    <n v="189"/>
    <n v="0"/>
    <n v="12"/>
    <n v="0.60576923076923073"/>
    <n v="35"/>
    <n v="31"/>
    <n v="0.88571428571428568"/>
    <n v="11550"/>
    <n v="1701"/>
    <n v="5600"/>
    <n v="18851"/>
    <n v="99.740740740740748"/>
  </r>
  <r>
    <d v="2023-03-18T00:00:00"/>
    <x v="1"/>
    <n v="3"/>
    <x v="7"/>
    <x v="1"/>
    <n v="178"/>
    <n v="178"/>
    <n v="0"/>
    <n v="11"/>
    <n v="0.6223776223776224"/>
    <n v="35"/>
    <n v="35"/>
    <n v="1"/>
    <n v="10587.5"/>
    <n v="1602"/>
    <n v="5600"/>
    <n v="17789.5"/>
    <n v="99.94101123595506"/>
  </r>
  <r>
    <d v="2023-03-25T00:00:00"/>
    <x v="1"/>
    <n v="3"/>
    <x v="7"/>
    <x v="1"/>
    <n v="187"/>
    <n v="187"/>
    <n v="0"/>
    <n v="11"/>
    <n v="0.65384615384615385"/>
    <n v="35"/>
    <n v="34"/>
    <n v="0.97142857142857142"/>
    <n v="10587.5"/>
    <n v="1683"/>
    <n v="5600"/>
    <n v="17870.5"/>
    <n v="95.564171122994651"/>
  </r>
  <r>
    <d v="2023-04-01T00:00:00"/>
    <x v="1"/>
    <n v="4"/>
    <x v="7"/>
    <x v="1"/>
    <n v="189"/>
    <n v="189"/>
    <n v="0"/>
    <n v="11"/>
    <n v="0.66083916083916083"/>
    <n v="35"/>
    <n v="31"/>
    <n v="0.88571428571428568"/>
    <n v="10587.5"/>
    <n v="1701"/>
    <n v="5600"/>
    <n v="17888.5"/>
    <n v="94.648148148148152"/>
  </r>
  <r>
    <d v="2023-04-08T00:00:00"/>
    <x v="1"/>
    <n v="4"/>
    <x v="7"/>
    <x v="1"/>
    <n v="185"/>
    <n v="185"/>
    <n v="0"/>
    <n v="12"/>
    <n v="0.59294871794871795"/>
    <n v="35"/>
    <n v="33"/>
    <n v="0.94285714285714284"/>
    <n v="11550"/>
    <n v="1665"/>
    <n v="5600"/>
    <n v="18815"/>
    <n v="101.70270270270269"/>
  </r>
  <r>
    <d v="2023-04-15T00:00:00"/>
    <x v="1"/>
    <n v="4"/>
    <x v="7"/>
    <x v="1"/>
    <n v="191"/>
    <n v="191"/>
    <n v="0"/>
    <n v="12"/>
    <n v="0.61217948717948723"/>
    <n v="35"/>
    <n v="33"/>
    <n v="0.94285714285714284"/>
    <n v="11550"/>
    <n v="1719"/>
    <n v="5600"/>
    <n v="18869"/>
    <n v="98.790575916230367"/>
  </r>
  <r>
    <d v="2023-04-22T00:00:00"/>
    <x v="1"/>
    <n v="4"/>
    <x v="7"/>
    <x v="1"/>
    <n v="189"/>
    <n v="189"/>
    <n v="0"/>
    <n v="12"/>
    <n v="0.60576923076923073"/>
    <n v="35"/>
    <n v="34"/>
    <n v="0.97142857142857142"/>
    <n v="11550"/>
    <n v="1701"/>
    <n v="5600"/>
    <n v="18851"/>
    <n v="99.740740740740748"/>
  </r>
  <r>
    <d v="2023-04-29T00:00:00"/>
    <x v="1"/>
    <n v="4"/>
    <x v="7"/>
    <x v="1"/>
    <n v="194"/>
    <n v="194"/>
    <n v="0"/>
    <n v="12"/>
    <n v="0.62179487179487181"/>
    <n v="35"/>
    <n v="33"/>
    <n v="0.94285714285714284"/>
    <n v="11550"/>
    <n v="1746"/>
    <n v="5600"/>
    <n v="18896"/>
    <n v="97.402061855670098"/>
  </r>
  <r>
    <d v="2023-05-06T00:00:00"/>
    <x v="1"/>
    <n v="5"/>
    <x v="7"/>
    <x v="1"/>
    <n v="198"/>
    <n v="198"/>
    <n v="0"/>
    <n v="12"/>
    <n v="0.63461538461538458"/>
    <n v="35"/>
    <n v="32"/>
    <n v="0.91428571428571426"/>
    <n v="11550"/>
    <n v="1782"/>
    <n v="5600"/>
    <n v="18932"/>
    <n v="95.616161616161619"/>
  </r>
  <r>
    <d v="2023-05-13T00:00:00"/>
    <x v="1"/>
    <n v="5"/>
    <x v="7"/>
    <x v="1"/>
    <n v="195"/>
    <n v="195"/>
    <n v="0"/>
    <n v="12"/>
    <n v="0.625"/>
    <n v="35"/>
    <n v="31"/>
    <n v="0.88571428571428568"/>
    <n v="11550"/>
    <n v="1755"/>
    <n v="5600"/>
    <n v="18905"/>
    <n v="96.948717948717942"/>
  </r>
  <r>
    <d v="2023-05-20T00:00:00"/>
    <x v="1"/>
    <n v="5"/>
    <x v="7"/>
    <x v="1"/>
    <n v="203"/>
    <n v="203"/>
    <n v="0"/>
    <n v="12"/>
    <n v="0.65064102564102566"/>
    <n v="35"/>
    <n v="35"/>
    <n v="1"/>
    <n v="11550"/>
    <n v="1827"/>
    <n v="5600"/>
    <n v="18977"/>
    <n v="93.482758620689651"/>
  </r>
  <r>
    <d v="2023-05-27T00:00:00"/>
    <x v="1"/>
    <n v="5"/>
    <x v="7"/>
    <x v="1"/>
    <n v="186"/>
    <n v="186"/>
    <n v="0"/>
    <n v="12"/>
    <n v="0.59615384615384615"/>
    <n v="35"/>
    <n v="33"/>
    <n v="0.94285714285714284"/>
    <n v="11550"/>
    <n v="1674"/>
    <n v="5600"/>
    <n v="18824"/>
    <n v="101.2043010752688"/>
  </r>
  <r>
    <d v="2023-06-03T00:00:00"/>
    <x v="1"/>
    <n v="6"/>
    <x v="7"/>
    <x v="1"/>
    <n v="186"/>
    <n v="186"/>
    <n v="0"/>
    <n v="12"/>
    <n v="0.59615384615384615"/>
    <n v="35"/>
    <n v="35"/>
    <n v="1"/>
    <n v="11550"/>
    <n v="1674"/>
    <n v="5600"/>
    <n v="18824"/>
    <n v="101.2043010752688"/>
  </r>
  <r>
    <d v="2023-06-10T00:00:00"/>
    <x v="1"/>
    <n v="6"/>
    <x v="7"/>
    <x v="1"/>
    <n v="183"/>
    <n v="183"/>
    <n v="0"/>
    <n v="12"/>
    <n v="0.58653846153846156"/>
    <n v="35"/>
    <n v="34"/>
    <n v="0.97142857142857142"/>
    <n v="11550"/>
    <n v="1647"/>
    <n v="5600"/>
    <n v="18797"/>
    <n v="102.7158469945355"/>
  </r>
  <r>
    <d v="2023-06-17T00:00:00"/>
    <x v="1"/>
    <n v="6"/>
    <x v="7"/>
    <x v="1"/>
    <n v="186"/>
    <n v="186"/>
    <n v="0"/>
    <n v="11"/>
    <n v="0.65034965034965031"/>
    <n v="35"/>
    <n v="35"/>
    <n v="1"/>
    <n v="10587.5"/>
    <n v="1674"/>
    <n v="5600"/>
    <n v="17861.5"/>
    <n v="96.02956989247312"/>
  </r>
  <r>
    <d v="2023-06-24T00:00:00"/>
    <x v="1"/>
    <n v="6"/>
    <x v="7"/>
    <x v="1"/>
    <n v="183"/>
    <n v="183"/>
    <n v="0"/>
    <n v="12"/>
    <n v="0.58653846153846156"/>
    <n v="35"/>
    <n v="30"/>
    <n v="0.8571428571428571"/>
    <n v="11550"/>
    <n v="1647"/>
    <n v="5600"/>
    <n v="18797"/>
    <n v="102.7158469945355"/>
  </r>
  <r>
    <d v="2023-07-01T00:00:00"/>
    <x v="1"/>
    <n v="7"/>
    <x v="7"/>
    <x v="1"/>
    <n v="181"/>
    <n v="181"/>
    <n v="0"/>
    <n v="11"/>
    <n v="0.63286713286713292"/>
    <n v="35"/>
    <n v="31"/>
    <n v="0.88571428571428568"/>
    <n v="10587.5"/>
    <n v="1629"/>
    <n v="5600"/>
    <n v="17816.5"/>
    <n v="98.43370165745857"/>
  </r>
  <r>
    <d v="2023-07-08T00:00:00"/>
    <x v="1"/>
    <n v="7"/>
    <x v="7"/>
    <x v="1"/>
    <n v="187"/>
    <n v="187"/>
    <n v="0"/>
    <n v="12"/>
    <n v="0.59935897435897434"/>
    <n v="35"/>
    <n v="34"/>
    <n v="0.97142857142857142"/>
    <n v="11550"/>
    <n v="1683"/>
    <n v="5600"/>
    <n v="18833"/>
    <n v="100.7112299465241"/>
  </r>
  <r>
    <d v="2023-07-15T00:00:00"/>
    <x v="1"/>
    <n v="7"/>
    <x v="7"/>
    <x v="1"/>
    <n v="196"/>
    <n v="196"/>
    <n v="0"/>
    <n v="12"/>
    <n v="0.62820512820512819"/>
    <n v="35"/>
    <n v="34"/>
    <n v="0.97142857142857142"/>
    <n v="11550"/>
    <n v="1764"/>
    <n v="5600"/>
    <n v="18914"/>
    <n v="96.5"/>
  </r>
  <r>
    <d v="2023-07-22T00:00:00"/>
    <x v="1"/>
    <n v="7"/>
    <x v="7"/>
    <x v="1"/>
    <n v="194"/>
    <n v="194"/>
    <n v="0"/>
    <n v="12"/>
    <n v="0.62179487179487181"/>
    <n v="35"/>
    <n v="34"/>
    <n v="0.97142857142857142"/>
    <n v="11550"/>
    <n v="1746"/>
    <n v="5600"/>
    <n v="18896"/>
    <n v="97.402061855670098"/>
  </r>
  <r>
    <d v="2023-07-29T00:00:00"/>
    <x v="1"/>
    <n v="7"/>
    <x v="7"/>
    <x v="1"/>
    <n v="190"/>
    <n v="190"/>
    <n v="0"/>
    <n v="11"/>
    <n v="0.66433566433566438"/>
    <n v="35"/>
    <n v="34"/>
    <n v="0.97142857142857142"/>
    <n v="10587.5"/>
    <n v="1710"/>
    <n v="5600"/>
    <n v="17897.5"/>
    <n v="94.19736842105263"/>
  </r>
  <r>
    <d v="2023-08-05T00:00:00"/>
    <x v="1"/>
    <n v="8"/>
    <x v="7"/>
    <x v="1"/>
    <n v="197"/>
    <n v="197"/>
    <n v="0"/>
    <n v="12"/>
    <n v="0.63141025641025639"/>
    <n v="35"/>
    <n v="31"/>
    <n v="0.88571428571428568"/>
    <n v="11550"/>
    <n v="1773"/>
    <n v="5600"/>
    <n v="18923"/>
    <n v="96.055837563451774"/>
  </r>
  <r>
    <d v="2023-08-12T00:00:00"/>
    <x v="1"/>
    <n v="8"/>
    <x v="7"/>
    <x v="1"/>
    <n v="202"/>
    <n v="202"/>
    <n v="0"/>
    <n v="12"/>
    <n v="0.64743589743589747"/>
    <n v="35"/>
    <n v="32"/>
    <n v="0.91428571428571426"/>
    <n v="11550"/>
    <n v="1818"/>
    <n v="5600"/>
    <n v="18968"/>
    <n v="93.900990099009903"/>
  </r>
  <r>
    <d v="2023-08-19T00:00:00"/>
    <x v="1"/>
    <n v="8"/>
    <x v="7"/>
    <x v="1"/>
    <n v="193"/>
    <n v="193"/>
    <n v="0"/>
    <n v="12"/>
    <n v="0.61858974358974361"/>
    <n v="35"/>
    <n v="31"/>
    <n v="0.88571428571428568"/>
    <n v="11550"/>
    <n v="1737"/>
    <n v="5600"/>
    <n v="18887"/>
    <n v="97.860103626943001"/>
  </r>
  <r>
    <d v="2023-08-26T00:00:00"/>
    <x v="1"/>
    <n v="8"/>
    <x v="7"/>
    <x v="1"/>
    <n v="192"/>
    <n v="192"/>
    <n v="0"/>
    <n v="12"/>
    <n v="0.61538461538461542"/>
    <n v="35"/>
    <n v="35"/>
    <n v="1"/>
    <n v="11550"/>
    <n v="1728"/>
    <n v="5600"/>
    <n v="18878"/>
    <n v="98.322916666666671"/>
  </r>
  <r>
    <d v="2023-09-02T00:00:00"/>
    <x v="1"/>
    <n v="9"/>
    <x v="7"/>
    <x v="1"/>
    <n v="182"/>
    <n v="182"/>
    <n v="0"/>
    <n v="11"/>
    <n v="0.63636363636363635"/>
    <n v="35"/>
    <n v="31"/>
    <n v="0.88571428571428568"/>
    <n v="10587.5"/>
    <n v="1638"/>
    <n v="5600"/>
    <n v="17825.5"/>
    <n v="97.942307692307693"/>
  </r>
  <r>
    <d v="2023-09-09T00:00:00"/>
    <x v="1"/>
    <n v="9"/>
    <x v="7"/>
    <x v="1"/>
    <n v="185"/>
    <n v="185"/>
    <n v="0"/>
    <n v="11"/>
    <n v="0.64685314685314688"/>
    <n v="35"/>
    <n v="27"/>
    <n v="0.77142857142857146"/>
    <n v="10587.5"/>
    <n v="1665"/>
    <n v="5600"/>
    <n v="17852.5"/>
    <n v="96.5"/>
  </r>
  <r>
    <d v="2023-09-16T00:00:00"/>
    <x v="1"/>
    <n v="9"/>
    <x v="7"/>
    <x v="1"/>
    <n v="182"/>
    <n v="182"/>
    <n v="0"/>
    <n v="12"/>
    <n v="0.58333333333333337"/>
    <n v="35"/>
    <n v="34"/>
    <n v="0.97142857142857142"/>
    <n v="11550"/>
    <n v="1638"/>
    <n v="5600"/>
    <n v="18788"/>
    <n v="103.2307692307692"/>
  </r>
  <r>
    <d v="2023-09-23T00:00:00"/>
    <x v="1"/>
    <n v="9"/>
    <x v="7"/>
    <x v="1"/>
    <n v="180"/>
    <n v="180"/>
    <n v="0"/>
    <n v="11"/>
    <n v="0.62937062937062938"/>
    <n v="35"/>
    <n v="32"/>
    <n v="0.91428571428571426"/>
    <n v="10587.5"/>
    <n v="1620"/>
    <n v="5600"/>
    <n v="17807.5"/>
    <n v="98.930555555555557"/>
  </r>
  <r>
    <d v="2023-09-30T00:00:00"/>
    <x v="1"/>
    <n v="9"/>
    <x v="7"/>
    <x v="1"/>
    <n v="173"/>
    <n v="173"/>
    <n v="0"/>
    <n v="11"/>
    <n v="0.6048951048951049"/>
    <n v="35"/>
    <n v="32"/>
    <n v="0.91428571428571426"/>
    <n v="10587.5"/>
    <n v="1557"/>
    <n v="5600"/>
    <n v="17744.5"/>
    <n v="102.56936416184971"/>
  </r>
  <r>
    <d v="2023-10-07T00:00:00"/>
    <x v="1"/>
    <n v="10"/>
    <x v="7"/>
    <x v="1"/>
    <n v="181"/>
    <n v="181"/>
    <n v="0"/>
    <n v="11"/>
    <n v="0.63286713286713292"/>
    <n v="35"/>
    <n v="29"/>
    <n v="0.82857142857142863"/>
    <n v="10587.5"/>
    <n v="1629"/>
    <n v="5600"/>
    <n v="17816.5"/>
    <n v="98.43370165745857"/>
  </r>
  <r>
    <d v="2023-10-14T00:00:00"/>
    <x v="1"/>
    <n v="10"/>
    <x v="7"/>
    <x v="1"/>
    <n v="192"/>
    <n v="192"/>
    <n v="0"/>
    <n v="11"/>
    <n v="0.67132867132867136"/>
    <n v="35"/>
    <n v="33"/>
    <n v="0.94285714285714284"/>
    <n v="10587.5"/>
    <n v="1728"/>
    <n v="5600"/>
    <n v="17915.5"/>
    <n v="93.309895833333329"/>
  </r>
  <r>
    <d v="2023-10-21T00:00:00"/>
    <x v="1"/>
    <n v="10"/>
    <x v="7"/>
    <x v="1"/>
    <n v="186"/>
    <n v="186"/>
    <n v="0"/>
    <n v="11"/>
    <n v="0.65034965034965031"/>
    <n v="35"/>
    <n v="31"/>
    <n v="0.88571428571428568"/>
    <n v="10587.5"/>
    <n v="1674"/>
    <n v="5600"/>
    <n v="17861.5"/>
    <n v="96.02956989247312"/>
  </r>
  <r>
    <d v="2023-10-28T00:00:00"/>
    <x v="1"/>
    <n v="10"/>
    <x v="7"/>
    <x v="1"/>
    <n v="205"/>
    <n v="205"/>
    <n v="0"/>
    <n v="12"/>
    <n v="0.65705128205128205"/>
    <n v="35"/>
    <n v="33"/>
    <n v="0.94285714285714284"/>
    <n v="11550"/>
    <n v="1845"/>
    <n v="5600"/>
    <n v="18995"/>
    <n v="92.658536585365852"/>
  </r>
  <r>
    <d v="2023-11-04T00:00:00"/>
    <x v="1"/>
    <n v="11"/>
    <x v="7"/>
    <x v="1"/>
    <n v="208"/>
    <n v="208"/>
    <n v="0"/>
    <n v="12"/>
    <n v="0.66666666666666663"/>
    <n v="35"/>
    <n v="31"/>
    <n v="0.88571428571428568"/>
    <n v="11550"/>
    <n v="1872"/>
    <n v="5600"/>
    <n v="19022"/>
    <n v="91.45192307692308"/>
  </r>
  <r>
    <d v="2023-11-11T00:00:00"/>
    <x v="1"/>
    <n v="11"/>
    <x v="7"/>
    <x v="1"/>
    <n v="218"/>
    <n v="218"/>
    <n v="0"/>
    <n v="12"/>
    <n v="0.69871794871794868"/>
    <n v="35"/>
    <n v="34"/>
    <n v="0.97142857142857142"/>
    <n v="11550"/>
    <n v="1962"/>
    <n v="5600"/>
    <n v="19112"/>
    <n v="87.669724770642205"/>
  </r>
  <r>
    <d v="2023-11-18T00:00:00"/>
    <x v="1"/>
    <n v="11"/>
    <x v="7"/>
    <x v="1"/>
    <n v="241"/>
    <n v="241"/>
    <n v="0"/>
    <n v="12"/>
    <n v="0.77243589743589747"/>
    <n v="35"/>
    <n v="31"/>
    <n v="0.88571428571428568"/>
    <n v="11550"/>
    <n v="2169"/>
    <n v="5600"/>
    <n v="19319"/>
    <n v="80.161825726141075"/>
  </r>
  <r>
    <d v="2023-11-25T00:00:00"/>
    <x v="1"/>
    <n v="11"/>
    <x v="7"/>
    <x v="1"/>
    <n v="263"/>
    <n v="254"/>
    <n v="9"/>
    <n v="12"/>
    <n v="0.8141025641025641"/>
    <n v="35"/>
    <n v="34"/>
    <n v="0.97142857142857142"/>
    <n v="11550"/>
    <n v="2286"/>
    <n v="5600"/>
    <n v="19436"/>
    <n v="76.519685039370074"/>
  </r>
  <r>
    <d v="2023-12-02T00:00:00"/>
    <x v="1"/>
    <n v="12"/>
    <x v="7"/>
    <x v="1"/>
    <n v="274"/>
    <n v="263"/>
    <n v="20"/>
    <n v="12"/>
    <n v="0.84294871794871795"/>
    <n v="35"/>
    <n v="30"/>
    <n v="0.8571428571428571"/>
    <n v="11550"/>
    <n v="2367"/>
    <n v="5600"/>
    <n v="19517"/>
    <n v="74.209125475285177"/>
  </r>
  <r>
    <d v="2023-12-09T00:00:00"/>
    <x v="1"/>
    <n v="12"/>
    <x v="7"/>
    <x v="1"/>
    <n v="305"/>
    <n v="272"/>
    <n v="53"/>
    <n v="13"/>
    <n v="0.80473372781065089"/>
    <n v="35"/>
    <n v="33"/>
    <n v="0.94285714285714284"/>
    <n v="12512.5"/>
    <n v="2448"/>
    <n v="5600"/>
    <n v="20560.5"/>
    <n v="75.590073529411768"/>
  </r>
  <r>
    <d v="2023-12-16T00:00:00"/>
    <x v="1"/>
    <n v="12"/>
    <x v="7"/>
    <x v="1"/>
    <n v="285"/>
    <n v="276"/>
    <n v="62"/>
    <n v="13"/>
    <n v="0.81656804733727806"/>
    <n v="35"/>
    <n v="32"/>
    <n v="0.91428571428571426"/>
    <n v="12512.5"/>
    <n v="2484"/>
    <n v="5600"/>
    <n v="20596.5"/>
    <n v="74.625"/>
  </r>
  <r>
    <d v="2023-12-23T00:00:00"/>
    <x v="1"/>
    <n v="12"/>
    <x v="7"/>
    <x v="1"/>
    <n v="242"/>
    <n v="267"/>
    <n v="37"/>
    <n v="12"/>
    <n v="0.85576923076923073"/>
    <n v="35"/>
    <n v="31"/>
    <n v="0.88571428571428568"/>
    <n v="11550"/>
    <n v="2403"/>
    <n v="5600"/>
    <n v="19553"/>
    <n v="73.232209737827716"/>
  </r>
  <r>
    <d v="2023-12-30T00:00:00"/>
    <x v="1"/>
    <n v="12"/>
    <x v="7"/>
    <x v="1"/>
    <n v="203"/>
    <n v="219"/>
    <n v="21"/>
    <n v="12"/>
    <n v="0.70192307692307687"/>
    <n v="35"/>
    <n v="29"/>
    <n v="0.82857142857142863"/>
    <n v="11550"/>
    <n v="1971"/>
    <n v="5600"/>
    <n v="19121"/>
    <n v="87.310502283105023"/>
  </r>
  <r>
    <d v="2024-01-06T00:00:00"/>
    <x v="2"/>
    <n v="1"/>
    <x v="7"/>
    <x v="1"/>
    <n v="168"/>
    <n v="183"/>
    <n v="6"/>
    <n v="11"/>
    <n v="0.6398601398601399"/>
    <n v="35"/>
    <n v="32"/>
    <n v="0.91428571428571426"/>
    <n v="10587.5"/>
    <n v="1647"/>
    <n v="5600"/>
    <n v="17834.5"/>
    <n v="97.45628415300547"/>
  </r>
  <r>
    <d v="2024-01-13T00:00:00"/>
    <x v="2"/>
    <n v="1"/>
    <x v="7"/>
    <x v="1"/>
    <n v="146"/>
    <n v="152"/>
    <n v="0"/>
    <n v="8"/>
    <n v="0.73076923076923073"/>
    <n v="35"/>
    <n v="31"/>
    <n v="0.88571428571428568"/>
    <n v="7700"/>
    <n v="1368"/>
    <n v="5600"/>
    <n v="14668"/>
    <n v="96.5"/>
  </r>
  <r>
    <d v="2024-01-20T00:00:00"/>
    <x v="2"/>
    <n v="1"/>
    <x v="7"/>
    <x v="1"/>
    <n v="144"/>
    <n v="144"/>
    <n v="0"/>
    <n v="7"/>
    <n v="0.79120879120879117"/>
    <n v="35"/>
    <n v="27"/>
    <n v="0.77142857142857146"/>
    <n v="6737.5"/>
    <n v="1296"/>
    <n v="5600"/>
    <n v="13633.5"/>
    <n v="94.677083333333329"/>
  </r>
  <r>
    <d v="2024-01-27T00:00:00"/>
    <x v="2"/>
    <n v="1"/>
    <x v="7"/>
    <x v="1"/>
    <n v="155"/>
    <n v="155"/>
    <n v="0"/>
    <n v="8"/>
    <n v="0.74519230769230771"/>
    <n v="35"/>
    <n v="28"/>
    <n v="0.8"/>
    <n v="7700"/>
    <n v="1395"/>
    <n v="5600"/>
    <n v="14695"/>
    <n v="94.806451612903231"/>
  </r>
  <r>
    <d v="2024-02-03T00:00:00"/>
    <x v="2"/>
    <n v="2"/>
    <x v="7"/>
    <x v="1"/>
    <n v="168"/>
    <n v="168"/>
    <n v="0"/>
    <n v="11"/>
    <n v="0.58741258741258739"/>
    <n v="35"/>
    <n v="33"/>
    <n v="0.94285714285714284"/>
    <n v="10587.5"/>
    <n v="1512"/>
    <n v="5600"/>
    <n v="17699.5"/>
    <n v="105.3541666666667"/>
  </r>
  <r>
    <d v="2024-02-10T00:00:00"/>
    <x v="2"/>
    <n v="2"/>
    <x v="7"/>
    <x v="1"/>
    <n v="176"/>
    <n v="176"/>
    <n v="0"/>
    <n v="11"/>
    <n v="0.61538461538461542"/>
    <n v="35"/>
    <n v="30"/>
    <n v="0.8571428571428571"/>
    <n v="10587.5"/>
    <n v="1584"/>
    <n v="5600"/>
    <n v="17771.5"/>
    <n v="100.9744318181818"/>
  </r>
  <r>
    <d v="2024-02-17T00:00:00"/>
    <x v="2"/>
    <n v="2"/>
    <x v="7"/>
    <x v="1"/>
    <n v="174"/>
    <n v="174"/>
    <n v="0"/>
    <n v="11"/>
    <n v="0.60839160839160844"/>
    <n v="35"/>
    <n v="32"/>
    <n v="0.91428571428571426"/>
    <n v="10587.5"/>
    <n v="1566"/>
    <n v="5600"/>
    <n v="17753.5"/>
    <n v="102.0316091954023"/>
  </r>
  <r>
    <d v="2024-02-24T00:00:00"/>
    <x v="2"/>
    <n v="2"/>
    <x v="7"/>
    <x v="1"/>
    <n v="168"/>
    <n v="168"/>
    <n v="0"/>
    <n v="10"/>
    <n v="0.64615384615384619"/>
    <n v="35"/>
    <n v="30"/>
    <n v="0.8571428571428571"/>
    <n v="9625"/>
    <n v="1512"/>
    <n v="5600"/>
    <n v="16737"/>
    <n v="99.625"/>
  </r>
  <r>
    <d v="2024-03-02T00:00:00"/>
    <x v="2"/>
    <n v="3"/>
    <x v="7"/>
    <x v="1"/>
    <n v="183"/>
    <n v="183"/>
    <n v="0"/>
    <n v="12"/>
    <n v="0.58653846153846156"/>
    <n v="35"/>
    <n v="34"/>
    <n v="0.97142857142857142"/>
    <n v="11550"/>
    <n v="1647"/>
    <n v="5600"/>
    <n v="18797"/>
    <n v="102.7158469945355"/>
  </r>
  <r>
    <d v="2024-03-09T00:00:00"/>
    <x v="2"/>
    <n v="3"/>
    <x v="7"/>
    <x v="1"/>
    <n v="187"/>
    <n v="187"/>
    <n v="0"/>
    <n v="12"/>
    <n v="0.59935897435897434"/>
    <n v="35"/>
    <n v="33"/>
    <n v="0.94285714285714284"/>
    <n v="11550"/>
    <n v="1683"/>
    <n v="5600"/>
    <n v="18833"/>
    <n v="100.7112299465241"/>
  </r>
  <r>
    <d v="2024-03-16T00:00:00"/>
    <x v="2"/>
    <n v="3"/>
    <x v="7"/>
    <x v="1"/>
    <n v="186"/>
    <n v="186"/>
    <n v="0"/>
    <n v="11"/>
    <n v="0.65034965034965031"/>
    <n v="35"/>
    <n v="31"/>
    <n v="0.88571428571428568"/>
    <n v="10587.5"/>
    <n v="1674"/>
    <n v="5600"/>
    <n v="17861.5"/>
    <n v="96.02956989247312"/>
  </r>
  <r>
    <d v="2024-03-23T00:00:00"/>
    <x v="2"/>
    <n v="3"/>
    <x v="7"/>
    <x v="1"/>
    <n v="186"/>
    <n v="186"/>
    <n v="0"/>
    <n v="12"/>
    <n v="0.59615384615384615"/>
    <n v="35"/>
    <n v="30"/>
    <n v="0.8571428571428571"/>
    <n v="11550"/>
    <n v="1674"/>
    <n v="5600"/>
    <n v="18824"/>
    <n v="101.2043010752688"/>
  </r>
  <r>
    <d v="2024-03-30T00:00:00"/>
    <x v="2"/>
    <n v="3"/>
    <x v="7"/>
    <x v="1"/>
    <n v="186"/>
    <n v="186"/>
    <n v="0"/>
    <n v="12"/>
    <n v="0.59615384615384615"/>
    <n v="35"/>
    <n v="32"/>
    <n v="0.91428571428571426"/>
    <n v="11550"/>
    <n v="1674"/>
    <n v="5600"/>
    <n v="18824"/>
    <n v="101.2043010752688"/>
  </r>
  <r>
    <d v="2024-04-06T00:00:00"/>
    <x v="2"/>
    <n v="4"/>
    <x v="7"/>
    <x v="1"/>
    <n v="183"/>
    <n v="183"/>
    <n v="0"/>
    <n v="11"/>
    <n v="0.6398601398601399"/>
    <n v="35"/>
    <n v="35"/>
    <n v="1"/>
    <n v="10587.5"/>
    <n v="1647"/>
    <n v="5600"/>
    <n v="17834.5"/>
    <n v="97.45628415300547"/>
  </r>
  <r>
    <d v="2024-04-13T00:00:00"/>
    <x v="2"/>
    <n v="4"/>
    <x v="7"/>
    <x v="1"/>
    <n v="177"/>
    <n v="177"/>
    <n v="0"/>
    <n v="11"/>
    <n v="0.61888111888111885"/>
    <n v="35"/>
    <n v="31"/>
    <n v="0.88571428571428568"/>
    <n v="10587.5"/>
    <n v="1593"/>
    <n v="5600"/>
    <n v="17780.5"/>
    <n v="100.454802259887"/>
  </r>
  <r>
    <d v="2024-04-20T00:00:00"/>
    <x v="2"/>
    <n v="4"/>
    <x v="7"/>
    <x v="1"/>
    <n v="190"/>
    <n v="190"/>
    <n v="0"/>
    <n v="11"/>
    <n v="0.66433566433566438"/>
    <n v="35"/>
    <n v="34"/>
    <n v="0.97142857142857142"/>
    <n v="10587.5"/>
    <n v="1710"/>
    <n v="5600"/>
    <n v="17897.5"/>
    <n v="94.19736842105263"/>
  </r>
  <r>
    <d v="2024-04-27T00:00:00"/>
    <x v="2"/>
    <n v="4"/>
    <x v="7"/>
    <x v="1"/>
    <n v="213"/>
    <n v="213"/>
    <n v="0"/>
    <n v="12"/>
    <n v="0.68269230769230771"/>
    <n v="35"/>
    <n v="34"/>
    <n v="0.97142857142857142"/>
    <n v="11550"/>
    <n v="1917"/>
    <n v="5600"/>
    <n v="19067"/>
    <n v="89.516431924882625"/>
  </r>
  <r>
    <d v="2024-05-04T00:00:00"/>
    <x v="2"/>
    <n v="5"/>
    <x v="7"/>
    <x v="1"/>
    <n v="200"/>
    <n v="200"/>
    <n v="0"/>
    <n v="12"/>
    <n v="0.64102564102564108"/>
    <n v="35"/>
    <n v="32"/>
    <n v="0.91428571428571426"/>
    <n v="11550"/>
    <n v="1800"/>
    <n v="5600"/>
    <n v="18950"/>
    <n v="94.75"/>
  </r>
  <r>
    <d v="2024-05-11T00:00:00"/>
    <x v="2"/>
    <n v="5"/>
    <x v="7"/>
    <x v="1"/>
    <n v="210"/>
    <n v="210"/>
    <n v="0"/>
    <n v="12"/>
    <n v="0.67307692307692313"/>
    <n v="35"/>
    <n v="33"/>
    <n v="0.94285714285714284"/>
    <n v="11550"/>
    <n v="1890"/>
    <n v="5600"/>
    <n v="19040"/>
    <n v="90.666666666666671"/>
  </r>
  <r>
    <d v="2024-05-18T00:00:00"/>
    <x v="2"/>
    <n v="5"/>
    <x v="7"/>
    <x v="1"/>
    <n v="208"/>
    <n v="208"/>
    <n v="0"/>
    <n v="12"/>
    <n v="0.66666666666666663"/>
    <n v="35"/>
    <n v="35"/>
    <n v="1"/>
    <n v="11550"/>
    <n v="1872"/>
    <n v="5600"/>
    <n v="19022"/>
    <n v="91.45192307692308"/>
  </r>
  <r>
    <d v="2024-05-25T00:00:00"/>
    <x v="2"/>
    <n v="5"/>
    <x v="7"/>
    <x v="1"/>
    <n v="211"/>
    <n v="211"/>
    <n v="0"/>
    <n v="12"/>
    <n v="0.67628205128205132"/>
    <n v="35"/>
    <n v="32"/>
    <n v="0.91428571428571426"/>
    <n v="11550"/>
    <n v="1899"/>
    <n v="5600"/>
    <n v="19049"/>
    <n v="90.279620853080573"/>
  </r>
  <r>
    <d v="2024-06-01T00:00:00"/>
    <x v="2"/>
    <n v="6"/>
    <x v="7"/>
    <x v="1"/>
    <n v="200"/>
    <n v="200"/>
    <n v="0"/>
    <n v="12"/>
    <n v="0.64102564102564108"/>
    <n v="35"/>
    <n v="31"/>
    <n v="0.88571428571428568"/>
    <n v="11550"/>
    <n v="1800"/>
    <n v="5600"/>
    <n v="18950"/>
    <n v="94.75"/>
  </r>
  <r>
    <d v="2024-06-08T00:00:00"/>
    <x v="2"/>
    <n v="6"/>
    <x v="7"/>
    <x v="1"/>
    <n v="199"/>
    <n v="199"/>
    <n v="0"/>
    <n v="12"/>
    <n v="0.63782051282051277"/>
    <n v="35"/>
    <n v="34"/>
    <n v="0.97142857142857142"/>
    <n v="11550"/>
    <n v="1791"/>
    <n v="5600"/>
    <n v="18941"/>
    <n v="95.180904522613062"/>
  </r>
  <r>
    <d v="2024-06-15T00:00:00"/>
    <x v="2"/>
    <n v="6"/>
    <x v="7"/>
    <x v="1"/>
    <n v="192"/>
    <n v="192"/>
    <n v="0"/>
    <n v="11"/>
    <n v="0.67132867132867136"/>
    <n v="35"/>
    <n v="34"/>
    <n v="0.97142857142857142"/>
    <n v="10587.5"/>
    <n v="1728"/>
    <n v="5600"/>
    <n v="17915.5"/>
    <n v="93.309895833333329"/>
  </r>
  <r>
    <d v="2024-06-22T00:00:00"/>
    <x v="2"/>
    <n v="6"/>
    <x v="7"/>
    <x v="1"/>
    <n v="185"/>
    <n v="185"/>
    <n v="0"/>
    <n v="11"/>
    <n v="0.64685314685314688"/>
    <n v="35"/>
    <n v="33"/>
    <n v="0.94285714285714284"/>
    <n v="10587.5"/>
    <n v="1665"/>
    <n v="5600"/>
    <n v="17852.5"/>
    <n v="96.5"/>
  </r>
  <r>
    <d v="2024-06-29T00:00:00"/>
    <x v="2"/>
    <n v="6"/>
    <x v="7"/>
    <x v="1"/>
    <n v="192"/>
    <n v="192"/>
    <n v="0"/>
    <n v="12"/>
    <n v="0.61538461538461542"/>
    <n v="35"/>
    <n v="31"/>
    <n v="0.88571428571428568"/>
    <n v="11550"/>
    <n v="1728"/>
    <n v="5600"/>
    <n v="18878"/>
    <n v="98.322916666666671"/>
  </r>
  <r>
    <d v="2024-07-06T00:00:00"/>
    <x v="2"/>
    <n v="7"/>
    <x v="7"/>
    <x v="1"/>
    <n v="199"/>
    <n v="199"/>
    <n v="0"/>
    <n v="11"/>
    <n v="0.69580419580419584"/>
    <n v="35"/>
    <n v="32"/>
    <n v="0.91428571428571426"/>
    <n v="10587.5"/>
    <n v="1791"/>
    <n v="5600"/>
    <n v="17978.5"/>
    <n v="90.344221105527637"/>
  </r>
  <r>
    <d v="2024-07-13T00:00:00"/>
    <x v="2"/>
    <n v="7"/>
    <x v="7"/>
    <x v="1"/>
    <n v="191"/>
    <n v="191"/>
    <n v="0"/>
    <n v="12"/>
    <n v="0.61217948717948723"/>
    <n v="35"/>
    <n v="30"/>
    <n v="0.8571428571428571"/>
    <n v="11550"/>
    <n v="1719"/>
    <n v="5600"/>
    <n v="18869"/>
    <n v="98.790575916230367"/>
  </r>
  <r>
    <d v="2024-07-20T00:00:00"/>
    <x v="2"/>
    <n v="7"/>
    <x v="7"/>
    <x v="1"/>
    <n v="182"/>
    <n v="182"/>
    <n v="0"/>
    <n v="12"/>
    <n v="0.58333333333333337"/>
    <n v="35"/>
    <n v="32"/>
    <n v="0.91428571428571426"/>
    <n v="11550"/>
    <n v="1638"/>
    <n v="5600"/>
    <n v="18788"/>
    <n v="103.2307692307692"/>
  </r>
  <r>
    <d v="2024-07-27T00:00:00"/>
    <x v="2"/>
    <n v="7"/>
    <x v="7"/>
    <x v="1"/>
    <n v="200"/>
    <n v="200"/>
    <n v="0"/>
    <n v="12"/>
    <n v="0.64102564102564108"/>
    <n v="35"/>
    <n v="33"/>
    <n v="0.94285714285714284"/>
    <n v="11550"/>
    <n v="1800"/>
    <n v="5600"/>
    <n v="18950"/>
    <n v="94.75"/>
  </r>
  <r>
    <d v="2024-08-03T00:00:00"/>
    <x v="2"/>
    <n v="8"/>
    <x v="7"/>
    <x v="1"/>
    <n v="207"/>
    <n v="207"/>
    <n v="0"/>
    <n v="12"/>
    <n v="0.66346153846153844"/>
    <n v="35"/>
    <n v="31"/>
    <n v="0.88571428571428568"/>
    <n v="11550"/>
    <n v="1863"/>
    <n v="5600"/>
    <n v="19013"/>
    <n v="91.850241545893724"/>
  </r>
  <r>
    <d v="2024-08-10T00:00:00"/>
    <x v="2"/>
    <n v="8"/>
    <x v="7"/>
    <x v="1"/>
    <n v="197"/>
    <n v="197"/>
    <n v="0"/>
    <n v="12"/>
    <n v="0.63141025641025639"/>
    <n v="35"/>
    <n v="34"/>
    <n v="0.97142857142857142"/>
    <n v="11550"/>
    <n v="1773"/>
    <n v="5600"/>
    <n v="18923"/>
    <n v="96.055837563451774"/>
  </r>
  <r>
    <d v="2024-08-17T00:00:00"/>
    <x v="2"/>
    <n v="8"/>
    <x v="7"/>
    <x v="1"/>
    <n v="193"/>
    <n v="193"/>
    <n v="0"/>
    <n v="12"/>
    <n v="0.61858974358974361"/>
    <n v="35"/>
    <n v="31"/>
    <n v="0.88571428571428568"/>
    <n v="11550"/>
    <n v="1737"/>
    <n v="5600"/>
    <n v="18887"/>
    <n v="97.860103626943001"/>
  </r>
  <r>
    <d v="2024-08-24T00:00:00"/>
    <x v="2"/>
    <n v="8"/>
    <x v="7"/>
    <x v="1"/>
    <n v="198"/>
    <n v="198"/>
    <n v="0"/>
    <n v="12"/>
    <n v="0.63461538461538458"/>
    <n v="35"/>
    <n v="33"/>
    <n v="0.94285714285714284"/>
    <n v="11550"/>
    <n v="1782"/>
    <n v="5600"/>
    <n v="18932"/>
    <n v="95.616161616161619"/>
  </r>
  <r>
    <d v="2024-08-31T00:00:00"/>
    <x v="2"/>
    <n v="8"/>
    <x v="7"/>
    <x v="1"/>
    <n v="185"/>
    <n v="185"/>
    <n v="0"/>
    <n v="12"/>
    <n v="0.59294871794871795"/>
    <n v="35"/>
    <n v="34"/>
    <n v="0.97142857142857142"/>
    <n v="11550"/>
    <n v="1665"/>
    <n v="5600"/>
    <n v="18815"/>
    <n v="101.70270270270269"/>
  </r>
  <r>
    <d v="2024-09-07T00:00:00"/>
    <x v="2"/>
    <n v="9"/>
    <x v="7"/>
    <x v="1"/>
    <n v="180"/>
    <n v="180"/>
    <n v="0"/>
    <n v="12"/>
    <n v="0.57692307692307687"/>
    <n v="35"/>
    <n v="34"/>
    <n v="0.97142857142857142"/>
    <n v="11550"/>
    <n v="1620"/>
    <n v="5600"/>
    <n v="18770"/>
    <n v="104.2777777777778"/>
  </r>
  <r>
    <d v="2024-09-14T00:00:00"/>
    <x v="2"/>
    <n v="9"/>
    <x v="7"/>
    <x v="1"/>
    <n v="174"/>
    <n v="174"/>
    <n v="0"/>
    <n v="11"/>
    <n v="0.60839160839160844"/>
    <n v="35"/>
    <n v="33"/>
    <n v="0.94285714285714284"/>
    <n v="10587.5"/>
    <n v="1566"/>
    <n v="5600"/>
    <n v="17753.5"/>
    <n v="102.0316091954023"/>
  </r>
  <r>
    <d v="2024-09-21T00:00:00"/>
    <x v="2"/>
    <n v="9"/>
    <x v="7"/>
    <x v="1"/>
    <n v="183"/>
    <n v="183"/>
    <n v="0"/>
    <n v="11"/>
    <n v="0.6398601398601399"/>
    <n v="35"/>
    <n v="34"/>
    <n v="0.97142857142857142"/>
    <n v="10587.5"/>
    <n v="1647"/>
    <n v="5600"/>
    <n v="17834.5"/>
    <n v="97.45628415300547"/>
  </r>
  <r>
    <d v="2024-09-28T00:00:00"/>
    <x v="2"/>
    <n v="9"/>
    <x v="7"/>
    <x v="1"/>
    <n v="186"/>
    <n v="186"/>
    <n v="0"/>
    <n v="12"/>
    <n v="0.59615384615384615"/>
    <n v="35"/>
    <n v="34"/>
    <n v="0.97142857142857142"/>
    <n v="11550"/>
    <n v="1674"/>
    <n v="5600"/>
    <n v="18824"/>
    <n v="101.2043010752688"/>
  </r>
  <r>
    <d v="2024-10-05T00:00:00"/>
    <x v="2"/>
    <n v="10"/>
    <x v="7"/>
    <x v="1"/>
    <n v="185"/>
    <n v="185"/>
    <n v="0"/>
    <n v="12"/>
    <n v="0.59294871794871795"/>
    <n v="35"/>
    <n v="33"/>
    <n v="0.94285714285714284"/>
    <n v="11550"/>
    <n v="1665"/>
    <n v="5600"/>
    <n v="18815"/>
    <n v="101.70270270270269"/>
  </r>
  <r>
    <d v="2024-10-12T00:00:00"/>
    <x v="2"/>
    <n v="10"/>
    <x v="7"/>
    <x v="1"/>
    <n v="181"/>
    <n v="181"/>
    <n v="0"/>
    <n v="11"/>
    <n v="0.63286713286713292"/>
    <n v="35"/>
    <n v="32"/>
    <n v="0.91428571428571426"/>
    <n v="10587.5"/>
    <n v="1629"/>
    <n v="5600"/>
    <n v="17816.5"/>
    <n v="98.43370165745857"/>
  </r>
  <r>
    <d v="2024-10-19T00:00:00"/>
    <x v="2"/>
    <n v="10"/>
    <x v="7"/>
    <x v="1"/>
    <n v="205"/>
    <n v="205"/>
    <n v="0"/>
    <n v="12"/>
    <n v="0.65705128205128205"/>
    <n v="35"/>
    <n v="33"/>
    <n v="0.94285714285714284"/>
    <n v="11550"/>
    <n v="1845"/>
    <n v="5600"/>
    <n v="18995"/>
    <n v="92.658536585365852"/>
  </r>
  <r>
    <d v="2024-10-26T00:00:00"/>
    <x v="2"/>
    <n v="10"/>
    <x v="7"/>
    <x v="1"/>
    <n v="202"/>
    <n v="202"/>
    <n v="0"/>
    <n v="12"/>
    <n v="0.64743589743589747"/>
    <n v="35"/>
    <n v="33"/>
    <n v="0.94285714285714284"/>
    <n v="11550"/>
    <n v="1818"/>
    <n v="5600"/>
    <n v="18968"/>
    <n v="93.900990099009903"/>
  </r>
  <r>
    <d v="2024-11-02T00:00:00"/>
    <x v="2"/>
    <n v="11"/>
    <x v="7"/>
    <x v="1"/>
    <n v="217"/>
    <n v="217"/>
    <n v="0"/>
    <n v="12"/>
    <n v="0.69551282051282048"/>
    <n v="35"/>
    <n v="34"/>
    <n v="0.97142857142857142"/>
    <n v="11550"/>
    <n v="1953"/>
    <n v="5600"/>
    <n v="19103"/>
    <n v="88.032258064516128"/>
  </r>
  <r>
    <d v="2024-11-09T00:00:00"/>
    <x v="2"/>
    <n v="11"/>
    <x v="7"/>
    <x v="1"/>
    <n v="230"/>
    <n v="230"/>
    <n v="0"/>
    <n v="12"/>
    <n v="0.73717948717948723"/>
    <n v="35"/>
    <n v="33"/>
    <n v="0.94285714285714284"/>
    <n v="11550"/>
    <n v="2070"/>
    <n v="5600"/>
    <n v="19220"/>
    <n v="83.565217391304344"/>
  </r>
  <r>
    <d v="2024-11-16T00:00:00"/>
    <x v="2"/>
    <n v="11"/>
    <x v="7"/>
    <x v="1"/>
    <n v="252"/>
    <n v="250"/>
    <n v="2"/>
    <n v="12"/>
    <n v="0.80128205128205132"/>
    <n v="35"/>
    <n v="34"/>
    <n v="0.97142857142857142"/>
    <n v="11550"/>
    <n v="2250"/>
    <n v="5600"/>
    <n v="19400"/>
    <n v="77.599999999999994"/>
  </r>
  <r>
    <d v="2024-11-23T00:00:00"/>
    <x v="2"/>
    <n v="11"/>
    <x v="7"/>
    <x v="1"/>
    <n v="242"/>
    <n v="243"/>
    <n v="1"/>
    <n v="12"/>
    <n v="0.77884615384615385"/>
    <n v="35"/>
    <n v="32"/>
    <n v="0.91428571428571426"/>
    <n v="11550"/>
    <n v="2187"/>
    <n v="5600"/>
    <n v="19337"/>
    <n v="79.576131687242793"/>
  </r>
  <r>
    <d v="2024-11-30T00:00:00"/>
    <x v="2"/>
    <n v="11"/>
    <x v="7"/>
    <x v="1"/>
    <n v="294"/>
    <n v="274"/>
    <n v="21"/>
    <n v="12"/>
    <n v="0.87820512820512819"/>
    <n v="35"/>
    <n v="33"/>
    <n v="0.94285714285714284"/>
    <n v="11550"/>
    <n v="2466"/>
    <n v="5600"/>
    <n v="19616"/>
    <n v="71.591240875912405"/>
  </r>
  <r>
    <d v="2024-12-07T00:00:00"/>
    <x v="2"/>
    <n v="12"/>
    <x v="7"/>
    <x v="1"/>
    <n v="304"/>
    <n v="278"/>
    <n v="47"/>
    <n v="12"/>
    <n v="0.89102564102564108"/>
    <n v="35"/>
    <n v="30"/>
    <n v="0.8571428571428571"/>
    <n v="11550"/>
    <n v="2502"/>
    <n v="5600"/>
    <n v="19652"/>
    <n v="70.690647482014384"/>
  </r>
  <r>
    <d v="2024-12-14T00:00:00"/>
    <x v="2"/>
    <n v="12"/>
    <x v="7"/>
    <x v="1"/>
    <n v="300"/>
    <n v="277"/>
    <n v="70"/>
    <n v="13"/>
    <n v="0.81952662721893488"/>
    <n v="35"/>
    <n v="33"/>
    <n v="0.94285714285714284"/>
    <n v="12512.5"/>
    <n v="2493"/>
    <n v="5600"/>
    <n v="20605.5"/>
    <n v="74.388086642599276"/>
  </r>
  <r>
    <d v="2024-12-21T00:00:00"/>
    <x v="2"/>
    <n v="12"/>
    <x v="7"/>
    <x v="1"/>
    <n v="265"/>
    <n v="272"/>
    <n v="63"/>
    <n v="12"/>
    <n v="0.87179487179487181"/>
    <n v="35"/>
    <n v="33"/>
    <n v="0.94285714285714284"/>
    <n v="11550"/>
    <n v="2448"/>
    <n v="5600"/>
    <n v="19598"/>
    <n v="72.05147058823529"/>
  </r>
  <r>
    <d v="2024-12-28T00:00:00"/>
    <x v="2"/>
    <n v="12"/>
    <x v="7"/>
    <x v="1"/>
    <n v="223"/>
    <n v="258"/>
    <n v="28"/>
    <n v="12"/>
    <n v="0.82692307692307687"/>
    <n v="35"/>
    <n v="33"/>
    <n v="0.94285714285714284"/>
    <n v="11550"/>
    <n v="2322"/>
    <n v="5600"/>
    <n v="19472"/>
    <n v="75.47286821705427"/>
  </r>
  <r>
    <d v="2025-01-04T00:00:00"/>
    <x v="3"/>
    <n v="1"/>
    <x v="7"/>
    <x v="1"/>
    <n v="192"/>
    <n v="212"/>
    <n v="8"/>
    <n v="12"/>
    <n v="0.67948717948717952"/>
    <n v="35"/>
    <n v="32"/>
    <n v="0.91428571428571426"/>
    <n v="11550"/>
    <n v="1908"/>
    <n v="5600"/>
    <n v="19058"/>
    <n v="89.896226415094333"/>
  </r>
  <r>
    <d v="2025-01-11T00:00:00"/>
    <x v="3"/>
    <n v="1"/>
    <x v="7"/>
    <x v="1"/>
    <n v="147"/>
    <n v="155"/>
    <n v="0"/>
    <n v="9"/>
    <n v="0.66239316239316237"/>
    <n v="35"/>
    <n v="30"/>
    <n v="0.8571428571428571"/>
    <n v="8662.5"/>
    <n v="1395"/>
    <n v="5600"/>
    <n v="15657.5"/>
    <n v="101.01612903225811"/>
  </r>
  <r>
    <d v="2025-01-18T00:00:00"/>
    <x v="3"/>
    <n v="1"/>
    <x v="7"/>
    <x v="1"/>
    <n v="153"/>
    <n v="153"/>
    <n v="0"/>
    <n v="10"/>
    <n v="0.58846153846153848"/>
    <n v="35"/>
    <n v="33"/>
    <n v="0.94285714285714284"/>
    <n v="9625"/>
    <n v="1377"/>
    <n v="5600"/>
    <n v="16602"/>
    <n v="108.5098039215686"/>
  </r>
  <r>
    <d v="2025-01-25T00:00:00"/>
    <x v="3"/>
    <n v="1"/>
    <x v="7"/>
    <x v="1"/>
    <n v="163"/>
    <n v="163"/>
    <n v="0"/>
    <n v="9"/>
    <n v="0.69658119658119655"/>
    <n v="35"/>
    <n v="29"/>
    <n v="0.82857142857142863"/>
    <n v="8662.5"/>
    <n v="1467"/>
    <n v="5600"/>
    <n v="15729.5"/>
    <n v="96.5"/>
  </r>
  <r>
    <d v="2025-02-01T00:00:00"/>
    <x v="3"/>
    <n v="2"/>
    <x v="7"/>
    <x v="1"/>
    <n v="166"/>
    <n v="166"/>
    <n v="0"/>
    <n v="10"/>
    <n v="0.63846153846153841"/>
    <n v="35"/>
    <n v="32"/>
    <n v="0.91428571428571426"/>
    <n v="9625"/>
    <n v="1494"/>
    <n v="5600"/>
    <n v="16719"/>
    <n v="100.7168674698795"/>
  </r>
  <r>
    <d v="2025-02-08T00:00:00"/>
    <x v="3"/>
    <n v="2"/>
    <x v="7"/>
    <x v="1"/>
    <n v="173"/>
    <n v="173"/>
    <n v="0"/>
    <n v="11"/>
    <n v="0.6048951048951049"/>
    <n v="35"/>
    <n v="30"/>
    <n v="0.8571428571428571"/>
    <n v="10587.5"/>
    <n v="1557"/>
    <n v="5600"/>
    <n v="17744.5"/>
    <n v="102.56936416184971"/>
  </r>
  <r>
    <d v="2025-02-15T00:00:00"/>
    <x v="3"/>
    <n v="2"/>
    <x v="7"/>
    <x v="1"/>
    <n v="181"/>
    <n v="181"/>
    <n v="0"/>
    <n v="12"/>
    <n v="0.58012820512820518"/>
    <n v="35"/>
    <n v="32"/>
    <n v="0.91428571428571426"/>
    <n v="11550"/>
    <n v="1629"/>
    <n v="5600"/>
    <n v="18779"/>
    <n v="103.75138121546961"/>
  </r>
  <r>
    <d v="2025-02-22T00:00:00"/>
    <x v="3"/>
    <n v="2"/>
    <x v="7"/>
    <x v="1"/>
    <n v="188"/>
    <n v="188"/>
    <n v="0"/>
    <n v="12"/>
    <n v="0.60256410256410253"/>
    <n v="35"/>
    <n v="32"/>
    <n v="0.91428571428571426"/>
    <n v="11550"/>
    <n v="1692"/>
    <n v="5600"/>
    <n v="18842"/>
    <n v="100.2234042553192"/>
  </r>
  <r>
    <d v="2025-03-01T00:00:00"/>
    <x v="3"/>
    <n v="3"/>
    <x v="7"/>
    <x v="1"/>
    <n v="193"/>
    <n v="193"/>
    <n v="0"/>
    <n v="12"/>
    <n v="0.61858974358974361"/>
    <n v="35"/>
    <n v="33"/>
    <n v="0.94285714285714284"/>
    <n v="11550"/>
    <n v="1737"/>
    <n v="5600"/>
    <n v="18887"/>
    <n v="97.860103626943001"/>
  </r>
  <r>
    <d v="2025-03-08T00:00:00"/>
    <x v="3"/>
    <n v="3"/>
    <x v="7"/>
    <x v="1"/>
    <n v="196"/>
    <n v="196"/>
    <n v="0"/>
    <n v="12"/>
    <n v="0.62820512820512819"/>
    <n v="35"/>
    <n v="35"/>
    <n v="1"/>
    <n v="11550"/>
    <n v="1764"/>
    <n v="5600"/>
    <n v="18914"/>
    <n v="96.5"/>
  </r>
  <r>
    <d v="2025-03-15T00:00:00"/>
    <x v="3"/>
    <n v="3"/>
    <x v="7"/>
    <x v="1"/>
    <n v="189"/>
    <n v="189"/>
    <n v="0"/>
    <n v="12"/>
    <n v="0.60576923076923073"/>
    <n v="35"/>
    <n v="31"/>
    <n v="0.88571428571428568"/>
    <n v="11550"/>
    <n v="1701"/>
    <n v="5600"/>
    <n v="18851"/>
    <n v="99.740740740740748"/>
  </r>
  <r>
    <d v="2025-03-22T00:00:00"/>
    <x v="3"/>
    <n v="3"/>
    <x v="7"/>
    <x v="1"/>
    <n v="190"/>
    <n v="190"/>
    <n v="0"/>
    <n v="12"/>
    <n v="0.60897435897435892"/>
    <n v="35"/>
    <n v="32"/>
    <n v="0.91428571428571426"/>
    <n v="11550"/>
    <n v="1710"/>
    <n v="5600"/>
    <n v="18860"/>
    <n v="99.263157894736835"/>
  </r>
  <r>
    <d v="2025-03-29T00:00:00"/>
    <x v="3"/>
    <n v="3"/>
    <x v="7"/>
    <x v="1"/>
    <n v="195"/>
    <n v="195"/>
    <n v="0"/>
    <n v="12"/>
    <n v="0.625"/>
    <n v="35"/>
    <n v="29"/>
    <n v="0.82857142857142863"/>
    <n v="11550"/>
    <n v="1755"/>
    <n v="5600"/>
    <n v="18905"/>
    <n v="96.948717948717942"/>
  </r>
  <r>
    <d v="2025-04-05T00:00:00"/>
    <x v="3"/>
    <n v="4"/>
    <x v="7"/>
    <x v="1"/>
    <n v="188"/>
    <n v="188"/>
    <n v="0"/>
    <n v="12"/>
    <n v="0.60256410256410253"/>
    <n v="35"/>
    <n v="34"/>
    <n v="0.97142857142857142"/>
    <n v="11550"/>
    <n v="1692"/>
    <n v="5600"/>
    <n v="18842"/>
    <n v="100.2234042553192"/>
  </r>
  <r>
    <d v="2025-04-12T00:00:00"/>
    <x v="3"/>
    <n v="4"/>
    <x v="7"/>
    <x v="1"/>
    <n v="196"/>
    <n v="196"/>
    <n v="0"/>
    <n v="12"/>
    <n v="0.62820512820512819"/>
    <n v="35"/>
    <n v="30"/>
    <n v="0.8571428571428571"/>
    <n v="11550"/>
    <n v="1764"/>
    <n v="5600"/>
    <n v="18914"/>
    <n v="96.5"/>
  </r>
  <r>
    <d v="2025-04-19T00:00:00"/>
    <x v="3"/>
    <n v="4"/>
    <x v="7"/>
    <x v="1"/>
    <n v="208"/>
    <n v="208"/>
    <n v="0"/>
    <n v="11"/>
    <n v="0.72727272727272729"/>
    <n v="35"/>
    <n v="33"/>
    <n v="0.94285714285714284"/>
    <n v="10587.5"/>
    <n v="1872"/>
    <n v="5600"/>
    <n v="18059.5"/>
    <n v="86.824519230769226"/>
  </r>
  <r>
    <d v="2025-04-26T00:00:00"/>
    <x v="3"/>
    <n v="4"/>
    <x v="7"/>
    <x v="1"/>
    <n v="208"/>
    <n v="208"/>
    <n v="0"/>
    <n v="12"/>
    <n v="0.66666666666666663"/>
    <n v="35"/>
    <n v="31"/>
    <n v="0.88571428571428568"/>
    <n v="11550"/>
    <n v="1872"/>
    <n v="5600"/>
    <n v="19022"/>
    <n v="91.45192307692308"/>
  </r>
  <r>
    <d v="2025-05-03T00:00:00"/>
    <x v="3"/>
    <n v="5"/>
    <x v="7"/>
    <x v="1"/>
    <n v="221"/>
    <n v="221"/>
    <n v="0"/>
    <n v="12"/>
    <n v="0.70833333333333337"/>
    <n v="35"/>
    <n v="35"/>
    <n v="1"/>
    <n v="11550"/>
    <n v="1989"/>
    <n v="5600"/>
    <n v="19139"/>
    <n v="86.601809954751133"/>
  </r>
  <r>
    <d v="2025-05-10T00:00:00"/>
    <x v="3"/>
    <n v="5"/>
    <x v="7"/>
    <x v="1"/>
    <n v="220"/>
    <n v="220"/>
    <n v="0"/>
    <n v="12"/>
    <n v="0.70512820512820518"/>
    <n v="35"/>
    <n v="33"/>
    <n v="0.94285714285714284"/>
    <n v="11550"/>
    <n v="1980"/>
    <n v="5600"/>
    <n v="19130"/>
    <n v="86.954545454545453"/>
  </r>
  <r>
    <d v="2025-05-17T00:00:00"/>
    <x v="3"/>
    <n v="5"/>
    <x v="7"/>
    <x v="1"/>
    <n v="217"/>
    <n v="217"/>
    <n v="0"/>
    <n v="12"/>
    <n v="0.69551282051282048"/>
    <n v="35"/>
    <n v="30"/>
    <n v="0.8571428571428571"/>
    <n v="11550"/>
    <n v="1953"/>
    <n v="5600"/>
    <n v="19103"/>
    <n v="88.032258064516128"/>
  </r>
  <r>
    <d v="2025-05-24T00:00:00"/>
    <x v="3"/>
    <n v="5"/>
    <x v="7"/>
    <x v="1"/>
    <n v="222"/>
    <n v="222"/>
    <n v="0"/>
    <n v="12"/>
    <n v="0.71153846153846156"/>
    <n v="35"/>
    <n v="31"/>
    <n v="0.88571428571428568"/>
    <n v="11550"/>
    <n v="1998"/>
    <n v="5600"/>
    <n v="19148"/>
    <n v="86.252252252252248"/>
  </r>
  <r>
    <d v="2025-05-31T00:00:00"/>
    <x v="3"/>
    <n v="5"/>
    <x v="7"/>
    <x v="1"/>
    <n v="217"/>
    <n v="217"/>
    <n v="0"/>
    <n v="12"/>
    <n v="0.69551282051282048"/>
    <n v="35"/>
    <n v="29"/>
    <n v="0.82857142857142863"/>
    <n v="11550"/>
    <n v="1953"/>
    <n v="5600"/>
    <n v="19103"/>
    <n v="88.032258064516128"/>
  </r>
  <r>
    <d v="2025-06-07T00:00:00"/>
    <x v="3"/>
    <n v="6"/>
    <x v="7"/>
    <x v="1"/>
    <n v="212"/>
    <n v="212"/>
    <n v="0"/>
    <n v="12"/>
    <n v="0.67948717948717952"/>
    <n v="35"/>
    <n v="34"/>
    <n v="0.97142857142857142"/>
    <n v="11550"/>
    <n v="1908"/>
    <n v="5600"/>
    <n v="19058"/>
    <n v="89.896226415094333"/>
  </r>
  <r>
    <d v="2025-06-14T00:00:00"/>
    <x v="3"/>
    <n v="6"/>
    <x v="7"/>
    <x v="1"/>
    <n v="195"/>
    <n v="195"/>
    <n v="0"/>
    <n v="12"/>
    <n v="0.625"/>
    <n v="35"/>
    <n v="31"/>
    <n v="0.88571428571428568"/>
    <n v="11550"/>
    <n v="1755"/>
    <n v="5600"/>
    <n v="18905"/>
    <n v="96.948717948717942"/>
  </r>
  <r>
    <d v="2025-06-21T00:00:00"/>
    <x v="3"/>
    <n v="6"/>
    <x v="7"/>
    <x v="1"/>
    <n v="205"/>
    <n v="205"/>
    <n v="0"/>
    <n v="12"/>
    <n v="0.65705128205128205"/>
    <n v="35"/>
    <n v="33"/>
    <n v="0.94285714285714284"/>
    <n v="11550"/>
    <n v="1845"/>
    <n v="5600"/>
    <n v="18995"/>
    <n v="92.658536585365852"/>
  </r>
  <r>
    <d v="2025-06-28T00:00:00"/>
    <x v="3"/>
    <n v="6"/>
    <x v="7"/>
    <x v="1"/>
    <n v="209"/>
    <n v="209"/>
    <n v="0"/>
    <n v="12"/>
    <n v="0.66987179487179482"/>
    <n v="35"/>
    <n v="33"/>
    <n v="0.94285714285714284"/>
    <n v="11550"/>
    <n v="1881"/>
    <n v="5600"/>
    <n v="19031"/>
    <n v="91.057416267942585"/>
  </r>
  <r>
    <d v="2025-07-05T00:00:00"/>
    <x v="3"/>
    <n v="7"/>
    <x v="7"/>
    <x v="1"/>
    <n v="203"/>
    <n v="203"/>
    <n v="0"/>
    <n v="12"/>
    <n v="0.65064102564102566"/>
    <n v="35"/>
    <n v="34"/>
    <n v="0.97142857142857142"/>
    <n v="11550"/>
    <n v="1827"/>
    <n v="5600"/>
    <n v="18977"/>
    <n v="93.482758620689651"/>
  </r>
  <r>
    <d v="2025-07-12T00:00:00"/>
    <x v="3"/>
    <n v="7"/>
    <x v="7"/>
    <x v="1"/>
    <n v="206"/>
    <n v="206"/>
    <n v="0"/>
    <n v="12"/>
    <n v="0.66025641025641024"/>
    <n v="35"/>
    <n v="31"/>
    <n v="0.88571428571428568"/>
    <n v="11550"/>
    <n v="1854"/>
    <n v="5600"/>
    <n v="19004"/>
    <n v="92.252427184466015"/>
  </r>
  <r>
    <d v="2025-07-19T00:00:00"/>
    <x v="3"/>
    <n v="7"/>
    <x v="7"/>
    <x v="1"/>
    <n v="205"/>
    <n v="205"/>
    <n v="0"/>
    <n v="12"/>
    <n v="0.65705128205128205"/>
    <n v="35"/>
    <n v="29"/>
    <n v="0.82857142857142863"/>
    <n v="11550"/>
    <n v="1845"/>
    <n v="5600"/>
    <n v="18995"/>
    <n v="92.658536585365852"/>
  </r>
  <r>
    <d v="2025-07-26T00:00:00"/>
    <x v="3"/>
    <n v="7"/>
    <x v="7"/>
    <x v="1"/>
    <n v="208"/>
    <n v="208"/>
    <n v="0"/>
    <n v="12"/>
    <n v="0.66666666666666663"/>
    <n v="35"/>
    <n v="32"/>
    <n v="0.91428571428571426"/>
    <n v="11550"/>
    <n v="1872"/>
    <n v="5600"/>
    <n v="19022"/>
    <n v="91.45192307692308"/>
  </r>
  <r>
    <d v="2025-08-02T00:00:00"/>
    <x v="3"/>
    <n v="8"/>
    <x v="7"/>
    <x v="1"/>
    <n v="215"/>
    <n v="215"/>
    <n v="0"/>
    <n v="12"/>
    <n v="0.6891025641025641"/>
    <n v="35"/>
    <n v="35"/>
    <n v="1"/>
    <n v="11550"/>
    <n v="1935"/>
    <n v="5600"/>
    <n v="19085"/>
    <n v="88.767441860465112"/>
  </r>
  <r>
    <d v="2025-08-09T00:00:00"/>
    <x v="3"/>
    <n v="8"/>
    <x v="7"/>
    <x v="1"/>
    <n v="217"/>
    <n v="216"/>
    <n v="1"/>
    <n v="12"/>
    <n v="0.69230769230769229"/>
    <n v="35"/>
    <n v="31"/>
    <n v="0.88571428571428568"/>
    <n v="11550"/>
    <n v="1944"/>
    <n v="5600"/>
    <n v="19094"/>
    <n v="88.398148148148152"/>
  </r>
  <r>
    <d v="2025-08-16T00:00:00"/>
    <x v="3"/>
    <n v="8"/>
    <x v="7"/>
    <x v="1"/>
    <n v="206"/>
    <n v="207"/>
    <n v="0"/>
    <n v="12"/>
    <n v="0.66346153846153844"/>
    <n v="35"/>
    <n v="34"/>
    <n v="0.97142857142857142"/>
    <n v="11550"/>
    <n v="1863"/>
    <n v="5600"/>
    <n v="19013"/>
    <n v="91.850241545893724"/>
  </r>
  <r>
    <d v="2025-08-23T00:00:00"/>
    <x v="3"/>
    <n v="8"/>
    <x v="7"/>
    <x v="1"/>
    <n v="212"/>
    <n v="212"/>
    <n v="0"/>
    <n v="12"/>
    <n v="0.67948717948717952"/>
    <n v="35"/>
    <n v="29"/>
    <n v="0.82857142857142863"/>
    <n v="11550"/>
    <n v="1908"/>
    <n v="5600"/>
    <n v="19058"/>
    <n v="89.896226415094333"/>
  </r>
  <r>
    <d v="2025-08-30T00:00:00"/>
    <x v="3"/>
    <n v="8"/>
    <x v="7"/>
    <x v="1"/>
    <n v="202"/>
    <n v="202"/>
    <n v="0"/>
    <n v="12"/>
    <n v="0.64743589743589747"/>
    <n v="35"/>
    <n v="33"/>
    <n v="0.94285714285714284"/>
    <n v="11550"/>
    <n v="1818"/>
    <n v="5600"/>
    <n v="18968"/>
    <n v="93.900990099009903"/>
  </r>
  <r>
    <d v="2025-09-06T00:00:00"/>
    <x v="3"/>
    <n v="9"/>
    <x v="7"/>
    <x v="1"/>
    <n v="193"/>
    <n v="193"/>
    <n v="0"/>
    <n v="12"/>
    <n v="0.61858974358974361"/>
    <n v="35"/>
    <n v="34"/>
    <n v="0.97142857142857142"/>
    <n v="11550"/>
    <n v="1737"/>
    <n v="5600"/>
    <n v="18887"/>
    <n v="97.860103626943001"/>
  </r>
  <r>
    <d v="2025-09-13T00:00:00"/>
    <x v="3"/>
    <n v="9"/>
    <x v="7"/>
    <x v="1"/>
    <n v="187"/>
    <n v="187"/>
    <n v="0"/>
    <n v="12"/>
    <n v="0.59935897435897434"/>
    <n v="35"/>
    <n v="34"/>
    <n v="0.97142857142857142"/>
    <n v="11550"/>
    <n v="1683"/>
    <n v="5600"/>
    <n v="18833"/>
    <n v="100.7112299465241"/>
  </r>
  <r>
    <d v="2025-09-20T00:00:00"/>
    <x v="3"/>
    <n v="9"/>
    <x v="7"/>
    <x v="1"/>
    <n v="187"/>
    <n v="187"/>
    <n v="0"/>
    <n v="12"/>
    <n v="0.59935897435897434"/>
    <n v="35"/>
    <n v="32"/>
    <n v="0.91428571428571426"/>
    <n v="11550"/>
    <n v="1683"/>
    <n v="5600"/>
    <n v="18833"/>
    <n v="100.7112299465241"/>
  </r>
  <r>
    <d v="2025-09-27T00:00:00"/>
    <x v="3"/>
    <n v="9"/>
    <x v="7"/>
    <x v="1"/>
    <n v="196"/>
    <n v="196"/>
    <n v="0"/>
    <n v="12"/>
    <n v="0.62820512820512819"/>
    <n v="35"/>
    <n v="30"/>
    <n v="0.8571428571428571"/>
    <n v="11550"/>
    <n v="1764"/>
    <n v="5600"/>
    <n v="18914"/>
    <n v="96.5"/>
  </r>
  <r>
    <d v="2025-10-04T00:00:00"/>
    <x v="3"/>
    <n v="10"/>
    <x v="7"/>
    <x v="1"/>
    <n v="200"/>
    <n v="200"/>
    <n v="0"/>
    <n v="12"/>
    <n v="0.64102564102564108"/>
    <n v="35"/>
    <n v="31"/>
    <n v="0.88571428571428568"/>
    <n v="11550"/>
    <n v="1800"/>
    <n v="5600"/>
    <n v="18950"/>
    <n v="94.75"/>
  </r>
  <r>
    <d v="2025-10-11T00:00:00"/>
    <x v="3"/>
    <n v="10"/>
    <x v="7"/>
    <x v="1"/>
    <n v="199"/>
    <n v="199"/>
    <n v="0"/>
    <n v="12"/>
    <n v="0.63782051282051277"/>
    <n v="35"/>
    <n v="34"/>
    <n v="0.97142857142857142"/>
    <n v="11550"/>
    <n v="1791"/>
    <n v="5600"/>
    <n v="18941"/>
    <n v="95.180904522613062"/>
  </r>
  <r>
    <d v="2025-10-18T00:00:00"/>
    <x v="3"/>
    <n v="10"/>
    <x v="7"/>
    <x v="1"/>
    <n v="204"/>
    <n v="204"/>
    <n v="0"/>
    <n v="12"/>
    <n v="0.65384615384615385"/>
    <n v="35"/>
    <n v="30"/>
    <n v="0.8571428571428571"/>
    <n v="11550"/>
    <n v="1836"/>
    <n v="5600"/>
    <n v="18986"/>
    <n v="93.068627450980387"/>
  </r>
  <r>
    <d v="2025-10-25T00:00:00"/>
    <x v="3"/>
    <n v="10"/>
    <x v="7"/>
    <x v="1"/>
    <n v="218"/>
    <n v="218"/>
    <n v="0"/>
    <n v="12"/>
    <n v="0.69871794871794868"/>
    <n v="35"/>
    <n v="33"/>
    <n v="0.94285714285714284"/>
    <n v="11550"/>
    <n v="1962"/>
    <n v="5600"/>
    <n v="19112"/>
    <n v="87.669724770642205"/>
  </r>
  <r>
    <d v="2025-11-01T00:00:00"/>
    <x v="3"/>
    <n v="11"/>
    <x v="7"/>
    <x v="1"/>
    <n v="226"/>
    <n v="226"/>
    <n v="0"/>
    <n v="12"/>
    <n v="0.72435897435897434"/>
    <n v="35"/>
    <n v="32"/>
    <n v="0.91428571428571426"/>
    <n v="11550"/>
    <n v="2034"/>
    <n v="5600"/>
    <n v="19184"/>
    <n v="84.884955752212392"/>
  </r>
  <r>
    <d v="2025-11-08T00:00:00"/>
    <x v="3"/>
    <n v="11"/>
    <x v="7"/>
    <x v="1"/>
    <n v="237"/>
    <n v="237"/>
    <n v="0"/>
    <n v="12"/>
    <n v="0.75961538461538458"/>
    <n v="35"/>
    <n v="30"/>
    <n v="0.8571428571428571"/>
    <n v="11550"/>
    <n v="2133"/>
    <n v="5600"/>
    <n v="19283"/>
    <n v="81.362869198312239"/>
  </r>
  <r>
    <d v="2025-11-15T00:00:00"/>
    <x v="3"/>
    <n v="11"/>
    <x v="7"/>
    <x v="1"/>
    <n v="274"/>
    <n v="262"/>
    <n v="12"/>
    <n v="12"/>
    <n v="0.83974358974358976"/>
    <n v="35"/>
    <n v="35"/>
    <n v="1"/>
    <n v="11550"/>
    <n v="2358"/>
    <n v="5600"/>
    <n v="19508"/>
    <n v="74.458015267175568"/>
  </r>
  <r>
    <d v="2025-11-22T00:00:00"/>
    <x v="3"/>
    <n v="11"/>
    <x v="7"/>
    <x v="1"/>
    <n v="271"/>
    <n v="265"/>
    <n v="18"/>
    <n v="12"/>
    <n v="0.84935897435897434"/>
    <n v="35"/>
    <n v="32"/>
    <n v="0.91428571428571426"/>
    <n v="11550"/>
    <n v="2385"/>
    <n v="5600"/>
    <n v="19535"/>
    <n v="73.716981132075475"/>
  </r>
  <r>
    <d v="2025-11-29T00:00:00"/>
    <x v="3"/>
    <n v="11"/>
    <x v="7"/>
    <x v="1"/>
    <n v="301"/>
    <n v="278"/>
    <n v="41"/>
    <n v="12"/>
    <n v="0.89102564102564108"/>
    <n v="35"/>
    <n v="32"/>
    <n v="0.91428571428571426"/>
    <n v="11550"/>
    <n v="2502"/>
    <n v="5600"/>
    <n v="19652"/>
    <n v="70.690647482014384"/>
  </r>
  <r>
    <d v="2025-12-06T00:00:00"/>
    <x v="3"/>
    <n v="12"/>
    <x v="7"/>
    <x v="1"/>
    <n v="296"/>
    <n v="278"/>
    <n v="59"/>
    <n v="12"/>
    <n v="0.89102564102564108"/>
    <n v="35"/>
    <n v="30"/>
    <n v="0.8571428571428571"/>
    <n v="11550"/>
    <n v="2502"/>
    <n v="5600"/>
    <n v="19652"/>
    <n v="70.690647482014384"/>
  </r>
  <r>
    <d v="2025-12-13T00:00:00"/>
    <x v="3"/>
    <n v="12"/>
    <x v="7"/>
    <x v="1"/>
    <n v="317"/>
    <n v="277"/>
    <n v="99"/>
    <n v="12"/>
    <n v="0.88782051282051277"/>
    <n v="35"/>
    <n v="33"/>
    <n v="0.94285714285714284"/>
    <n v="11550"/>
    <n v="2493"/>
    <n v="5600"/>
    <n v="19643"/>
    <n v="70.91335740072202"/>
  </r>
  <r>
    <d v="2025-12-20T00:00:00"/>
    <x v="3"/>
    <n v="12"/>
    <x v="7"/>
    <x v="1"/>
    <n v="282"/>
    <n v="278"/>
    <n v="103"/>
    <n v="13"/>
    <n v="0.8224852071005917"/>
    <n v="35"/>
    <n v="34"/>
    <n v="0.97142857142857142"/>
    <n v="12512.5"/>
    <n v="2502"/>
    <n v="5600"/>
    <n v="20614.5"/>
    <n v="74.152877697841731"/>
  </r>
  <r>
    <d v="2025-12-27T00:00:00"/>
    <x v="3"/>
    <n v="12"/>
    <x v="7"/>
    <x v="1"/>
    <n v="240"/>
    <n v="270"/>
    <n v="73"/>
    <n v="12"/>
    <n v="0.86538461538461542"/>
    <n v="35"/>
    <n v="32"/>
    <n v="0.91428571428571426"/>
    <n v="11550"/>
    <n v="2430"/>
    <n v="5600"/>
    <n v="19580"/>
    <n v="72.518518518518519"/>
  </r>
  <r>
    <d v="2026-01-03T00:00:00"/>
    <x v="4"/>
    <n v="1"/>
    <x v="7"/>
    <x v="1"/>
    <n v="204"/>
    <n v="249"/>
    <n v="28"/>
    <n v="12"/>
    <n v="0.79807692307692313"/>
    <n v="35"/>
    <n v="29"/>
    <n v="0.82857142857142863"/>
    <n v="11550"/>
    <n v="2241"/>
    <n v="5600"/>
    <n v="19391"/>
    <n v="77.875502008032129"/>
  </r>
  <r>
    <d v="2026-01-10T00:00:00"/>
    <x v="4"/>
    <n v="1"/>
    <x v="7"/>
    <x v="1"/>
    <n v="174"/>
    <n v="198"/>
    <n v="4"/>
    <n v="12"/>
    <n v="0.63461538461538458"/>
    <n v="35"/>
    <n v="31"/>
    <n v="0.88571428571428568"/>
    <n v="11550"/>
    <n v="1782"/>
    <n v="5600"/>
    <n v="18932"/>
    <n v="95.616161616161619"/>
  </r>
  <r>
    <d v="2026-01-17T00:00:00"/>
    <x v="4"/>
    <n v="1"/>
    <x v="7"/>
    <x v="1"/>
    <n v="170"/>
    <n v="174"/>
    <n v="0"/>
    <n v="11"/>
    <n v="0.60839160839160844"/>
    <n v="35"/>
    <n v="31"/>
    <n v="0.88571428571428568"/>
    <n v="10587.5"/>
    <n v="1566"/>
    <n v="5600"/>
    <n v="17753.5"/>
    <n v="102.0316091954023"/>
  </r>
  <r>
    <d v="2026-01-24T00:00:00"/>
    <x v="4"/>
    <n v="1"/>
    <x v="7"/>
    <x v="1"/>
    <n v="176"/>
    <n v="176"/>
    <n v="0"/>
    <n v="11"/>
    <n v="0.61538461538461542"/>
    <n v="35"/>
    <n v="29"/>
    <n v="0.82857142857142863"/>
    <n v="10587.5"/>
    <n v="1584"/>
    <n v="5600"/>
    <n v="17771.5"/>
    <n v="100.9744318181818"/>
  </r>
  <r>
    <d v="2026-01-31T00:00:00"/>
    <x v="4"/>
    <n v="1"/>
    <x v="7"/>
    <x v="1"/>
    <n v="180"/>
    <n v="180"/>
    <n v="0"/>
    <n v="10"/>
    <n v="0.69230769230769229"/>
    <n v="35"/>
    <n v="28"/>
    <n v="0.8"/>
    <n v="9625"/>
    <n v="1620"/>
    <n v="5600"/>
    <n v="16845"/>
    <n v="93.583333333333329"/>
  </r>
  <r>
    <d v="2026-02-07T00:00:00"/>
    <x v="4"/>
    <n v="2"/>
    <x v="7"/>
    <x v="1"/>
    <n v="192"/>
    <n v="192"/>
    <n v="0"/>
    <n v="12"/>
    <n v="0.61538461538461542"/>
    <n v="35"/>
    <n v="31"/>
    <n v="0.88571428571428568"/>
    <n v="11550"/>
    <n v="1728"/>
    <n v="5600"/>
    <n v="18878"/>
    <n v="98.322916666666671"/>
  </r>
  <r>
    <d v="2026-02-14T00:00:00"/>
    <x v="4"/>
    <n v="2"/>
    <x v="7"/>
    <x v="1"/>
    <n v="204"/>
    <n v="204"/>
    <n v="0"/>
    <n v="12"/>
    <n v="0.65384615384615385"/>
    <n v="35"/>
    <n v="32"/>
    <n v="0.91428571428571426"/>
    <n v="11550"/>
    <n v="1836"/>
    <n v="5600"/>
    <n v="18986"/>
    <n v="93.068627450980387"/>
  </r>
  <r>
    <d v="2026-02-21T00:00:00"/>
    <x v="4"/>
    <n v="2"/>
    <x v="7"/>
    <x v="1"/>
    <n v="199"/>
    <n v="199"/>
    <n v="0"/>
    <n v="12"/>
    <n v="0.63782051282051277"/>
    <n v="35"/>
    <n v="34"/>
    <n v="0.97142857142857142"/>
    <n v="11550"/>
    <n v="1791"/>
    <n v="5600"/>
    <n v="18941"/>
    <n v="95.180904522613062"/>
  </r>
  <r>
    <d v="2026-02-28T00:00:00"/>
    <x v="4"/>
    <n v="2"/>
    <x v="7"/>
    <x v="1"/>
    <n v="199"/>
    <n v="199"/>
    <n v="0"/>
    <n v="12"/>
    <n v="0.63782051282051277"/>
    <n v="35"/>
    <n v="29"/>
    <n v="0.82857142857142863"/>
    <n v="11550"/>
    <n v="1791"/>
    <n v="5600"/>
    <n v="18941"/>
    <n v="95.180904522613062"/>
  </r>
  <r>
    <d v="2026-03-07T00:00:00"/>
    <x v="4"/>
    <n v="3"/>
    <x v="7"/>
    <x v="1"/>
    <n v="203"/>
    <n v="203"/>
    <n v="0"/>
    <n v="12"/>
    <n v="0.65064102564102566"/>
    <n v="35"/>
    <n v="33"/>
    <n v="0.94285714285714284"/>
    <n v="11550"/>
    <n v="1827"/>
    <n v="5600"/>
    <n v="18977"/>
    <n v="93.482758620689651"/>
  </r>
  <r>
    <d v="2026-03-14T00:00:00"/>
    <x v="4"/>
    <n v="3"/>
    <x v="7"/>
    <x v="1"/>
    <n v="201"/>
    <n v="201"/>
    <n v="0"/>
    <n v="12"/>
    <n v="0.64423076923076927"/>
    <n v="35"/>
    <n v="34"/>
    <n v="0.97142857142857142"/>
    <n v="11550"/>
    <n v="1809"/>
    <n v="5600"/>
    <n v="18959"/>
    <n v="94.323383084577117"/>
  </r>
  <r>
    <d v="2026-03-21T00:00:00"/>
    <x v="4"/>
    <n v="3"/>
    <x v="7"/>
    <x v="1"/>
    <n v="213"/>
    <n v="213"/>
    <n v="0"/>
    <n v="12"/>
    <n v="0.68269230769230771"/>
    <n v="35"/>
    <n v="35"/>
    <n v="1"/>
    <n v="11550"/>
    <n v="1917"/>
    <n v="5600"/>
    <n v="19067"/>
    <n v="89.516431924882625"/>
  </r>
  <r>
    <d v="2026-03-28T00:00:00"/>
    <x v="4"/>
    <n v="3"/>
    <x v="7"/>
    <x v="1"/>
    <n v="204"/>
    <n v="204"/>
    <n v="0"/>
    <n v="12"/>
    <n v="0.65384615384615385"/>
    <n v="35"/>
    <n v="35"/>
    <n v="1"/>
    <n v="11550"/>
    <n v="1836"/>
    <n v="5600"/>
    <n v="18986"/>
    <n v="93.068627450980387"/>
  </r>
  <r>
    <d v="2026-04-04T00:00:00"/>
    <x v="4"/>
    <n v="4"/>
    <x v="7"/>
    <x v="1"/>
    <n v="211"/>
    <n v="211"/>
    <n v="0"/>
    <n v="12"/>
    <n v="0.67628205128205132"/>
    <n v="35"/>
    <n v="29"/>
    <n v="0.82857142857142863"/>
    <n v="11550"/>
    <n v="1899"/>
    <n v="5600"/>
    <n v="19049"/>
    <n v="90.279620853080573"/>
  </r>
  <r>
    <d v="2026-04-11T00:00:00"/>
    <x v="4"/>
    <n v="4"/>
    <x v="7"/>
    <x v="1"/>
    <n v="211"/>
    <n v="211"/>
    <n v="0"/>
    <n v="12"/>
    <n v="0.67628205128205132"/>
    <n v="35"/>
    <n v="31"/>
    <n v="0.88571428571428568"/>
    <n v="11550"/>
    <n v="1899"/>
    <n v="5600"/>
    <n v="19049"/>
    <n v="90.279620853080573"/>
  </r>
  <r>
    <d v="2026-04-18T00:00:00"/>
    <x v="4"/>
    <n v="4"/>
    <x v="7"/>
    <x v="1"/>
    <n v="206"/>
    <n v="206"/>
    <n v="0"/>
    <n v="12"/>
    <n v="0.66025641025641024"/>
    <n v="35"/>
    <n v="32"/>
    <n v="0.91428571428571426"/>
    <n v="11550"/>
    <n v="1854"/>
    <n v="5600"/>
    <n v="19004"/>
    <n v="92.252427184466015"/>
  </r>
  <r>
    <d v="2026-04-25T00:00:00"/>
    <x v="4"/>
    <n v="4"/>
    <x v="7"/>
    <x v="1"/>
    <n v="211"/>
    <n v="211"/>
    <n v="0"/>
    <n v="12"/>
    <n v="0.67628205128205132"/>
    <n v="35"/>
    <n v="33"/>
    <n v="0.94285714285714284"/>
    <n v="11550"/>
    <n v="1899"/>
    <n v="5600"/>
    <n v="19049"/>
    <n v="90.279620853080573"/>
  </r>
  <r>
    <d v="2026-05-02T00:00:00"/>
    <x v="4"/>
    <n v="5"/>
    <x v="7"/>
    <x v="1"/>
    <n v="226"/>
    <n v="224"/>
    <n v="2"/>
    <n v="12"/>
    <n v="0.71794871794871795"/>
    <n v="35"/>
    <n v="32"/>
    <n v="0.91428571428571426"/>
    <n v="11550"/>
    <n v="2016"/>
    <n v="5600"/>
    <n v="19166"/>
    <n v="85.5625"/>
  </r>
  <r>
    <d v="2026-05-09T00:00:00"/>
    <x v="4"/>
    <n v="5"/>
    <x v="7"/>
    <x v="1"/>
    <n v="230"/>
    <n v="230"/>
    <n v="2"/>
    <n v="12"/>
    <n v="0.73717948717948723"/>
    <n v="35"/>
    <n v="35"/>
    <n v="1"/>
    <n v="11550"/>
    <n v="2070"/>
    <n v="5600"/>
    <n v="19220"/>
    <n v="83.565217391304344"/>
  </r>
  <r>
    <d v="2026-05-16T00:00:00"/>
    <x v="4"/>
    <n v="5"/>
    <x v="7"/>
    <x v="1"/>
    <n v="223"/>
    <n v="224"/>
    <n v="1"/>
    <n v="12"/>
    <n v="0.71794871794871795"/>
    <n v="35"/>
    <n v="31"/>
    <n v="0.88571428571428568"/>
    <n v="11550"/>
    <n v="2016"/>
    <n v="5600"/>
    <n v="19166"/>
    <n v="85.5625"/>
  </r>
  <r>
    <d v="2026-05-23T00:00:00"/>
    <x v="4"/>
    <n v="5"/>
    <x v="7"/>
    <x v="1"/>
    <n v="227"/>
    <n v="228"/>
    <n v="0"/>
    <n v="12"/>
    <n v="0.73076923076923073"/>
    <n v="35"/>
    <n v="34"/>
    <n v="0.97142857142857142"/>
    <n v="11550"/>
    <n v="2052"/>
    <n v="5600"/>
    <n v="19202"/>
    <n v="84.219298245614041"/>
  </r>
  <r>
    <d v="2026-05-30T00:00:00"/>
    <x v="4"/>
    <n v="5"/>
    <x v="7"/>
    <x v="1"/>
    <n v="221"/>
    <n v="221"/>
    <n v="0"/>
    <n v="12"/>
    <n v="0.70833333333333337"/>
    <n v="35"/>
    <n v="33"/>
    <n v="0.94285714285714284"/>
    <n v="11550"/>
    <n v="1989"/>
    <n v="5600"/>
    <n v="19139"/>
    <n v="86.601809954751133"/>
  </r>
  <r>
    <d v="2026-06-06T00:00:00"/>
    <x v="4"/>
    <n v="6"/>
    <x v="7"/>
    <x v="1"/>
    <n v="223"/>
    <n v="223"/>
    <n v="0"/>
    <n v="12"/>
    <n v="0.71474358974358976"/>
    <n v="35"/>
    <n v="32"/>
    <n v="0.91428571428571426"/>
    <n v="11550"/>
    <n v="2007"/>
    <n v="5600"/>
    <n v="19157"/>
    <n v="85.905829596412559"/>
  </r>
  <r>
    <d v="2026-06-13T00:00:00"/>
    <x v="4"/>
    <n v="6"/>
    <x v="7"/>
    <x v="1"/>
    <n v="216"/>
    <n v="216"/>
    <n v="0"/>
    <n v="12"/>
    <n v="0.69230769230769229"/>
    <n v="35"/>
    <n v="31"/>
    <n v="0.88571428571428568"/>
    <n v="11550"/>
    <n v="1944"/>
    <n v="5600"/>
    <n v="19094"/>
    <n v="88.398148148148152"/>
  </r>
  <r>
    <d v="2026-06-20T00:00:00"/>
    <x v="4"/>
    <n v="6"/>
    <x v="7"/>
    <x v="1"/>
    <n v="209"/>
    <n v="209"/>
    <n v="0"/>
    <n v="12"/>
    <n v="0.66987179487179482"/>
    <n v="35"/>
    <n v="34"/>
    <n v="0.97142857142857142"/>
    <n v="11550"/>
    <n v="1881"/>
    <n v="5600"/>
    <n v="19031"/>
    <n v="91.057416267942585"/>
  </r>
  <r>
    <d v="2026-06-27T00:00:00"/>
    <x v="4"/>
    <n v="6"/>
    <x v="7"/>
    <x v="1"/>
    <n v="218"/>
    <n v="218"/>
    <n v="0"/>
    <n v="12"/>
    <n v="0.69871794871794868"/>
    <n v="35"/>
    <n v="33"/>
    <n v="0.94285714285714284"/>
    <n v="11550"/>
    <n v="1962"/>
    <n v="5600"/>
    <n v="19112"/>
    <n v="87.669724770642205"/>
  </r>
  <r>
    <d v="2026-07-04T00:00:00"/>
    <x v="4"/>
    <n v="7"/>
    <x v="7"/>
    <x v="1"/>
    <n v="219"/>
    <n v="219"/>
    <n v="0"/>
    <n v="12"/>
    <n v="0.70192307692307687"/>
    <n v="35"/>
    <n v="32"/>
    <n v="0.91428571428571426"/>
    <n v="11550"/>
    <n v="1971"/>
    <n v="5600"/>
    <n v="19121"/>
    <n v="87.310502283105023"/>
  </r>
  <r>
    <d v="2026-07-11T00:00:00"/>
    <x v="4"/>
    <n v="7"/>
    <x v="7"/>
    <x v="1"/>
    <n v="222"/>
    <n v="222"/>
    <n v="0"/>
    <n v="12"/>
    <n v="0.71153846153846156"/>
    <n v="35"/>
    <n v="33"/>
    <n v="0.94285714285714284"/>
    <n v="11550"/>
    <n v="1998"/>
    <n v="5600"/>
    <n v="19148"/>
    <n v="86.252252252252248"/>
  </r>
  <r>
    <d v="2026-07-18T00:00:00"/>
    <x v="4"/>
    <n v="7"/>
    <x v="7"/>
    <x v="1"/>
    <n v="217"/>
    <n v="217"/>
    <n v="0"/>
    <n v="12"/>
    <n v="0.69551282051282048"/>
    <n v="35"/>
    <n v="32"/>
    <n v="0.91428571428571426"/>
    <n v="11550"/>
    <n v="1953"/>
    <n v="5600"/>
    <n v="19103"/>
    <n v="88.032258064516128"/>
  </r>
  <r>
    <d v="2026-07-25T00:00:00"/>
    <x v="4"/>
    <n v="7"/>
    <x v="7"/>
    <x v="1"/>
    <n v="223"/>
    <n v="223"/>
    <n v="0"/>
    <n v="12"/>
    <n v="0.71474358974358976"/>
    <n v="35"/>
    <n v="33"/>
    <n v="0.94285714285714284"/>
    <n v="11550"/>
    <n v="2007"/>
    <n v="5600"/>
    <n v="19157"/>
    <n v="85.9058295964125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EF564-3FEA-494A-AF2D-D33A64BB7BFD}" name="ptVolumeByYear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4" firstHeaderRow="1" firstDataRow="2" firstDataCol="1"/>
  <pivotFields count="19">
    <pivotField numFmtId="165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showAll="0"/>
    <pivotField numFmtId="166" showAll="0"/>
    <pivotField showAll="0"/>
    <pivotField showAll="0"/>
    <pivotField numFmtId="166" showAll="0"/>
    <pivotField numFmtId="167" showAll="0"/>
    <pivotField numFmtId="167" showAll="0"/>
    <pivotField numFmtId="167" showAll="0"/>
    <pivotField numFmtId="167" showAll="0"/>
    <pivotField numFmtId="168" showAll="0"/>
    <pivotField dragToRow="0" dragToCol="0" dragToPage="0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allets shipped 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F47D8-F57E-458B-B1E1-8195E9BC9BC0}" name="ptOnTimeByCarrier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0" firstHeaderRow="1" firstDataRow="2" firstDataCol="1"/>
  <pivotFields count="19">
    <pivotField numFmtId="165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166" showAll="0"/>
    <pivotField showAll="0"/>
    <pivotField showAll="0"/>
    <pivotField numFmtId="166" showAll="0"/>
    <pivotField numFmtId="167" showAll="0"/>
    <pivotField numFmtId="167" showAll="0"/>
    <pivotField numFmtId="167" showAll="0"/>
    <pivotField numFmtId="167" showAll="0"/>
    <pivotField numFmtId="168" showAll="0"/>
    <pivotField dataField="1"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n-time rate " fld="1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corecard" displayName="tblScorecard" ref="A5:N13">
  <autoFilter ref="A5:N13" xr:uid="{00000000-0009-0000-0100-000001000000}"/>
  <tableColumns count="14">
    <tableColumn id="1" xr3:uid="{00000000-0010-0000-0000-000001000000}" name="Pool point"/>
    <tableColumn id="2" xr3:uid="{00000000-0010-0000-0000-000002000000}" name="City"/>
    <tableColumn id="3" xr3:uid="{00000000-0010-0000-0000-000003000000}" name="Carrier"/>
    <tableColumn id="4" xr3:uid="{00000000-0010-0000-0000-000004000000}" name="Avg weekly pallets"/>
    <tableColumn id="5" xr3:uid="{00000000-0010-0000-0000-000005000000}" name="YoY volume growth"/>
    <tableColumn id="6" xr3:uid="{00000000-0010-0000-0000-000006000000}" name="On-time %"/>
    <tableColumn id="7" xr3:uid="{00000000-0010-0000-0000-000007000000}" name="On-time status"/>
    <tableColumn id="8" xr3:uid="{00000000-0010-0000-0000-000008000000}" name="Trailer fill %"/>
    <tableColumn id="9" xr3:uid="{00000000-0010-0000-0000-000009000000}" name="Fill status"/>
    <tableColumn id="10" xr3:uid="{00000000-0010-0000-0000-00000A000000}" name="Cost per pallet"/>
    <tableColumn id="11" xr3:uid="{00000000-0010-0000-0000-00000B000000}" name="Cost vs network"/>
    <tableColumn id="12" xr3:uid="{00000000-0010-0000-0000-00000C000000}" name="Cost status"/>
    <tableColumn id="13" xr3:uid="{00000000-0010-0000-0000-00000D000000}" name="Avg backlog pallets"/>
    <tableColumn id="14" xr3:uid="{00000000-0010-0000-0000-00000E000000}" name="Forecast WAP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orecast" displayName="tblForecast" ref="A4:N212">
  <autoFilter ref="A4:N212" xr:uid="{00000000-0009-0000-0100-000002000000}"/>
  <tableColumns count="14">
    <tableColumn id="1" xr3:uid="{00000000-0010-0000-0100-000001000000}" name="Week ending"/>
    <tableColumn id="2" xr3:uid="{00000000-0010-0000-0100-000002000000}" name="Pool point"/>
    <tableColumn id="3" xr3:uid="{00000000-0010-0000-0100-000003000000}" name="City"/>
    <tableColumn id="4" xr3:uid="{00000000-0010-0000-0100-000004000000}" name="Carrier"/>
    <tableColumn id="5" xr3:uid="{00000000-0010-0000-0100-000005000000}" name="Forecast pallets"/>
    <tableColumn id="6" xr3:uid="{00000000-0010-0000-0100-000006000000}" name="Low (P10)"/>
    <tableColumn id="7" xr3:uid="{00000000-0010-0000-0100-000007000000}" name="High (P80)"/>
    <tableColumn id="8" xr3:uid="{00000000-0010-0000-0100-000008000000}" name="New store pallets"/>
    <tableColumn id="9" xr3:uid="{00000000-0010-0000-0100-000009000000}" name="Lane fill rate"/>
    <tableColumn id="10" xr3:uid="{00000000-0010-0000-0100-00000A000000}" name="Trailers (forecast)"/>
    <tableColumn id="11" xr3:uid="{00000000-0010-0000-0100-00000B000000}" name="Trailers (high)"/>
    <tableColumn id="12" xr3:uid="{00000000-0010-0000-0100-00000C000000}" name="Contracted trailers"/>
    <tableColumn id="13" xr3:uid="{00000000-0010-0000-0100-00000D000000}" name="Extra trailers needed"/>
    <tableColumn id="14" xr3:uid="{00000000-0010-0000-0100-00000E000000}" name="Capacity 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Visibility" displayName="tblStoreVisibility" ref="A4:P141">
  <autoFilter ref="A4:P141" xr:uid="{00000000-0009-0000-0100-000003000000}"/>
  <tableColumns count="16">
    <tableColumn id="1" xr3:uid="{00000000-0010-0000-0200-000001000000}" name="Store"/>
    <tableColumn id="2" xr3:uid="{00000000-0010-0000-0200-000002000000}" name="Pool point"/>
    <tableColumn id="3" xr3:uid="{00000000-0010-0000-0200-000003000000}" name="Market"/>
    <tableColumn id="4" xr3:uid="{00000000-0010-0000-0200-000004000000}" name="Carrier"/>
    <tableColumn id="5" xr3:uid="{00000000-0010-0000-0200-000005000000}" name="Size"/>
    <tableColumn id="6" xr3:uid="{00000000-0010-0000-0200-000006000000}" name="Delivery days"/>
    <tableColumn id="7" xr3:uid="{00000000-0010-0000-0200-000007000000}" name="Pallet max"/>
    <tableColumn id="8" xr3:uid="{00000000-0010-0000-0200-000008000000}" name="Open date"/>
    <tableColumn id="9" xr3:uid="{00000000-0010-0000-0200-000009000000}" name="Wk Aug 01"/>
    <tableColumn id="10" xr3:uid="{00000000-0010-0000-0200-00000A000000}" name="Wk Aug 08"/>
    <tableColumn id="11" xr3:uid="{00000000-0010-0000-0200-00000B000000}" name="Wk Aug 15"/>
    <tableColumn id="12" xr3:uid="{00000000-0010-0000-0200-00000C000000}" name="Wk Aug 22"/>
    <tableColumn id="13" xr3:uid="{00000000-0010-0000-0200-00000D000000}" name="Peak wk forecast"/>
    <tableColumn id="14" xr3:uid="{00000000-0010-0000-0200-00000E000000}" name="Peak wk planned"/>
    <tableColumn id="15" xr3:uid="{00000000-0010-0000-0200-00000F000000}" name="Peak wk backlog"/>
    <tableColumn id="16" xr3:uid="{00000000-0010-0000-0200-000010000000}" name="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acklog" displayName="tblBacklog" ref="A4:G138">
  <autoFilter ref="A4:G138" xr:uid="{00000000-0009-0000-0100-000004000000}"/>
  <tableColumns count="7">
    <tableColumn id="1" xr3:uid="{00000000-0010-0000-0300-000001000000}" name="Store ID"/>
    <tableColumn id="2" xr3:uid="{00000000-0010-0000-0300-000002000000}" name="Pool point ID"/>
    <tableColumn id="3" xr3:uid="{00000000-0010-0000-0300-000003000000}" name="Backlog before"/>
    <tableColumn id="4" xr3:uid="{00000000-0010-0000-0300-000004000000}" name="Added delivery day"/>
    <tableColumn id="5" xr3:uid="{00000000-0010-0000-0300-000005000000}" name="Pallet max before"/>
    <tableColumn id="6" xr3:uid="{00000000-0010-0000-0300-000006000000}" name="Pallet max after"/>
    <tableColumn id="7" xr3:uid="{00000000-0010-0000-0300-000007000000}" name="Backlog af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Weekly" displayName="tblWeekly" ref="A4:R1668">
  <autoFilter ref="A4:R1668" xr:uid="{00000000-0009-0000-0100-000005000000}"/>
  <tableColumns count="18">
    <tableColumn id="1" xr3:uid="{00000000-0010-0000-0400-000001000000}" name="week_ending"/>
    <tableColumn id="2" xr3:uid="{00000000-0010-0000-0400-000002000000}" name="year"/>
    <tableColumn id="3" xr3:uid="{00000000-0010-0000-0400-000003000000}" name="month"/>
    <tableColumn id="4" xr3:uid="{00000000-0010-0000-0400-000004000000}" name="pool_point_id"/>
    <tableColumn id="5" xr3:uid="{00000000-0010-0000-0400-000005000000}" name="carrier_id"/>
    <tableColumn id="6" xr3:uid="{00000000-0010-0000-0400-000006000000}" name="demand_pallets"/>
    <tableColumn id="7" xr3:uid="{00000000-0010-0000-0400-000007000000}" name="pallets_shipped"/>
    <tableColumn id="8" xr3:uid="{00000000-0010-0000-0400-000008000000}" name="backlog_pallets"/>
    <tableColumn id="9" xr3:uid="{00000000-0010-0000-0400-000009000000}" name="trailers"/>
    <tableColumn id="10" xr3:uid="{00000000-0010-0000-0400-00000A000000}" name="trailer_fill_pct"/>
    <tableColumn id="11" xr3:uid="{00000000-0010-0000-0400-00000B000000}" name="stops"/>
    <tableColumn id="12" xr3:uid="{00000000-0010-0000-0400-00000C000000}" name="on_time_stops"/>
    <tableColumn id="13" xr3:uid="{00000000-0010-0000-0400-00000D000000}" name="on_time_pct"/>
    <tableColumn id="14" xr3:uid="{00000000-0010-0000-0400-00000E000000}" name="linehaul_cost"/>
    <tableColumn id="15" xr3:uid="{00000000-0010-0000-0400-00000F000000}" name="handling_cost"/>
    <tableColumn id="16" xr3:uid="{00000000-0010-0000-0400-000010000000}" name="final_mile_cost"/>
    <tableColumn id="17" xr3:uid="{00000000-0010-0000-0400-000011000000}" name="total_cost"/>
    <tableColumn id="18" xr3:uid="{00000000-0010-0000-0400-000012000000}" name="cost_per_palle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oreForecast" displayName="tblStoreForecast" ref="A4:D3540">
  <autoFilter ref="A4:D3540" xr:uid="{00000000-0009-0000-0100-000006000000}"/>
  <tableColumns count="4">
    <tableColumn id="1" xr3:uid="{00000000-0010-0000-0500-000001000000}" name="Week ending"/>
    <tableColumn id="2" xr3:uid="{00000000-0010-0000-0500-000002000000}" name="Pool point ID"/>
    <tableColumn id="3" xr3:uid="{00000000-0010-0000-0500-000003000000}" name="Store ID"/>
    <tableColumn id="4" xr3:uid="{00000000-0010-0000-0500-000004000000}" name="Forecast pallet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oolPoints" displayName="tblPoolPoints" ref="A4:K12">
  <autoFilter ref="A4:K12" xr:uid="{00000000-0009-0000-0100-000007000000}"/>
  <tableColumns count="11">
    <tableColumn id="1" xr3:uid="{00000000-0010-0000-0600-000001000000}" name="Pool point ID"/>
    <tableColumn id="2" xr3:uid="{00000000-0010-0000-0600-000002000000}" name="City"/>
    <tableColumn id="3" xr3:uid="{00000000-0010-0000-0600-000003000000}" name="State"/>
    <tableColumn id="4" xr3:uid="{00000000-0010-0000-0600-000004000000}" name="Miles from dc"/>
    <tableColumn id="5" xr3:uid="{00000000-0010-0000-0600-000005000000}" name="Carrier ID"/>
    <tableColumn id="6" xr3:uid="{00000000-0010-0000-0600-000006000000}" name="Handling per pallet"/>
    <tableColumn id="7" xr3:uid="{00000000-0010-0000-0600-000007000000}" name="Cost per stop"/>
    <tableColumn id="8" xr3:uid="{00000000-0010-0000-0600-000008000000}" name="Linehaul cost per trailer"/>
    <tableColumn id="9" xr3:uid="{00000000-0010-0000-0600-000009000000}" name="Contracted trailers per week"/>
    <tableColumn id="10" xr3:uid="{00000000-0010-0000-0600-00000A000000}" name="Trailing fill %"/>
    <tableColumn id="11" xr3:uid="{00000000-0010-0000-0600-00000B000000}" name="Winter expose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arriers" displayName="tblCarriers" ref="A4:E8">
  <autoFilter ref="A4:E8" xr:uid="{00000000-0009-0000-0100-000008000000}"/>
  <tableColumns count="5">
    <tableColumn id="1" xr3:uid="{00000000-0010-0000-0700-000001000000}" name="Carrier ID"/>
    <tableColumn id="2" xr3:uid="{00000000-0010-0000-0700-000002000000}" name="Carrier name"/>
    <tableColumn id="3" xr3:uid="{00000000-0010-0000-0700-000003000000}" name="Fixed charge"/>
    <tableColumn id="4" xr3:uid="{00000000-0010-0000-0700-000004000000}" name="Rate per mile"/>
    <tableColumn id="5" xr3:uid="{00000000-0010-0000-0700-000005000000}" name="Base on tim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tores" displayName="tblStores" ref="A4:I140">
  <autoFilter ref="A4:I140" xr:uid="{00000000-0009-0000-0100-000009000000}"/>
  <tableColumns count="9">
    <tableColumn id="1" xr3:uid="{00000000-0010-0000-0800-000001000000}" name="Store ID"/>
    <tableColumn id="2" xr3:uid="{00000000-0010-0000-0800-000002000000}" name="Pool point ID"/>
    <tableColumn id="3" xr3:uid="{00000000-0010-0000-0800-000003000000}" name="Market"/>
    <tableColumn id="4" xr3:uid="{00000000-0010-0000-0800-000004000000}" name="Size tier"/>
    <tableColumn id="5" xr3:uid="{00000000-0010-0000-0800-000005000000}" name="Base weekly pallets"/>
    <tableColumn id="6" xr3:uid="{00000000-0010-0000-0800-000006000000}" name="Delivery days"/>
    <tableColumn id="7" xr3:uid="{00000000-0010-0000-0800-000007000000}" name="Deliveries per week"/>
    <tableColumn id="8" xr3:uid="{00000000-0010-0000-0800-000008000000}" name="Pallet max"/>
    <tableColumn id="9" xr3:uid="{00000000-0010-0000-0800-000009000000}" name="Open 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.5" x14ac:dyDescent="0.35"/>
  <cols>
    <col min="1" max="1" width="22" customWidth="1"/>
    <col min="2" max="2" width="120" customWidth="1"/>
  </cols>
  <sheetData>
    <row r="1" spans="1:2" ht="21" x14ac:dyDescent="0.5">
      <c r="A1" s="1" t="s">
        <v>24</v>
      </c>
    </row>
    <row r="2" spans="1:2" x14ac:dyDescent="0.35">
      <c r="A2" s="2" t="s">
        <v>25</v>
      </c>
    </row>
    <row r="4" spans="1:2" x14ac:dyDescent="0.35">
      <c r="A4" s="3" t="s">
        <v>26</v>
      </c>
      <c r="B4" t="s">
        <v>27</v>
      </c>
    </row>
    <row r="5" spans="1:2" x14ac:dyDescent="0.35">
      <c r="A5" s="3" t="s">
        <v>28</v>
      </c>
      <c r="B5" t="s">
        <v>29</v>
      </c>
    </row>
    <row r="6" spans="1:2" x14ac:dyDescent="0.35">
      <c r="A6" s="3" t="s">
        <v>30</v>
      </c>
      <c r="B6" t="s">
        <v>31</v>
      </c>
    </row>
    <row r="7" spans="1:2" x14ac:dyDescent="0.35">
      <c r="A7" s="3" t="s">
        <v>32</v>
      </c>
      <c r="B7" t="s">
        <v>33</v>
      </c>
    </row>
    <row r="8" spans="1:2" x14ac:dyDescent="0.35">
      <c r="A8" s="3" t="s">
        <v>34</v>
      </c>
      <c r="B8" t="s">
        <v>35</v>
      </c>
    </row>
    <row r="9" spans="1:2" x14ac:dyDescent="0.35">
      <c r="A9" s="3"/>
    </row>
    <row r="10" spans="1:2" x14ac:dyDescent="0.35">
      <c r="A10" s="4" t="s">
        <v>36</v>
      </c>
      <c r="B10" s="4" t="s">
        <v>37</v>
      </c>
    </row>
    <row r="11" spans="1:2" x14ac:dyDescent="0.35">
      <c r="A11" s="3" t="s">
        <v>38</v>
      </c>
      <c r="B11" t="s">
        <v>39</v>
      </c>
    </row>
    <row r="12" spans="1:2" x14ac:dyDescent="0.35">
      <c r="A12" s="3" t="s">
        <v>40</v>
      </c>
      <c r="B12" t="s">
        <v>41</v>
      </c>
    </row>
    <row r="13" spans="1:2" x14ac:dyDescent="0.35">
      <c r="A13" s="3" t="s">
        <v>42</v>
      </c>
      <c r="B13" t="s">
        <v>43</v>
      </c>
    </row>
    <row r="14" spans="1:2" x14ac:dyDescent="0.35">
      <c r="A14" s="3" t="s">
        <v>44</v>
      </c>
      <c r="B14" t="s">
        <v>45</v>
      </c>
    </row>
    <row r="15" spans="1:2" x14ac:dyDescent="0.35">
      <c r="A15" s="3" t="s">
        <v>46</v>
      </c>
      <c r="B15" t="s">
        <v>47</v>
      </c>
    </row>
    <row r="16" spans="1:2" x14ac:dyDescent="0.35">
      <c r="A16" s="3" t="s">
        <v>48</v>
      </c>
      <c r="B16" t="s">
        <v>49</v>
      </c>
    </row>
    <row r="17" spans="1:2" x14ac:dyDescent="0.35">
      <c r="A17" s="3" t="s">
        <v>50</v>
      </c>
      <c r="B17" t="s">
        <v>51</v>
      </c>
    </row>
    <row r="18" spans="1:2" x14ac:dyDescent="0.35">
      <c r="A18" s="3" t="s">
        <v>52</v>
      </c>
      <c r="B18" t="s">
        <v>53</v>
      </c>
    </row>
    <row r="19" spans="1:2" x14ac:dyDescent="0.35">
      <c r="A19" s="3" t="s">
        <v>54</v>
      </c>
      <c r="B19" t="s">
        <v>55</v>
      </c>
    </row>
    <row r="20" spans="1:2" x14ac:dyDescent="0.35">
      <c r="A20" s="3" t="s">
        <v>56</v>
      </c>
      <c r="B20" t="s">
        <v>57</v>
      </c>
    </row>
    <row r="21" spans="1:2" x14ac:dyDescent="0.35">
      <c r="A21" s="3" t="s">
        <v>58</v>
      </c>
      <c r="B2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78D6"/>
  </sheetPr>
  <dimension ref="A1:I38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8" width="17" customWidth="1"/>
  </cols>
  <sheetData>
    <row r="1" spans="1:9" ht="21" x14ac:dyDescent="0.5">
      <c r="A1" s="1" t="s">
        <v>0</v>
      </c>
    </row>
    <row r="2" spans="1:9" x14ac:dyDescent="0.35">
      <c r="A2" s="2" t="s">
        <v>1</v>
      </c>
    </row>
    <row r="4" spans="1:9" ht="15.5" x14ac:dyDescent="0.35">
      <c r="A4" s="3" t="s">
        <v>2</v>
      </c>
      <c r="B4" s="5" t="s">
        <v>3</v>
      </c>
    </row>
    <row r="5" spans="1:9" x14ac:dyDescent="0.35">
      <c r="A5" s="3" t="s">
        <v>4</v>
      </c>
      <c r="B5" t="str">
        <f>INDEX('Pool Points'!$B:$B,MATCH($B$4,'Pool Points'!$A:$A,0))&amp;", "&amp;INDEX('Pool Points'!$C:$C,MATCH($B$4,'Pool Points'!$A:$A,0))</f>
        <v>Worcester, MA</v>
      </c>
    </row>
    <row r="6" spans="1:9" x14ac:dyDescent="0.35">
      <c r="A6" s="3" t="s">
        <v>5</v>
      </c>
      <c r="B6" t="str">
        <f>INDEX('Pool Points'!$E:$E,MATCH($B$4,'Pool Points'!$A:$A,0))</f>
        <v>CARR-B</v>
      </c>
    </row>
    <row r="8" spans="1:9" x14ac:dyDescent="0.3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</row>
    <row r="9" spans="1:9" ht="21" x14ac:dyDescent="0.5">
      <c r="A9" s="7">
        <f>INDEX('KPI Scorecard'!$D:$D,MATCH($B$4,'KPI Scorecard'!$A:$A,0))</f>
        <v>323.90384615384608</v>
      </c>
      <c r="B9" s="8">
        <f>INDEX('KPI Scorecard'!$E:$E,MATCH($B$4,'KPI Scorecard'!$A:$A,0))</f>
        <v>6.2247729566094812E-2</v>
      </c>
      <c r="C9" s="8">
        <f>INDEX('KPI Scorecard'!$F:$F,MATCH($B$4,'KPI Scorecard'!$A:$A,0))</f>
        <v>0.92548076923076927</v>
      </c>
      <c r="D9" s="8">
        <f>INDEX('KPI Scorecard'!$H:$H,MATCH($B$4,'KPI Scorecard'!$A:$A,0))</f>
        <v>0.8047300525561395</v>
      </c>
      <c r="E9" s="9">
        <f>INDEX('KPI Scorecard'!$J:$J,MATCH($B$4,'KPI Scorecard'!$A:$A,0))</f>
        <v>87.69272101169625</v>
      </c>
      <c r="F9" s="8">
        <f>INDEX('KPI Scorecard'!$N:$N,MATCH($B$4,'KPI Scorecard'!$A:$A,0))</f>
        <v>3.6655236049774997E-2</v>
      </c>
      <c r="G9" s="10">
        <f>INDEX($A$13:$A$38,MATCH(MAX($B$13:$B$38),$B$13:$B$38,0))</f>
        <v>46368</v>
      </c>
      <c r="H9" s="7">
        <f>COUNTIF($G$13:$G$38,"Over capacity")</f>
        <v>6</v>
      </c>
    </row>
    <row r="11" spans="1:9" ht="15.5" x14ac:dyDescent="0.35">
      <c r="A11" s="11" t="s">
        <v>14</v>
      </c>
      <c r="I11" s="11" t="s">
        <v>15</v>
      </c>
    </row>
    <row r="12" spans="1:9" ht="30" customHeight="1" x14ac:dyDescent="0.35">
      <c r="A12" s="12" t="s">
        <v>16</v>
      </c>
      <c r="B12" s="12" t="s">
        <v>17</v>
      </c>
      <c r="C12" s="12" t="s">
        <v>18</v>
      </c>
      <c r="D12" s="12" t="s">
        <v>19</v>
      </c>
      <c r="E12" s="12" t="s">
        <v>20</v>
      </c>
      <c r="F12" s="12" t="s">
        <v>21</v>
      </c>
      <c r="G12" s="12" t="s">
        <v>22</v>
      </c>
    </row>
    <row r="13" spans="1:9" x14ac:dyDescent="0.35">
      <c r="A13" s="13">
        <v>46235</v>
      </c>
      <c r="B13" s="14">
        <f>SUMIFS('Volume Forecast'!$E$5:$E$212,'Volume Forecast'!$B$5:$B$212,$B$4,'Volume Forecast'!$A$5:$A$212,$A13)</f>
        <v>329.3</v>
      </c>
      <c r="C13" s="14">
        <f>SUMIFS('Volume Forecast'!$G$5:$G$212,'Volume Forecast'!$B$5:$B$212,$B$4,'Volume Forecast'!$A$5:$A$212,$A13)</f>
        <v>337.4</v>
      </c>
      <c r="D13" s="15">
        <f>SUMIFS('Volume Forecast'!$J$5:$J$212,'Volume Forecast'!$B$5:$B$212,$B$4,'Volume Forecast'!$A$5:$A$212,$A13)</f>
        <v>16</v>
      </c>
      <c r="E13" s="15">
        <f>INDEX('Pool Points'!$I:$I,MATCH($B$4,'Pool Points'!$A:$A,0))</f>
        <v>18</v>
      </c>
      <c r="F13" s="16">
        <f t="shared" ref="F13:F38" si="0">D13-E13</f>
        <v>-2</v>
      </c>
      <c r="G13" t="str">
        <f>IF(D13&gt;E13,"Over capacity",IF(SUMIFS('Volume Forecast'!$K$5:$K$212,'Volume Forecast'!$B$5:$B$212,$B$4,'Volume Forecast'!$A$5:$A$212,$A13)&gt;E13,"At risk","Covered"))</f>
        <v>Covered</v>
      </c>
    </row>
    <row r="14" spans="1:9" x14ac:dyDescent="0.35">
      <c r="A14" s="13">
        <v>46242</v>
      </c>
      <c r="B14" s="14">
        <f>SUMIFS('Volume Forecast'!$E$5:$E$212,'Volume Forecast'!$B$5:$B$212,$B$4,'Volume Forecast'!$A$5:$A$212,$A14)</f>
        <v>331.1</v>
      </c>
      <c r="C14" s="14">
        <f>SUMIFS('Volume Forecast'!$G$5:$G$212,'Volume Forecast'!$B$5:$B$212,$B$4,'Volume Forecast'!$A$5:$A$212,$A14)</f>
        <v>339.2</v>
      </c>
      <c r="D14" s="15">
        <f>SUMIFS('Volume Forecast'!$J$5:$J$212,'Volume Forecast'!$B$5:$B$212,$B$4,'Volume Forecast'!$A$5:$A$212,$A14)</f>
        <v>16</v>
      </c>
      <c r="E14" s="15">
        <f>INDEX('Pool Points'!$I:$I,MATCH($B$4,'Pool Points'!$A:$A,0))</f>
        <v>18</v>
      </c>
      <c r="F14" s="16">
        <f t="shared" si="0"/>
        <v>-2</v>
      </c>
      <c r="G14" t="str">
        <f>IF(D14&gt;E14,"Over capacity",IF(SUMIFS('Volume Forecast'!$K$5:$K$212,'Volume Forecast'!$B$5:$B$212,$B$4,'Volume Forecast'!$A$5:$A$212,$A14)&gt;E14,"At risk","Covered"))</f>
        <v>Covered</v>
      </c>
    </row>
    <row r="15" spans="1:9" x14ac:dyDescent="0.35">
      <c r="A15" s="13">
        <v>46249</v>
      </c>
      <c r="B15" s="14">
        <f>SUMIFS('Volume Forecast'!$E$5:$E$212,'Volume Forecast'!$B$5:$B$212,$B$4,'Volume Forecast'!$A$5:$A$212,$A15)</f>
        <v>328.7</v>
      </c>
      <c r="C15" s="14">
        <f>SUMIFS('Volume Forecast'!$G$5:$G$212,'Volume Forecast'!$B$5:$B$212,$B$4,'Volume Forecast'!$A$5:$A$212,$A15)</f>
        <v>336.8</v>
      </c>
      <c r="D15" s="15">
        <f>SUMIFS('Volume Forecast'!$J$5:$J$212,'Volume Forecast'!$B$5:$B$212,$B$4,'Volume Forecast'!$A$5:$A$212,$A15)</f>
        <v>16</v>
      </c>
      <c r="E15" s="15">
        <f>INDEX('Pool Points'!$I:$I,MATCH($B$4,'Pool Points'!$A:$A,0))</f>
        <v>18</v>
      </c>
      <c r="F15" s="16">
        <f t="shared" si="0"/>
        <v>-2</v>
      </c>
      <c r="G15" t="str">
        <f>IF(D15&gt;E15,"Over capacity",IF(SUMIFS('Volume Forecast'!$K$5:$K$212,'Volume Forecast'!$B$5:$B$212,$B$4,'Volume Forecast'!$A$5:$A$212,$A15)&gt;E15,"At risk","Covered"))</f>
        <v>Covered</v>
      </c>
    </row>
    <row r="16" spans="1:9" x14ac:dyDescent="0.35">
      <c r="A16" s="13">
        <v>46256</v>
      </c>
      <c r="B16" s="14">
        <f>SUMIFS('Volume Forecast'!$E$5:$E$212,'Volume Forecast'!$B$5:$B$212,$B$4,'Volume Forecast'!$A$5:$A$212,$A16)</f>
        <v>321.2</v>
      </c>
      <c r="C16" s="14">
        <f>SUMIFS('Volume Forecast'!$G$5:$G$212,'Volume Forecast'!$B$5:$B$212,$B$4,'Volume Forecast'!$A$5:$A$212,$A16)</f>
        <v>329.1</v>
      </c>
      <c r="D16" s="15">
        <f>SUMIFS('Volume Forecast'!$J$5:$J$212,'Volume Forecast'!$B$5:$B$212,$B$4,'Volume Forecast'!$A$5:$A$212,$A16)</f>
        <v>16</v>
      </c>
      <c r="E16" s="15">
        <f>INDEX('Pool Points'!$I:$I,MATCH($B$4,'Pool Points'!$A:$A,0))</f>
        <v>18</v>
      </c>
      <c r="F16" s="16">
        <f t="shared" si="0"/>
        <v>-2</v>
      </c>
      <c r="G16" t="str">
        <f>IF(D16&gt;E16,"Over capacity",IF(SUMIFS('Volume Forecast'!$K$5:$K$212,'Volume Forecast'!$B$5:$B$212,$B$4,'Volume Forecast'!$A$5:$A$212,$A16)&gt;E16,"At risk","Covered"))</f>
        <v>Covered</v>
      </c>
    </row>
    <row r="17" spans="1:9" x14ac:dyDescent="0.35">
      <c r="A17" s="13">
        <v>46263</v>
      </c>
      <c r="B17" s="14">
        <f>SUMIFS('Volume Forecast'!$E$5:$E$212,'Volume Forecast'!$B$5:$B$212,$B$4,'Volume Forecast'!$A$5:$A$212,$A17)</f>
        <v>313.60000000000002</v>
      </c>
      <c r="C17" s="14">
        <f>SUMIFS('Volume Forecast'!$G$5:$G$212,'Volume Forecast'!$B$5:$B$212,$B$4,'Volume Forecast'!$A$5:$A$212,$A17)</f>
        <v>321.3</v>
      </c>
      <c r="D17" s="15">
        <f>SUMIFS('Volume Forecast'!$J$5:$J$212,'Volume Forecast'!$B$5:$B$212,$B$4,'Volume Forecast'!$A$5:$A$212,$A17)</f>
        <v>15</v>
      </c>
      <c r="E17" s="15">
        <f>INDEX('Pool Points'!$I:$I,MATCH($B$4,'Pool Points'!$A:$A,0))</f>
        <v>18</v>
      </c>
      <c r="F17" s="16">
        <f t="shared" si="0"/>
        <v>-3</v>
      </c>
      <c r="G17" t="str">
        <f>IF(D17&gt;E17,"Over capacity",IF(SUMIFS('Volume Forecast'!$K$5:$K$212,'Volume Forecast'!$B$5:$B$212,$B$4,'Volume Forecast'!$A$5:$A$212,$A17)&gt;E17,"At risk","Covered"))</f>
        <v>Covered</v>
      </c>
    </row>
    <row r="18" spans="1:9" x14ac:dyDescent="0.35">
      <c r="A18" s="13">
        <v>46270</v>
      </c>
      <c r="B18" s="14">
        <f>SUMIFS('Volume Forecast'!$E$5:$E$212,'Volume Forecast'!$B$5:$B$212,$B$4,'Volume Forecast'!$A$5:$A$212,$A18)</f>
        <v>296</v>
      </c>
      <c r="C18" s="14">
        <f>SUMIFS('Volume Forecast'!$G$5:$G$212,'Volume Forecast'!$B$5:$B$212,$B$4,'Volume Forecast'!$A$5:$A$212,$A18)</f>
        <v>303.3</v>
      </c>
      <c r="D18" s="15">
        <f>SUMIFS('Volume Forecast'!$J$5:$J$212,'Volume Forecast'!$B$5:$B$212,$B$4,'Volume Forecast'!$A$5:$A$212,$A18)</f>
        <v>15</v>
      </c>
      <c r="E18" s="15">
        <f>INDEX('Pool Points'!$I:$I,MATCH($B$4,'Pool Points'!$A:$A,0))</f>
        <v>18</v>
      </c>
      <c r="F18" s="16">
        <f t="shared" si="0"/>
        <v>-3</v>
      </c>
      <c r="G18" t="str">
        <f>IF(D18&gt;E18,"Over capacity",IF(SUMIFS('Volume Forecast'!$K$5:$K$212,'Volume Forecast'!$B$5:$B$212,$B$4,'Volume Forecast'!$A$5:$A$212,$A18)&gt;E18,"At risk","Covered"))</f>
        <v>Covered</v>
      </c>
    </row>
    <row r="19" spans="1:9" x14ac:dyDescent="0.35">
      <c r="A19" s="13">
        <v>46277</v>
      </c>
      <c r="B19" s="14">
        <f>SUMIFS('Volume Forecast'!$E$5:$E$212,'Volume Forecast'!$B$5:$B$212,$B$4,'Volume Forecast'!$A$5:$A$212,$A19)</f>
        <v>287.89999999999998</v>
      </c>
      <c r="C19" s="14">
        <f>SUMIFS('Volume Forecast'!$G$5:$G$212,'Volume Forecast'!$B$5:$B$212,$B$4,'Volume Forecast'!$A$5:$A$212,$A19)</f>
        <v>295</v>
      </c>
      <c r="D19" s="15">
        <f>SUMIFS('Volume Forecast'!$J$5:$J$212,'Volume Forecast'!$B$5:$B$212,$B$4,'Volume Forecast'!$A$5:$A$212,$A19)</f>
        <v>14</v>
      </c>
      <c r="E19" s="15">
        <f>INDEX('Pool Points'!$I:$I,MATCH($B$4,'Pool Points'!$A:$A,0))</f>
        <v>18</v>
      </c>
      <c r="F19" s="16">
        <f t="shared" si="0"/>
        <v>-4</v>
      </c>
      <c r="G19" t="str">
        <f>IF(D19&gt;E19,"Over capacity",IF(SUMIFS('Volume Forecast'!$K$5:$K$212,'Volume Forecast'!$B$5:$B$212,$B$4,'Volume Forecast'!$A$5:$A$212,$A19)&gt;E19,"At risk","Covered"))</f>
        <v>Covered</v>
      </c>
    </row>
    <row r="20" spans="1:9" x14ac:dyDescent="0.35">
      <c r="A20" s="13">
        <v>46284</v>
      </c>
      <c r="B20" s="14">
        <f>SUMIFS('Volume Forecast'!$E$5:$E$212,'Volume Forecast'!$B$5:$B$212,$B$4,'Volume Forecast'!$A$5:$A$212,$A20)</f>
        <v>305.39999999999998</v>
      </c>
      <c r="C20" s="14">
        <f>SUMIFS('Volume Forecast'!$G$5:$G$212,'Volume Forecast'!$B$5:$B$212,$B$4,'Volume Forecast'!$A$5:$A$212,$A20)</f>
        <v>312.89999999999998</v>
      </c>
      <c r="D20" s="15">
        <f>SUMIFS('Volume Forecast'!$J$5:$J$212,'Volume Forecast'!$B$5:$B$212,$B$4,'Volume Forecast'!$A$5:$A$212,$A20)</f>
        <v>15</v>
      </c>
      <c r="E20" s="15">
        <f>INDEX('Pool Points'!$I:$I,MATCH($B$4,'Pool Points'!$A:$A,0))</f>
        <v>18</v>
      </c>
      <c r="F20" s="16">
        <f t="shared" si="0"/>
        <v>-3</v>
      </c>
      <c r="G20" t="str">
        <f>IF(D20&gt;E20,"Over capacity",IF(SUMIFS('Volume Forecast'!$K$5:$K$212,'Volume Forecast'!$B$5:$B$212,$B$4,'Volume Forecast'!$A$5:$A$212,$A20)&gt;E20,"At risk","Covered"))</f>
        <v>Covered</v>
      </c>
    </row>
    <row r="21" spans="1:9" x14ac:dyDescent="0.35">
      <c r="A21" s="13">
        <v>46291</v>
      </c>
      <c r="B21" s="14">
        <f>SUMIFS('Volume Forecast'!$E$5:$E$212,'Volume Forecast'!$B$5:$B$212,$B$4,'Volume Forecast'!$A$5:$A$212,$A21)</f>
        <v>303.5</v>
      </c>
      <c r="C21" s="14">
        <f>SUMIFS('Volume Forecast'!$G$5:$G$212,'Volume Forecast'!$B$5:$B$212,$B$4,'Volume Forecast'!$A$5:$A$212,$A21)</f>
        <v>311</v>
      </c>
      <c r="D21" s="15">
        <f>SUMIFS('Volume Forecast'!$J$5:$J$212,'Volume Forecast'!$B$5:$B$212,$B$4,'Volume Forecast'!$A$5:$A$212,$A21)</f>
        <v>15</v>
      </c>
      <c r="E21" s="15">
        <f>INDEX('Pool Points'!$I:$I,MATCH($B$4,'Pool Points'!$A:$A,0))</f>
        <v>18</v>
      </c>
      <c r="F21" s="16">
        <f t="shared" si="0"/>
        <v>-3</v>
      </c>
      <c r="G21" t="str">
        <f>IF(D21&gt;E21,"Over capacity",IF(SUMIFS('Volume Forecast'!$K$5:$K$212,'Volume Forecast'!$B$5:$B$212,$B$4,'Volume Forecast'!$A$5:$A$212,$A21)&gt;E21,"At risk","Covered"))</f>
        <v>Covered</v>
      </c>
    </row>
    <row r="22" spans="1:9" x14ac:dyDescent="0.35">
      <c r="A22" s="13">
        <v>46298</v>
      </c>
      <c r="B22" s="14">
        <f>SUMIFS('Volume Forecast'!$E$5:$E$212,'Volume Forecast'!$B$5:$B$212,$B$4,'Volume Forecast'!$A$5:$A$212,$A22)</f>
        <v>298.5</v>
      </c>
      <c r="C22" s="14">
        <f>SUMIFS('Volume Forecast'!$G$5:$G$212,'Volume Forecast'!$B$5:$B$212,$B$4,'Volume Forecast'!$A$5:$A$212,$A22)</f>
        <v>305.8</v>
      </c>
      <c r="D22" s="15">
        <f>SUMIFS('Volume Forecast'!$J$5:$J$212,'Volume Forecast'!$B$5:$B$212,$B$4,'Volume Forecast'!$A$5:$A$212,$A22)</f>
        <v>15</v>
      </c>
      <c r="E22" s="15">
        <f>INDEX('Pool Points'!$I:$I,MATCH($B$4,'Pool Points'!$A:$A,0))</f>
        <v>18</v>
      </c>
      <c r="F22" s="16">
        <f t="shared" si="0"/>
        <v>-3</v>
      </c>
      <c r="G22" t="str">
        <f>IF(D22&gt;E22,"Over capacity",IF(SUMIFS('Volume Forecast'!$K$5:$K$212,'Volume Forecast'!$B$5:$B$212,$B$4,'Volume Forecast'!$A$5:$A$212,$A22)&gt;E22,"At risk","Covered"))</f>
        <v>Covered</v>
      </c>
    </row>
    <row r="23" spans="1:9" x14ac:dyDescent="0.35">
      <c r="A23" s="13">
        <v>46305</v>
      </c>
      <c r="B23" s="14">
        <f>SUMIFS('Volume Forecast'!$E$5:$E$212,'Volume Forecast'!$B$5:$B$212,$B$4,'Volume Forecast'!$A$5:$A$212,$A23)</f>
        <v>311.10000000000002</v>
      </c>
      <c r="C23" s="14">
        <f>SUMIFS('Volume Forecast'!$G$5:$G$212,'Volume Forecast'!$B$5:$B$212,$B$4,'Volume Forecast'!$A$5:$A$212,$A23)</f>
        <v>318.8</v>
      </c>
      <c r="D23" s="15">
        <f>SUMIFS('Volume Forecast'!$J$5:$J$212,'Volume Forecast'!$B$5:$B$212,$B$4,'Volume Forecast'!$A$5:$A$212,$A23)</f>
        <v>15</v>
      </c>
      <c r="E23" s="15">
        <f>INDEX('Pool Points'!$I:$I,MATCH($B$4,'Pool Points'!$A:$A,0))</f>
        <v>18</v>
      </c>
      <c r="F23" s="16">
        <f t="shared" si="0"/>
        <v>-3</v>
      </c>
      <c r="G23" t="str">
        <f>IF(D23&gt;E23,"Over capacity",IF(SUMIFS('Volume Forecast'!$K$5:$K$212,'Volume Forecast'!$B$5:$B$212,$B$4,'Volume Forecast'!$A$5:$A$212,$A23)&gt;E23,"At risk","Covered"))</f>
        <v>Covered</v>
      </c>
    </row>
    <row r="24" spans="1:9" x14ac:dyDescent="0.35">
      <c r="A24" s="13">
        <v>46312</v>
      </c>
      <c r="B24" s="14">
        <f>SUMIFS('Volume Forecast'!$E$5:$E$212,'Volume Forecast'!$B$5:$B$212,$B$4,'Volume Forecast'!$A$5:$A$212,$A24)</f>
        <v>319.3</v>
      </c>
      <c r="C24" s="14">
        <f>SUMIFS('Volume Forecast'!$G$5:$G$212,'Volume Forecast'!$B$5:$B$212,$B$4,'Volume Forecast'!$A$5:$A$212,$A24)</f>
        <v>327.10000000000002</v>
      </c>
      <c r="D24" s="15">
        <f>SUMIFS('Volume Forecast'!$J$5:$J$212,'Volume Forecast'!$B$5:$B$212,$B$4,'Volume Forecast'!$A$5:$A$212,$A24)</f>
        <v>16</v>
      </c>
      <c r="E24" s="15">
        <f>INDEX('Pool Points'!$I:$I,MATCH($B$4,'Pool Points'!$A:$A,0))</f>
        <v>18</v>
      </c>
      <c r="F24" s="16">
        <f t="shared" si="0"/>
        <v>-2</v>
      </c>
      <c r="G24" t="str">
        <f>IF(D24&gt;E24,"Over capacity",IF(SUMIFS('Volume Forecast'!$K$5:$K$212,'Volume Forecast'!$B$5:$B$212,$B$4,'Volume Forecast'!$A$5:$A$212,$A24)&gt;E24,"At risk","Covered"))</f>
        <v>Covered</v>
      </c>
    </row>
    <row r="25" spans="1:9" x14ac:dyDescent="0.35">
      <c r="A25" s="13">
        <v>46319</v>
      </c>
      <c r="B25" s="14">
        <f>SUMIFS('Volume Forecast'!$E$5:$E$212,'Volume Forecast'!$B$5:$B$212,$B$4,'Volume Forecast'!$A$5:$A$212,$A25)</f>
        <v>340.9</v>
      </c>
      <c r="C25" s="14">
        <f>SUMIFS('Volume Forecast'!$G$5:$G$212,'Volume Forecast'!$B$5:$B$212,$B$4,'Volume Forecast'!$A$5:$A$212,$A25)</f>
        <v>349.3</v>
      </c>
      <c r="D25" s="15">
        <f>SUMIFS('Volume Forecast'!$J$5:$J$212,'Volume Forecast'!$B$5:$B$212,$B$4,'Volume Forecast'!$A$5:$A$212,$A25)</f>
        <v>17</v>
      </c>
      <c r="E25" s="15">
        <f>INDEX('Pool Points'!$I:$I,MATCH($B$4,'Pool Points'!$A:$A,0))</f>
        <v>18</v>
      </c>
      <c r="F25" s="16">
        <f t="shared" si="0"/>
        <v>-1</v>
      </c>
      <c r="G25" t="str">
        <f>IF(D25&gt;E25,"Over capacity",IF(SUMIFS('Volume Forecast'!$K$5:$K$212,'Volume Forecast'!$B$5:$B$212,$B$4,'Volume Forecast'!$A$5:$A$212,$A25)&gt;E25,"At risk","Covered"))</f>
        <v>Covered</v>
      </c>
    </row>
    <row r="26" spans="1:9" x14ac:dyDescent="0.35">
      <c r="A26" s="13">
        <v>46326</v>
      </c>
      <c r="B26" s="14">
        <f>SUMIFS('Volume Forecast'!$E$5:$E$212,'Volume Forecast'!$B$5:$B$212,$B$4,'Volume Forecast'!$A$5:$A$212,$A26)</f>
        <v>358.1</v>
      </c>
      <c r="C26" s="14">
        <f>SUMIFS('Volume Forecast'!$G$5:$G$212,'Volume Forecast'!$B$5:$B$212,$B$4,'Volume Forecast'!$A$5:$A$212,$A26)</f>
        <v>366.9</v>
      </c>
      <c r="D26" s="15">
        <f>SUMIFS('Volume Forecast'!$J$5:$J$212,'Volume Forecast'!$B$5:$B$212,$B$4,'Volume Forecast'!$A$5:$A$212,$A26)</f>
        <v>18</v>
      </c>
      <c r="E26" s="15">
        <f>INDEX('Pool Points'!$I:$I,MATCH($B$4,'Pool Points'!$A:$A,0))</f>
        <v>18</v>
      </c>
      <c r="F26" s="16">
        <f t="shared" si="0"/>
        <v>0</v>
      </c>
      <c r="G26" t="str">
        <f>IF(D26&gt;E26,"Over capacity",IF(SUMIFS('Volume Forecast'!$K$5:$K$212,'Volume Forecast'!$B$5:$B$212,$B$4,'Volume Forecast'!$A$5:$A$212,$A26)&gt;E26,"At risk","Covered"))</f>
        <v>Covered</v>
      </c>
    </row>
    <row r="27" spans="1:9" ht="15.5" x14ac:dyDescent="0.35">
      <c r="A27" s="13">
        <v>46333</v>
      </c>
      <c r="B27" s="14">
        <f>SUMIFS('Volume Forecast'!$E$5:$E$212,'Volume Forecast'!$B$5:$B$212,$B$4,'Volume Forecast'!$A$5:$A$212,$A27)</f>
        <v>364.1</v>
      </c>
      <c r="C27" s="14">
        <f>SUMIFS('Volume Forecast'!$G$5:$G$212,'Volume Forecast'!$B$5:$B$212,$B$4,'Volume Forecast'!$A$5:$A$212,$A27)</f>
        <v>373.1</v>
      </c>
      <c r="D27" s="15">
        <f>SUMIFS('Volume Forecast'!$J$5:$J$212,'Volume Forecast'!$B$5:$B$212,$B$4,'Volume Forecast'!$A$5:$A$212,$A27)</f>
        <v>18</v>
      </c>
      <c r="E27" s="15">
        <f>INDEX('Pool Points'!$I:$I,MATCH($B$4,'Pool Points'!$A:$A,0))</f>
        <v>18</v>
      </c>
      <c r="F27" s="16">
        <f t="shared" si="0"/>
        <v>0</v>
      </c>
      <c r="G27" t="str">
        <f>IF(D27&gt;E27,"Over capacity",IF(SUMIFS('Volume Forecast'!$K$5:$K$212,'Volume Forecast'!$B$5:$B$212,$B$4,'Volume Forecast'!$A$5:$A$212,$A27)&gt;E27,"At risk","Covered"))</f>
        <v>Covered</v>
      </c>
      <c r="I27" s="11" t="s">
        <v>23</v>
      </c>
    </row>
    <row r="28" spans="1:9" x14ac:dyDescent="0.35">
      <c r="A28" s="13">
        <v>46340</v>
      </c>
      <c r="B28" s="14">
        <f>SUMIFS('Volume Forecast'!$E$5:$E$212,'Volume Forecast'!$B$5:$B$212,$B$4,'Volume Forecast'!$A$5:$A$212,$A28)</f>
        <v>398.8</v>
      </c>
      <c r="C28" s="14">
        <f>SUMIFS('Volume Forecast'!$G$5:$G$212,'Volume Forecast'!$B$5:$B$212,$B$4,'Volume Forecast'!$A$5:$A$212,$A28)</f>
        <v>408.7</v>
      </c>
      <c r="D28" s="15">
        <f>SUMIFS('Volume Forecast'!$J$5:$J$212,'Volume Forecast'!$B$5:$B$212,$B$4,'Volume Forecast'!$A$5:$A$212,$A28)</f>
        <v>20</v>
      </c>
      <c r="E28" s="15">
        <f>INDEX('Pool Points'!$I:$I,MATCH($B$4,'Pool Points'!$A:$A,0))</f>
        <v>18</v>
      </c>
      <c r="F28" s="16">
        <f t="shared" si="0"/>
        <v>2</v>
      </c>
      <c r="G28" t="str">
        <f>IF(D28&gt;E28,"Over capacity",IF(SUMIFS('Volume Forecast'!$K$5:$K$212,'Volume Forecast'!$B$5:$B$212,$B$4,'Volume Forecast'!$A$5:$A$212,$A28)&gt;E28,"At risk","Covered"))</f>
        <v>Over capacity</v>
      </c>
    </row>
    <row r="29" spans="1:9" x14ac:dyDescent="0.35">
      <c r="A29" s="13">
        <v>46347</v>
      </c>
      <c r="B29" s="14">
        <f>SUMIFS('Volume Forecast'!$E$5:$E$212,'Volume Forecast'!$B$5:$B$212,$B$4,'Volume Forecast'!$A$5:$A$212,$A29)</f>
        <v>415.7</v>
      </c>
      <c r="C29" s="14">
        <f>SUMIFS('Volume Forecast'!$G$5:$G$212,'Volume Forecast'!$B$5:$B$212,$B$4,'Volume Forecast'!$A$5:$A$212,$A29)</f>
        <v>426</v>
      </c>
      <c r="D29" s="15">
        <f>SUMIFS('Volume Forecast'!$J$5:$J$212,'Volume Forecast'!$B$5:$B$212,$B$4,'Volume Forecast'!$A$5:$A$212,$A29)</f>
        <v>20</v>
      </c>
      <c r="E29" s="15">
        <f>INDEX('Pool Points'!$I:$I,MATCH($B$4,'Pool Points'!$A:$A,0))</f>
        <v>18</v>
      </c>
      <c r="F29" s="16">
        <f t="shared" si="0"/>
        <v>2</v>
      </c>
      <c r="G29" t="str">
        <f>IF(D29&gt;E29,"Over capacity",IF(SUMIFS('Volume Forecast'!$K$5:$K$212,'Volume Forecast'!$B$5:$B$212,$B$4,'Volume Forecast'!$A$5:$A$212,$A29)&gt;E29,"At risk","Covered"))</f>
        <v>Over capacity</v>
      </c>
    </row>
    <row r="30" spans="1:9" x14ac:dyDescent="0.35">
      <c r="A30" s="13">
        <v>46354</v>
      </c>
      <c r="B30" s="14">
        <f>SUMIFS('Volume Forecast'!$E$5:$E$212,'Volume Forecast'!$B$5:$B$212,$B$4,'Volume Forecast'!$A$5:$A$212,$A30)</f>
        <v>445.8</v>
      </c>
      <c r="C30" s="14">
        <f>SUMIFS('Volume Forecast'!$G$5:$G$212,'Volume Forecast'!$B$5:$B$212,$B$4,'Volume Forecast'!$A$5:$A$212,$A30)</f>
        <v>456.7</v>
      </c>
      <c r="D30" s="15">
        <f>SUMIFS('Volume Forecast'!$J$5:$J$212,'Volume Forecast'!$B$5:$B$212,$B$4,'Volume Forecast'!$A$5:$A$212,$A30)</f>
        <v>22</v>
      </c>
      <c r="E30" s="15">
        <f>INDEX('Pool Points'!$I:$I,MATCH($B$4,'Pool Points'!$A:$A,0))</f>
        <v>18</v>
      </c>
      <c r="F30" s="16">
        <f t="shared" si="0"/>
        <v>4</v>
      </c>
      <c r="G30" t="str">
        <f>IF(D30&gt;E30,"Over capacity",IF(SUMIFS('Volume Forecast'!$K$5:$K$212,'Volume Forecast'!$B$5:$B$212,$B$4,'Volume Forecast'!$A$5:$A$212,$A30)&gt;E30,"At risk","Covered"))</f>
        <v>Over capacity</v>
      </c>
    </row>
    <row r="31" spans="1:9" x14ac:dyDescent="0.35">
      <c r="A31" s="13">
        <v>46361</v>
      </c>
      <c r="B31" s="14">
        <f>SUMIFS('Volume Forecast'!$E$5:$E$212,'Volume Forecast'!$B$5:$B$212,$B$4,'Volume Forecast'!$A$5:$A$212,$A31)</f>
        <v>479.2</v>
      </c>
      <c r="C31" s="14">
        <f>SUMIFS('Volume Forecast'!$G$5:$G$212,'Volume Forecast'!$B$5:$B$212,$B$4,'Volume Forecast'!$A$5:$A$212,$A31)</f>
        <v>491.1</v>
      </c>
      <c r="D31" s="15">
        <f>SUMIFS('Volume Forecast'!$J$5:$J$212,'Volume Forecast'!$B$5:$B$212,$B$4,'Volume Forecast'!$A$5:$A$212,$A31)</f>
        <v>23</v>
      </c>
      <c r="E31" s="15">
        <f>INDEX('Pool Points'!$I:$I,MATCH($B$4,'Pool Points'!$A:$A,0))</f>
        <v>18</v>
      </c>
      <c r="F31" s="16">
        <f t="shared" si="0"/>
        <v>5</v>
      </c>
      <c r="G31" t="str">
        <f>IF(D31&gt;E31,"Over capacity",IF(SUMIFS('Volume Forecast'!$K$5:$K$212,'Volume Forecast'!$B$5:$B$212,$B$4,'Volume Forecast'!$A$5:$A$212,$A31)&gt;E31,"At risk","Covered"))</f>
        <v>Over capacity</v>
      </c>
    </row>
    <row r="32" spans="1:9" x14ac:dyDescent="0.35">
      <c r="A32" s="13">
        <v>46368</v>
      </c>
      <c r="B32" s="14">
        <f>SUMIFS('Volume Forecast'!$E$5:$E$212,'Volume Forecast'!$B$5:$B$212,$B$4,'Volume Forecast'!$A$5:$A$212,$A32)</f>
        <v>479.6</v>
      </c>
      <c r="C32" s="14">
        <f>SUMIFS('Volume Forecast'!$G$5:$G$212,'Volume Forecast'!$B$5:$B$212,$B$4,'Volume Forecast'!$A$5:$A$212,$A32)</f>
        <v>491.5</v>
      </c>
      <c r="D32" s="15">
        <f>SUMIFS('Volume Forecast'!$J$5:$J$212,'Volume Forecast'!$B$5:$B$212,$B$4,'Volume Forecast'!$A$5:$A$212,$A32)</f>
        <v>23</v>
      </c>
      <c r="E32" s="15">
        <f>INDEX('Pool Points'!$I:$I,MATCH($B$4,'Pool Points'!$A:$A,0))</f>
        <v>18</v>
      </c>
      <c r="F32" s="16">
        <f t="shared" si="0"/>
        <v>5</v>
      </c>
      <c r="G32" t="str">
        <f>IF(D32&gt;E32,"Over capacity",IF(SUMIFS('Volume Forecast'!$K$5:$K$212,'Volume Forecast'!$B$5:$B$212,$B$4,'Volume Forecast'!$A$5:$A$212,$A32)&gt;E32,"At risk","Covered"))</f>
        <v>Over capacity</v>
      </c>
    </row>
    <row r="33" spans="1:7" x14ac:dyDescent="0.35">
      <c r="A33" s="13">
        <v>46375</v>
      </c>
      <c r="B33" s="14">
        <f>SUMIFS('Volume Forecast'!$E$5:$E$212,'Volume Forecast'!$B$5:$B$212,$B$4,'Volume Forecast'!$A$5:$A$212,$A33)</f>
        <v>422.1</v>
      </c>
      <c r="C33" s="14">
        <f>SUMIFS('Volume Forecast'!$G$5:$G$212,'Volume Forecast'!$B$5:$B$212,$B$4,'Volume Forecast'!$A$5:$A$212,$A33)</f>
        <v>432.5</v>
      </c>
      <c r="D33" s="15">
        <f>SUMIFS('Volume Forecast'!$J$5:$J$212,'Volume Forecast'!$B$5:$B$212,$B$4,'Volume Forecast'!$A$5:$A$212,$A33)</f>
        <v>21</v>
      </c>
      <c r="E33" s="15">
        <f>INDEX('Pool Points'!$I:$I,MATCH($B$4,'Pool Points'!$A:$A,0))</f>
        <v>18</v>
      </c>
      <c r="F33" s="16">
        <f t="shared" si="0"/>
        <v>3</v>
      </c>
      <c r="G33" t="str">
        <f>IF(D33&gt;E33,"Over capacity",IF(SUMIFS('Volume Forecast'!$K$5:$K$212,'Volume Forecast'!$B$5:$B$212,$B$4,'Volume Forecast'!$A$5:$A$212,$A33)&gt;E33,"At risk","Covered"))</f>
        <v>Over capacity</v>
      </c>
    </row>
    <row r="34" spans="1:7" x14ac:dyDescent="0.35">
      <c r="A34" s="13">
        <v>46382</v>
      </c>
      <c r="B34" s="14">
        <f>SUMIFS('Volume Forecast'!$E$5:$E$212,'Volume Forecast'!$B$5:$B$212,$B$4,'Volume Forecast'!$A$5:$A$212,$A34)</f>
        <v>366.6</v>
      </c>
      <c r="C34" s="14">
        <f>SUMIFS('Volume Forecast'!$G$5:$G$212,'Volume Forecast'!$B$5:$B$212,$B$4,'Volume Forecast'!$A$5:$A$212,$A34)</f>
        <v>375.6</v>
      </c>
      <c r="D34" s="15">
        <f>SUMIFS('Volume Forecast'!$J$5:$J$212,'Volume Forecast'!$B$5:$B$212,$B$4,'Volume Forecast'!$A$5:$A$212,$A34)</f>
        <v>18</v>
      </c>
      <c r="E34" s="15">
        <f>INDEX('Pool Points'!$I:$I,MATCH($B$4,'Pool Points'!$A:$A,0))</f>
        <v>18</v>
      </c>
      <c r="F34" s="16">
        <f t="shared" si="0"/>
        <v>0</v>
      </c>
      <c r="G34" t="str">
        <f>IF(D34&gt;E34,"Over capacity",IF(SUMIFS('Volume Forecast'!$K$5:$K$212,'Volume Forecast'!$B$5:$B$212,$B$4,'Volume Forecast'!$A$5:$A$212,$A34)&gt;E34,"At risk","Covered"))</f>
        <v>Covered</v>
      </c>
    </row>
    <row r="35" spans="1:7" x14ac:dyDescent="0.35">
      <c r="A35" s="13">
        <v>46389</v>
      </c>
      <c r="B35" s="14">
        <f>SUMIFS('Volume Forecast'!$E$5:$E$212,'Volume Forecast'!$B$5:$B$212,$B$4,'Volume Forecast'!$A$5:$A$212,$A35)</f>
        <v>310.60000000000002</v>
      </c>
      <c r="C35" s="14">
        <f>SUMIFS('Volume Forecast'!$G$5:$G$212,'Volume Forecast'!$B$5:$B$212,$B$4,'Volume Forecast'!$A$5:$A$212,$A35)</f>
        <v>318.2</v>
      </c>
      <c r="D35" s="15">
        <f>SUMIFS('Volume Forecast'!$J$5:$J$212,'Volume Forecast'!$B$5:$B$212,$B$4,'Volume Forecast'!$A$5:$A$212,$A35)</f>
        <v>15</v>
      </c>
      <c r="E35" s="15">
        <f>INDEX('Pool Points'!$I:$I,MATCH($B$4,'Pool Points'!$A:$A,0))</f>
        <v>18</v>
      </c>
      <c r="F35" s="16">
        <f t="shared" si="0"/>
        <v>-3</v>
      </c>
      <c r="G35" t="str">
        <f>IF(D35&gt;E35,"Over capacity",IF(SUMIFS('Volume Forecast'!$K$5:$K$212,'Volume Forecast'!$B$5:$B$212,$B$4,'Volume Forecast'!$A$5:$A$212,$A35)&gt;E35,"At risk","Covered"))</f>
        <v>Covered</v>
      </c>
    </row>
    <row r="36" spans="1:7" x14ac:dyDescent="0.35">
      <c r="A36" s="13">
        <v>46396</v>
      </c>
      <c r="B36" s="14">
        <f>SUMIFS('Volume Forecast'!$E$5:$E$212,'Volume Forecast'!$B$5:$B$212,$B$4,'Volume Forecast'!$A$5:$A$212,$A36)</f>
        <v>250.6</v>
      </c>
      <c r="C36" s="14">
        <f>SUMIFS('Volume Forecast'!$G$5:$G$212,'Volume Forecast'!$B$5:$B$212,$B$4,'Volume Forecast'!$A$5:$A$212,$A36)</f>
        <v>256.8</v>
      </c>
      <c r="D36" s="15">
        <f>SUMIFS('Volume Forecast'!$J$5:$J$212,'Volume Forecast'!$B$5:$B$212,$B$4,'Volume Forecast'!$A$5:$A$212,$A36)</f>
        <v>12</v>
      </c>
      <c r="E36" s="15">
        <f>INDEX('Pool Points'!$I:$I,MATCH($B$4,'Pool Points'!$A:$A,0))</f>
        <v>18</v>
      </c>
      <c r="F36" s="16">
        <f t="shared" si="0"/>
        <v>-6</v>
      </c>
      <c r="G36" t="str">
        <f>IF(D36&gt;E36,"Over capacity",IF(SUMIFS('Volume Forecast'!$K$5:$K$212,'Volume Forecast'!$B$5:$B$212,$B$4,'Volume Forecast'!$A$5:$A$212,$A36)&gt;E36,"At risk","Covered"))</f>
        <v>Covered</v>
      </c>
    </row>
    <row r="37" spans="1:7" x14ac:dyDescent="0.35">
      <c r="A37" s="13">
        <v>46403</v>
      </c>
      <c r="B37" s="14">
        <f>SUMIFS('Volume Forecast'!$E$5:$E$212,'Volume Forecast'!$B$5:$B$212,$B$4,'Volume Forecast'!$A$5:$A$212,$A37)</f>
        <v>250.6</v>
      </c>
      <c r="C37" s="14">
        <f>SUMIFS('Volume Forecast'!$G$5:$G$212,'Volume Forecast'!$B$5:$B$212,$B$4,'Volume Forecast'!$A$5:$A$212,$A37)</f>
        <v>256.8</v>
      </c>
      <c r="D37" s="15">
        <f>SUMIFS('Volume Forecast'!$J$5:$J$212,'Volume Forecast'!$B$5:$B$212,$B$4,'Volume Forecast'!$A$5:$A$212,$A37)</f>
        <v>12</v>
      </c>
      <c r="E37" s="15">
        <f>INDEX('Pool Points'!$I:$I,MATCH($B$4,'Pool Points'!$A:$A,0))</f>
        <v>18</v>
      </c>
      <c r="F37" s="16">
        <f t="shared" si="0"/>
        <v>-6</v>
      </c>
      <c r="G37" t="str">
        <f>IF(D37&gt;E37,"Over capacity",IF(SUMIFS('Volume Forecast'!$K$5:$K$212,'Volume Forecast'!$B$5:$B$212,$B$4,'Volume Forecast'!$A$5:$A$212,$A37)&gt;E37,"At risk","Covered"))</f>
        <v>Covered</v>
      </c>
    </row>
    <row r="38" spans="1:7" x14ac:dyDescent="0.35">
      <c r="A38" s="13">
        <v>46410</v>
      </c>
      <c r="B38" s="14">
        <f>SUMIFS('Volume Forecast'!$E$5:$E$212,'Volume Forecast'!$B$5:$B$212,$B$4,'Volume Forecast'!$A$5:$A$212,$A38)</f>
        <v>262.3</v>
      </c>
      <c r="C38" s="14">
        <f>SUMIFS('Volume Forecast'!$G$5:$G$212,'Volume Forecast'!$B$5:$B$212,$B$4,'Volume Forecast'!$A$5:$A$212,$A38)</f>
        <v>268.8</v>
      </c>
      <c r="D38" s="15">
        <f>SUMIFS('Volume Forecast'!$J$5:$J$212,'Volume Forecast'!$B$5:$B$212,$B$4,'Volume Forecast'!$A$5:$A$212,$A38)</f>
        <v>13</v>
      </c>
      <c r="E38" s="15">
        <f>INDEX('Pool Points'!$I:$I,MATCH($B$4,'Pool Points'!$A:$A,0))</f>
        <v>18</v>
      </c>
      <c r="F38" s="16">
        <f t="shared" si="0"/>
        <v>-5</v>
      </c>
      <c r="G38" t="str">
        <f>IF(D38&gt;E38,"Over capacity",IF(SUMIFS('Volume Forecast'!$K$5:$K$212,'Volume Forecast'!$B$5:$B$212,$B$4,'Volume Forecast'!$A$5:$A$212,$A38)&gt;E38,"At risk","Covered"))</f>
        <v>Covered</v>
      </c>
    </row>
  </sheetData>
  <conditionalFormatting sqref="C9">
    <cfRule type="expression" dxfId="27" priority="1">
      <formula>C9&lt;TargetOnTime</formula>
    </cfRule>
  </conditionalFormatting>
  <conditionalFormatting sqref="D9">
    <cfRule type="expression" dxfId="26" priority="2">
      <formula>D9&lt;TargetFill</formula>
    </cfRule>
  </conditionalFormatting>
  <conditionalFormatting sqref="G13:G38">
    <cfRule type="cellIs" dxfId="25" priority="3" operator="equal">
      <formula>"Over capacity"</formula>
    </cfRule>
    <cfRule type="cellIs" dxfId="24" priority="4" operator="equal">
      <formula>"At risk"</formula>
    </cfRule>
    <cfRule type="cellIs" dxfId="23" priority="5" operator="equal">
      <formula>"Covered"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'Pool Points'!$A$5:$A$12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78D6"/>
  </sheetPr>
  <dimension ref="A1:N20"/>
  <sheetViews>
    <sheetView workbookViewId="0"/>
  </sheetViews>
  <sheetFormatPr defaultRowHeight="14.5" x14ac:dyDescent="0.35"/>
  <cols>
    <col min="1" max="1" width="11" customWidth="1"/>
    <col min="2" max="2" width="12" customWidth="1"/>
    <col min="3" max="3" width="10" customWidth="1"/>
    <col min="4" max="14" width="13" customWidth="1"/>
  </cols>
  <sheetData>
    <row r="1" spans="1:14" ht="21" x14ac:dyDescent="0.5">
      <c r="A1" s="1" t="s">
        <v>60</v>
      </c>
    </row>
    <row r="2" spans="1:14" x14ac:dyDescent="0.35">
      <c r="A2" s="2" t="s">
        <v>61</v>
      </c>
    </row>
    <row r="3" spans="1:14" x14ac:dyDescent="0.35">
      <c r="A3" t="s">
        <v>62</v>
      </c>
      <c r="B3" t="str">
        <f>"On-time "&amp;TEXT(TargetOnTime,"0%")&amp;"   Fill "&amp;TEXT(TargetFill,"0%")&amp;"   Cost alert "&amp;TEXT(CostIndexAlert,"0.00")&amp;"x network"</f>
        <v>On-time 95%   Fill 75%   Cost alert 1.10x network</v>
      </c>
    </row>
    <row r="5" spans="1:14" ht="30" customHeight="1" x14ac:dyDescent="0.35">
      <c r="A5" s="12" t="s">
        <v>2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63</v>
      </c>
      <c r="G5" s="12" t="s">
        <v>64</v>
      </c>
      <c r="H5" s="12" t="s">
        <v>65</v>
      </c>
      <c r="I5" s="12" t="s">
        <v>66</v>
      </c>
      <c r="J5" s="12" t="s">
        <v>10</v>
      </c>
      <c r="K5" s="12" t="s">
        <v>67</v>
      </c>
      <c r="L5" s="12" t="s">
        <v>68</v>
      </c>
      <c r="M5" s="12" t="s">
        <v>69</v>
      </c>
      <c r="N5" s="12" t="s">
        <v>11</v>
      </c>
    </row>
    <row r="6" spans="1:14" x14ac:dyDescent="0.35">
      <c r="A6" t="s">
        <v>70</v>
      </c>
      <c r="B6" t="s">
        <v>71</v>
      </c>
      <c r="C6" t="s">
        <v>72</v>
      </c>
      <c r="D6" s="15">
        <v>241.80769230769229</v>
      </c>
      <c r="E6" s="17">
        <v>7.5344223039425229E-2</v>
      </c>
      <c r="F6" s="17">
        <v>0.95274725274725269</v>
      </c>
      <c r="G6" t="str">
        <f t="shared" ref="G6:G13" si="0">IF(F6&gt;=TargetOnTime,"Meets","Below target")</f>
        <v>Meets</v>
      </c>
      <c r="H6" s="17">
        <v>0.73834409864944217</v>
      </c>
      <c r="I6" t="str">
        <f t="shared" ref="I6:I13" si="1">IF(H6&gt;=TargetFill,"Meets","Below target")</f>
        <v>Below target</v>
      </c>
      <c r="J6" s="18">
        <v>80.27809368538253</v>
      </c>
      <c r="K6" s="19">
        <v>0.97794605075712548</v>
      </c>
      <c r="L6" t="str">
        <f t="shared" ref="L6:L13" si="2">IF(K6&gt;CostIndexAlert,"High cost","In range")</f>
        <v>In range</v>
      </c>
      <c r="M6" s="14">
        <v>9.6730769230769234</v>
      </c>
      <c r="N6" s="17">
        <v>3.8798993564379908E-2</v>
      </c>
    </row>
    <row r="7" spans="1:14" x14ac:dyDescent="0.35">
      <c r="A7" t="s">
        <v>73</v>
      </c>
      <c r="B7" t="s">
        <v>74</v>
      </c>
      <c r="C7" t="s">
        <v>72</v>
      </c>
      <c r="D7" s="15">
        <v>239.46153846153851</v>
      </c>
      <c r="E7" s="17">
        <v>6.6552462526766609E-2</v>
      </c>
      <c r="F7" s="17">
        <v>0.96064400715563503</v>
      </c>
      <c r="G7" t="str">
        <f t="shared" si="0"/>
        <v>Meets</v>
      </c>
      <c r="H7" s="17">
        <v>0.79160839160839158</v>
      </c>
      <c r="I7" t="str">
        <f t="shared" si="1"/>
        <v>Meets</v>
      </c>
      <c r="J7" s="18">
        <v>84.089744619338262</v>
      </c>
      <c r="K7" s="19">
        <v>1.024379502357702</v>
      </c>
      <c r="L7" t="str">
        <f t="shared" si="2"/>
        <v>In range</v>
      </c>
      <c r="M7" s="14">
        <v>7.7115384615384617</v>
      </c>
      <c r="N7" s="17">
        <v>2.814681895215667E-2</v>
      </c>
    </row>
    <row r="8" spans="1:14" x14ac:dyDescent="0.35">
      <c r="A8" t="s">
        <v>3</v>
      </c>
      <c r="B8" t="s">
        <v>75</v>
      </c>
      <c r="C8" t="s">
        <v>76</v>
      </c>
      <c r="D8" s="15">
        <v>323.90384615384608</v>
      </c>
      <c r="E8" s="17">
        <v>6.2247729566094812E-2</v>
      </c>
      <c r="F8" s="17">
        <v>0.92548076923076927</v>
      </c>
      <c r="G8" t="str">
        <f t="shared" si="0"/>
        <v>Below target</v>
      </c>
      <c r="H8" s="17">
        <v>0.8047300525561395</v>
      </c>
      <c r="I8" t="str">
        <f t="shared" si="1"/>
        <v>Meets</v>
      </c>
      <c r="J8" s="18">
        <v>87.69272101169625</v>
      </c>
      <c r="K8" s="19">
        <v>1.068270885076462</v>
      </c>
      <c r="L8" t="str">
        <f t="shared" si="2"/>
        <v>In range</v>
      </c>
      <c r="M8" s="14">
        <v>14.53846153846154</v>
      </c>
      <c r="N8" s="17">
        <v>3.6655236049774997E-2</v>
      </c>
    </row>
    <row r="9" spans="1:14" x14ac:dyDescent="0.35">
      <c r="A9" t="s">
        <v>77</v>
      </c>
      <c r="B9" t="s">
        <v>78</v>
      </c>
      <c r="C9" t="s">
        <v>79</v>
      </c>
      <c r="D9" s="15">
        <v>230.17307692307691</v>
      </c>
      <c r="E9" s="17">
        <v>8.4541500543675152E-2</v>
      </c>
      <c r="F9" s="17">
        <v>0.97216599190283404</v>
      </c>
      <c r="G9" t="str">
        <f t="shared" si="0"/>
        <v>Meets</v>
      </c>
      <c r="H9" s="17">
        <v>0.74489668907144635</v>
      </c>
      <c r="I9" t="str">
        <f t="shared" si="1"/>
        <v>Below target</v>
      </c>
      <c r="J9" s="18">
        <v>68.831209791962564</v>
      </c>
      <c r="K9" s="19">
        <v>0.83850035164875525</v>
      </c>
      <c r="L9" t="str">
        <f t="shared" si="2"/>
        <v>In range</v>
      </c>
      <c r="M9" s="14">
        <v>8.4038461538461533</v>
      </c>
      <c r="N9" s="17">
        <v>3.1001688667548492E-2</v>
      </c>
    </row>
    <row r="10" spans="1:14" x14ac:dyDescent="0.35">
      <c r="A10" t="s">
        <v>80</v>
      </c>
      <c r="B10" t="s">
        <v>81</v>
      </c>
      <c r="C10" t="s">
        <v>79</v>
      </c>
      <c r="D10" s="15">
        <v>301.34615384615392</v>
      </c>
      <c r="E10" s="17">
        <v>6.071887903607931E-2</v>
      </c>
      <c r="F10" s="17">
        <v>0.96645796064400713</v>
      </c>
      <c r="G10" t="str">
        <f t="shared" si="0"/>
        <v>Meets</v>
      </c>
      <c r="H10" s="17">
        <v>0.7837351205361609</v>
      </c>
      <c r="I10" t="str">
        <f t="shared" si="1"/>
        <v>Meets</v>
      </c>
      <c r="J10" s="18">
        <v>95.341895341416716</v>
      </c>
      <c r="K10" s="19">
        <v>1.1614529660638311</v>
      </c>
      <c r="L10" t="str">
        <f t="shared" si="2"/>
        <v>High cost</v>
      </c>
      <c r="M10" s="14">
        <v>16.76923076923077</v>
      </c>
      <c r="N10" s="17">
        <v>3.9016944225316888E-2</v>
      </c>
    </row>
    <row r="11" spans="1:14" x14ac:dyDescent="0.35">
      <c r="A11" t="s">
        <v>82</v>
      </c>
      <c r="B11" t="s">
        <v>83</v>
      </c>
      <c r="C11" t="s">
        <v>84</v>
      </c>
      <c r="D11" s="15">
        <v>280.25</v>
      </c>
      <c r="E11" s="17">
        <v>9.7777777777777741E-2</v>
      </c>
      <c r="F11" s="17">
        <v>0.95403377110694187</v>
      </c>
      <c r="G11" t="str">
        <f t="shared" si="0"/>
        <v>Meets</v>
      </c>
      <c r="H11" s="17">
        <v>0.76886145404663919</v>
      </c>
      <c r="I11" t="str">
        <f t="shared" si="1"/>
        <v>Meets</v>
      </c>
      <c r="J11" s="18">
        <v>65.329033143484523</v>
      </c>
      <c r="K11" s="19">
        <v>0.79583690929229389</v>
      </c>
      <c r="L11" t="str">
        <f t="shared" si="2"/>
        <v>In range</v>
      </c>
      <c r="M11" s="14">
        <v>11.11538461538461</v>
      </c>
      <c r="N11" s="17">
        <v>4.6718155709279979E-2</v>
      </c>
    </row>
    <row r="12" spans="1:14" x14ac:dyDescent="0.35">
      <c r="A12" t="s">
        <v>85</v>
      </c>
      <c r="B12" t="s">
        <v>86</v>
      </c>
      <c r="C12" t="s">
        <v>84</v>
      </c>
      <c r="D12" s="15">
        <v>227.36538461538461</v>
      </c>
      <c r="E12" s="17">
        <v>9.0883926923786662E-2</v>
      </c>
      <c r="F12" s="17">
        <v>0.94750519750519746</v>
      </c>
      <c r="G12" t="str">
        <f t="shared" si="0"/>
        <v>Below target</v>
      </c>
      <c r="H12" s="17">
        <v>0.75662357609113018</v>
      </c>
      <c r="I12" t="str">
        <f t="shared" si="1"/>
        <v>Meets</v>
      </c>
      <c r="J12" s="18">
        <v>85.179544108940206</v>
      </c>
      <c r="K12" s="19">
        <v>1.037655416845036</v>
      </c>
      <c r="L12" t="str">
        <f t="shared" si="2"/>
        <v>In range</v>
      </c>
      <c r="M12" s="14">
        <v>7</v>
      </c>
      <c r="N12" s="17">
        <v>3.3816745190001662E-2</v>
      </c>
    </row>
    <row r="13" spans="1:14" x14ac:dyDescent="0.35">
      <c r="A13" t="s">
        <v>87</v>
      </c>
      <c r="B13" t="s">
        <v>88</v>
      </c>
      <c r="C13" t="s">
        <v>76</v>
      </c>
      <c r="D13" s="15">
        <v>217.53846153846149</v>
      </c>
      <c r="E13" s="17">
        <v>6.0268066360483541E-2</v>
      </c>
      <c r="F13" s="17">
        <v>0.91813186813186809</v>
      </c>
      <c r="G13" t="str">
        <f t="shared" si="0"/>
        <v>Below target</v>
      </c>
      <c r="H13" s="17">
        <v>0.70060696147652668</v>
      </c>
      <c r="I13" t="str">
        <f t="shared" si="1"/>
        <v>Below target</v>
      </c>
      <c r="J13" s="18">
        <v>87.581373762376231</v>
      </c>
      <c r="K13" s="19">
        <v>1.0669144552244789</v>
      </c>
      <c r="L13" t="str">
        <f t="shared" si="2"/>
        <v>In range</v>
      </c>
      <c r="M13" s="14">
        <v>8.5192307692307701</v>
      </c>
      <c r="N13" s="17">
        <v>2.420975362371245E-2</v>
      </c>
    </row>
    <row r="15" spans="1:14" ht="15.5" x14ac:dyDescent="0.35">
      <c r="A15" s="11" t="s">
        <v>89</v>
      </c>
    </row>
    <row r="16" spans="1:14" ht="30" customHeight="1" x14ac:dyDescent="0.35">
      <c r="A16" s="12" t="s">
        <v>5</v>
      </c>
      <c r="B16" s="12" t="s">
        <v>90</v>
      </c>
      <c r="C16" s="12" t="s">
        <v>91</v>
      </c>
      <c r="D16" s="12" t="s">
        <v>6</v>
      </c>
      <c r="E16" s="12" t="s">
        <v>63</v>
      </c>
      <c r="F16" s="12" t="s">
        <v>64</v>
      </c>
      <c r="G16" s="12" t="s">
        <v>65</v>
      </c>
      <c r="H16" s="12" t="s">
        <v>10</v>
      </c>
    </row>
    <row r="17" spans="1:8" x14ac:dyDescent="0.35">
      <c r="A17" t="s">
        <v>72</v>
      </c>
      <c r="B17" t="s">
        <v>92</v>
      </c>
      <c r="C17">
        <v>2</v>
      </c>
      <c r="D17" s="15">
        <v>481.26923076923077</v>
      </c>
      <c r="E17" s="17">
        <v>0.95710059171597628</v>
      </c>
      <c r="F17" t="str">
        <f>IF(E17&gt;=TargetOnTime,"Meets","Below target")</f>
        <v>Meets</v>
      </c>
      <c r="G17" s="17">
        <v>0.76391941391941387</v>
      </c>
      <c r="H17" s="18">
        <v>82.174628386478062</v>
      </c>
    </row>
    <row r="18" spans="1:8" x14ac:dyDescent="0.35">
      <c r="A18" t="s">
        <v>76</v>
      </c>
      <c r="B18" t="s">
        <v>93</v>
      </c>
      <c r="C18">
        <v>2</v>
      </c>
      <c r="D18" s="15">
        <v>541.44230769230774</v>
      </c>
      <c r="E18" s="17">
        <v>0.92238183503243742</v>
      </c>
      <c r="F18" t="str">
        <f>IF(E18&gt;=TargetOnTime,"Meets","Below target")</f>
        <v>Below target</v>
      </c>
      <c r="G18" s="17">
        <v>0.759386125795663</v>
      </c>
      <c r="H18" s="18">
        <v>87.647984372225181</v>
      </c>
    </row>
    <row r="19" spans="1:8" x14ac:dyDescent="0.35">
      <c r="A19" t="s">
        <v>79</v>
      </c>
      <c r="B19" t="s">
        <v>94</v>
      </c>
      <c r="C19">
        <v>2</v>
      </c>
      <c r="D19" s="15">
        <v>531.51923076923072</v>
      </c>
      <c r="E19" s="17">
        <v>0.96913580246913578</v>
      </c>
      <c r="F19" t="str">
        <f>IF(E19&gt;=TargetOnTime,"Meets","Below target")</f>
        <v>Meets</v>
      </c>
      <c r="G19" s="17">
        <v>0.76643003715822755</v>
      </c>
      <c r="H19" s="18">
        <v>83.861509099460903</v>
      </c>
    </row>
    <row r="20" spans="1:8" x14ac:dyDescent="0.35">
      <c r="A20" t="s">
        <v>84</v>
      </c>
      <c r="B20" t="s">
        <v>95</v>
      </c>
      <c r="C20">
        <v>2</v>
      </c>
      <c r="D20" s="15">
        <v>507.61538461538458</v>
      </c>
      <c r="E20" s="17">
        <v>0.95093688362919138</v>
      </c>
      <c r="F20" t="str">
        <f>IF(E20&gt;=TargetOnTime,"Meets","Below target")</f>
        <v>Meets</v>
      </c>
      <c r="G20" s="17">
        <v>0.76333140543666855</v>
      </c>
      <c r="H20" s="18">
        <v>74.220251174420369</v>
      </c>
    </row>
  </sheetData>
  <conditionalFormatting sqref="F17:F20">
    <cfRule type="cellIs" dxfId="22" priority="13" operator="equal">
      <formula>"Meets"</formula>
    </cfRule>
    <cfRule type="cellIs" dxfId="21" priority="14" operator="equal">
      <formula>"Below target"</formula>
    </cfRule>
  </conditionalFormatting>
  <conditionalFormatting sqref="G6:G13">
    <cfRule type="cellIs" dxfId="20" priority="1" operator="equal">
      <formula>"Meets"</formula>
    </cfRule>
    <cfRule type="cellIs" dxfId="19" priority="2" operator="equal">
      <formula>"In range"</formula>
    </cfRule>
    <cfRule type="cellIs" dxfId="18" priority="3" operator="equal">
      <formula>"Below target"</formula>
    </cfRule>
    <cfRule type="cellIs" dxfId="17" priority="4" operator="equal">
      <formula>"High cost"</formula>
    </cfRule>
  </conditionalFormatting>
  <conditionalFormatting sqref="I6:I13">
    <cfRule type="cellIs" dxfId="16" priority="5" operator="equal">
      <formula>"Meets"</formula>
    </cfRule>
    <cfRule type="cellIs" dxfId="15" priority="6" operator="equal">
      <formula>"In range"</formula>
    </cfRule>
    <cfRule type="cellIs" dxfId="14" priority="7" operator="equal">
      <formula>"Below target"</formula>
    </cfRule>
    <cfRule type="cellIs" dxfId="13" priority="8" operator="equal">
      <formula>"High cost"</formula>
    </cfRule>
  </conditionalFormatting>
  <conditionalFormatting sqref="L6:L13">
    <cfRule type="cellIs" dxfId="12" priority="9" operator="equal">
      <formula>"Meets"</formula>
    </cfRule>
    <cfRule type="cellIs" dxfId="11" priority="10" operator="equal">
      <formula>"In range"</formula>
    </cfRule>
    <cfRule type="cellIs" dxfId="10" priority="11" operator="equal">
      <formula>"Below target"</formula>
    </cfRule>
    <cfRule type="cellIs" dxfId="9" priority="12" operator="equal">
      <formula>"High cost"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11" customWidth="1"/>
    <col min="3" max="3" width="12" customWidth="1"/>
    <col min="4" max="4" width="10" customWidth="1"/>
    <col min="5" max="13" width="12" customWidth="1"/>
    <col min="14" max="14" width="15" customWidth="1"/>
  </cols>
  <sheetData>
    <row r="1" spans="1:14" ht="21" x14ac:dyDescent="0.5">
      <c r="A1" s="1" t="s">
        <v>96</v>
      </c>
    </row>
    <row r="2" spans="1:14" x14ac:dyDescent="0.35">
      <c r="A2" s="2" t="s">
        <v>97</v>
      </c>
    </row>
    <row r="4" spans="1:14" ht="30" customHeight="1" x14ac:dyDescent="0.35">
      <c r="A4" s="12" t="s">
        <v>16</v>
      </c>
      <c r="B4" s="12" t="s">
        <v>2</v>
      </c>
      <c r="C4" s="12" t="s">
        <v>4</v>
      </c>
      <c r="D4" s="12" t="s">
        <v>5</v>
      </c>
      <c r="E4" s="12" t="s">
        <v>17</v>
      </c>
      <c r="F4" s="12" t="s">
        <v>98</v>
      </c>
      <c r="G4" s="12" t="s">
        <v>18</v>
      </c>
      <c r="H4" s="12" t="s">
        <v>99</v>
      </c>
      <c r="I4" s="12" t="s">
        <v>100</v>
      </c>
      <c r="J4" s="12" t="s">
        <v>101</v>
      </c>
      <c r="K4" s="12" t="s">
        <v>102</v>
      </c>
      <c r="L4" s="12" t="s">
        <v>103</v>
      </c>
      <c r="M4" s="12" t="s">
        <v>104</v>
      </c>
      <c r="N4" s="12" t="s">
        <v>22</v>
      </c>
    </row>
    <row r="5" spans="1:14" x14ac:dyDescent="0.35">
      <c r="A5" s="13">
        <v>46235</v>
      </c>
      <c r="B5" t="s">
        <v>70</v>
      </c>
      <c r="C5" t="s">
        <v>71</v>
      </c>
      <c r="D5" t="s">
        <v>72</v>
      </c>
      <c r="E5" s="14">
        <v>240.5</v>
      </c>
      <c r="F5" s="14">
        <v>225.9</v>
      </c>
      <c r="G5" s="14">
        <v>246.5</v>
      </c>
      <c r="H5" s="14">
        <v>0</v>
      </c>
      <c r="I5" s="17">
        <f>INDEX('Pool Points'!$J:$J,MATCH(B5,'Pool Points'!$A:$A,0))</f>
        <v>0.73829999999999996</v>
      </c>
      <c r="J5">
        <f t="shared" ref="J5:J68" si="0">ROUNDUP(E5/(PalletsPerTrailer*I5),0)</f>
        <v>13</v>
      </c>
      <c r="K5">
        <f t="shared" ref="K5:K68" si="1">ROUNDUP(G5/(PalletsPerTrailer*I5),0)</f>
        <v>13</v>
      </c>
      <c r="L5">
        <f>INDEX('Pool Points'!$I:$I,MATCH(B5,'Pool Points'!$A:$A,0))</f>
        <v>15</v>
      </c>
      <c r="M5">
        <f t="shared" ref="M5:M68" si="2">MAX(0,K5-L5)</f>
        <v>0</v>
      </c>
      <c r="N5" t="str">
        <f t="shared" ref="N5:N68" si="3">IF(J5&gt;L5,"Over capacity",IF(K5&gt;L5,"At risk","Covered"))</f>
        <v>Covered</v>
      </c>
    </row>
    <row r="6" spans="1:14" x14ac:dyDescent="0.35">
      <c r="A6" s="13">
        <v>46235</v>
      </c>
      <c r="B6" t="s">
        <v>73</v>
      </c>
      <c r="C6" t="s">
        <v>74</v>
      </c>
      <c r="D6" t="s">
        <v>72</v>
      </c>
      <c r="E6" s="14">
        <v>249.5</v>
      </c>
      <c r="F6" s="14">
        <v>234.3</v>
      </c>
      <c r="G6" s="14">
        <v>255.6</v>
      </c>
      <c r="H6" s="14">
        <v>0</v>
      </c>
      <c r="I6" s="17">
        <f>INDEX('Pool Points'!$J:$J,MATCH(B6,'Pool Points'!$A:$A,0))</f>
        <v>0.79159999999999997</v>
      </c>
      <c r="J6">
        <f t="shared" si="0"/>
        <v>13</v>
      </c>
      <c r="K6">
        <f t="shared" si="1"/>
        <v>13</v>
      </c>
      <c r="L6">
        <f>INDEX('Pool Points'!$I:$I,MATCH(B6,'Pool Points'!$A:$A,0))</f>
        <v>15</v>
      </c>
      <c r="M6">
        <f t="shared" si="2"/>
        <v>0</v>
      </c>
      <c r="N6" t="str">
        <f t="shared" si="3"/>
        <v>Covered</v>
      </c>
    </row>
    <row r="7" spans="1:14" x14ac:dyDescent="0.35">
      <c r="A7" s="13">
        <v>46235</v>
      </c>
      <c r="B7" t="s">
        <v>3</v>
      </c>
      <c r="C7" t="s">
        <v>75</v>
      </c>
      <c r="D7" t="s">
        <v>76</v>
      </c>
      <c r="E7" s="14">
        <v>329.3</v>
      </c>
      <c r="F7" s="14">
        <v>309.3</v>
      </c>
      <c r="G7" s="14">
        <v>337.4</v>
      </c>
      <c r="H7" s="14">
        <v>0</v>
      </c>
      <c r="I7" s="17">
        <f>INDEX('Pool Points'!$J:$J,MATCH(B7,'Pool Points'!$A:$A,0))</f>
        <v>0.80469999999999997</v>
      </c>
      <c r="J7">
        <f t="shared" si="0"/>
        <v>16</v>
      </c>
      <c r="K7">
        <f t="shared" si="1"/>
        <v>17</v>
      </c>
      <c r="L7">
        <f>INDEX('Pool Points'!$I:$I,MATCH(B7,'Pool Points'!$A:$A,0))</f>
        <v>18</v>
      </c>
      <c r="M7">
        <f t="shared" si="2"/>
        <v>0</v>
      </c>
      <c r="N7" t="str">
        <f t="shared" si="3"/>
        <v>Covered</v>
      </c>
    </row>
    <row r="8" spans="1:14" x14ac:dyDescent="0.35">
      <c r="A8" s="13">
        <v>46235</v>
      </c>
      <c r="B8" t="s">
        <v>77</v>
      </c>
      <c r="C8" t="s">
        <v>78</v>
      </c>
      <c r="D8" t="s">
        <v>79</v>
      </c>
      <c r="E8" s="14">
        <v>236.1</v>
      </c>
      <c r="F8" s="14">
        <v>221.7</v>
      </c>
      <c r="G8" s="14">
        <v>241.9</v>
      </c>
      <c r="H8" s="14">
        <v>0</v>
      </c>
      <c r="I8" s="17">
        <f>INDEX('Pool Points'!$J:$J,MATCH(B8,'Pool Points'!$A:$A,0))</f>
        <v>0.74490000000000001</v>
      </c>
      <c r="J8">
        <f t="shared" si="0"/>
        <v>13</v>
      </c>
      <c r="K8">
        <f t="shared" si="1"/>
        <v>13</v>
      </c>
      <c r="L8">
        <f>INDEX('Pool Points'!$I:$I,MATCH(B8,'Pool Points'!$A:$A,0))</f>
        <v>15</v>
      </c>
      <c r="M8">
        <f t="shared" si="2"/>
        <v>0</v>
      </c>
      <c r="N8" t="str">
        <f t="shared" si="3"/>
        <v>Covered</v>
      </c>
    </row>
    <row r="9" spans="1:14" x14ac:dyDescent="0.35">
      <c r="A9" s="13">
        <v>46235</v>
      </c>
      <c r="B9" t="s">
        <v>80</v>
      </c>
      <c r="C9" t="s">
        <v>81</v>
      </c>
      <c r="D9" t="s">
        <v>79</v>
      </c>
      <c r="E9" s="14">
        <v>314.89999999999998</v>
      </c>
      <c r="F9" s="14">
        <v>295.7</v>
      </c>
      <c r="G9" s="14">
        <v>322.60000000000002</v>
      </c>
      <c r="H9" s="14">
        <v>0</v>
      </c>
      <c r="I9" s="17">
        <f>INDEX('Pool Points'!$J:$J,MATCH(B9,'Pool Points'!$A:$A,0))</f>
        <v>0.78369999999999995</v>
      </c>
      <c r="J9">
        <f t="shared" si="0"/>
        <v>16</v>
      </c>
      <c r="K9">
        <f t="shared" si="1"/>
        <v>16</v>
      </c>
      <c r="L9">
        <f>INDEX('Pool Points'!$I:$I,MATCH(B9,'Pool Points'!$A:$A,0))</f>
        <v>17</v>
      </c>
      <c r="M9">
        <f t="shared" si="2"/>
        <v>0</v>
      </c>
      <c r="N9" t="str">
        <f t="shared" si="3"/>
        <v>Covered</v>
      </c>
    </row>
    <row r="10" spans="1:14" x14ac:dyDescent="0.35">
      <c r="A10" s="13">
        <v>46235</v>
      </c>
      <c r="B10" t="s">
        <v>82</v>
      </c>
      <c r="C10" t="s">
        <v>83</v>
      </c>
      <c r="D10" t="s">
        <v>84</v>
      </c>
      <c r="E10" s="14">
        <v>281.10000000000002</v>
      </c>
      <c r="F10" s="14">
        <v>264</v>
      </c>
      <c r="G10" s="14">
        <v>288.10000000000002</v>
      </c>
      <c r="H10" s="14">
        <v>0</v>
      </c>
      <c r="I10" s="17">
        <f>INDEX('Pool Points'!$J:$J,MATCH(B10,'Pool Points'!$A:$A,0))</f>
        <v>0.76890000000000003</v>
      </c>
      <c r="J10">
        <f t="shared" si="0"/>
        <v>15</v>
      </c>
      <c r="K10">
        <f t="shared" si="1"/>
        <v>15</v>
      </c>
      <c r="L10">
        <f>INDEX('Pool Points'!$I:$I,MATCH(B10,'Pool Points'!$A:$A,0))</f>
        <v>17</v>
      </c>
      <c r="M10">
        <f t="shared" si="2"/>
        <v>0</v>
      </c>
      <c r="N10" t="str">
        <f t="shared" si="3"/>
        <v>Covered</v>
      </c>
    </row>
    <row r="11" spans="1:14" x14ac:dyDescent="0.35">
      <c r="A11" s="13">
        <v>46235</v>
      </c>
      <c r="B11" t="s">
        <v>85</v>
      </c>
      <c r="C11" t="s">
        <v>86</v>
      </c>
      <c r="D11" t="s">
        <v>84</v>
      </c>
      <c r="E11" s="14">
        <v>237.9</v>
      </c>
      <c r="F11" s="14">
        <v>223.4</v>
      </c>
      <c r="G11" s="14">
        <v>243.7</v>
      </c>
      <c r="H11" s="14">
        <v>0</v>
      </c>
      <c r="I11" s="17">
        <f>INDEX('Pool Points'!$J:$J,MATCH(B11,'Pool Points'!$A:$A,0))</f>
        <v>0.75660000000000005</v>
      </c>
      <c r="J11">
        <f t="shared" si="0"/>
        <v>13</v>
      </c>
      <c r="K11">
        <f t="shared" si="1"/>
        <v>13</v>
      </c>
      <c r="L11">
        <f>INDEX('Pool Points'!$I:$I,MATCH(B11,'Pool Points'!$A:$A,0))</f>
        <v>13</v>
      </c>
      <c r="M11">
        <f t="shared" si="2"/>
        <v>0</v>
      </c>
      <c r="N11" t="str">
        <f t="shared" si="3"/>
        <v>Covered</v>
      </c>
    </row>
    <row r="12" spans="1:14" x14ac:dyDescent="0.35">
      <c r="A12" s="13">
        <v>46235</v>
      </c>
      <c r="B12" t="s">
        <v>87</v>
      </c>
      <c r="C12" t="s">
        <v>88</v>
      </c>
      <c r="D12" t="s">
        <v>76</v>
      </c>
      <c r="E12" s="14">
        <v>228.8</v>
      </c>
      <c r="F12" s="14">
        <v>214.9</v>
      </c>
      <c r="G12" s="14">
        <v>234.4</v>
      </c>
      <c r="H12" s="14">
        <v>0</v>
      </c>
      <c r="I12" s="17">
        <f>INDEX('Pool Points'!$J:$J,MATCH(B12,'Pool Points'!$A:$A,0))</f>
        <v>0.7006</v>
      </c>
      <c r="J12">
        <f t="shared" si="0"/>
        <v>13</v>
      </c>
      <c r="K12">
        <f t="shared" si="1"/>
        <v>13</v>
      </c>
      <c r="L12">
        <f>INDEX('Pool Points'!$I:$I,MATCH(B12,'Pool Points'!$A:$A,0))</f>
        <v>13</v>
      </c>
      <c r="M12">
        <f t="shared" si="2"/>
        <v>0</v>
      </c>
      <c r="N12" t="str">
        <f t="shared" si="3"/>
        <v>Covered</v>
      </c>
    </row>
    <row r="13" spans="1:14" x14ac:dyDescent="0.35">
      <c r="A13" s="13">
        <v>46242</v>
      </c>
      <c r="B13" t="s">
        <v>70</v>
      </c>
      <c r="C13" t="s">
        <v>71</v>
      </c>
      <c r="D13" t="s">
        <v>72</v>
      </c>
      <c r="E13" s="14">
        <v>253.3</v>
      </c>
      <c r="F13" s="14">
        <v>237.9</v>
      </c>
      <c r="G13" s="14">
        <v>259.5</v>
      </c>
      <c r="H13" s="14">
        <v>0</v>
      </c>
      <c r="I13" s="17">
        <f>INDEX('Pool Points'!$J:$J,MATCH(B13,'Pool Points'!$A:$A,0))</f>
        <v>0.73829999999999996</v>
      </c>
      <c r="J13">
        <f t="shared" si="0"/>
        <v>14</v>
      </c>
      <c r="K13">
        <f t="shared" si="1"/>
        <v>14</v>
      </c>
      <c r="L13">
        <f>INDEX('Pool Points'!$I:$I,MATCH(B13,'Pool Points'!$A:$A,0))</f>
        <v>15</v>
      </c>
      <c r="M13">
        <f t="shared" si="2"/>
        <v>0</v>
      </c>
      <c r="N13" t="str">
        <f t="shared" si="3"/>
        <v>Covered</v>
      </c>
    </row>
    <row r="14" spans="1:14" x14ac:dyDescent="0.35">
      <c r="A14" s="13">
        <v>46242</v>
      </c>
      <c r="B14" t="s">
        <v>73</v>
      </c>
      <c r="C14" t="s">
        <v>74</v>
      </c>
      <c r="D14" t="s">
        <v>72</v>
      </c>
      <c r="E14" s="14">
        <v>248.2</v>
      </c>
      <c r="F14" s="14">
        <v>233.1</v>
      </c>
      <c r="G14" s="14">
        <v>254.4</v>
      </c>
      <c r="H14" s="14">
        <v>0</v>
      </c>
      <c r="I14" s="17">
        <f>INDEX('Pool Points'!$J:$J,MATCH(B14,'Pool Points'!$A:$A,0))</f>
        <v>0.79159999999999997</v>
      </c>
      <c r="J14">
        <f t="shared" si="0"/>
        <v>13</v>
      </c>
      <c r="K14">
        <f t="shared" si="1"/>
        <v>13</v>
      </c>
      <c r="L14">
        <f>INDEX('Pool Points'!$I:$I,MATCH(B14,'Pool Points'!$A:$A,0))</f>
        <v>15</v>
      </c>
      <c r="M14">
        <f t="shared" si="2"/>
        <v>0</v>
      </c>
      <c r="N14" t="str">
        <f t="shared" si="3"/>
        <v>Covered</v>
      </c>
    </row>
    <row r="15" spans="1:14" x14ac:dyDescent="0.35">
      <c r="A15" s="13">
        <v>46242</v>
      </c>
      <c r="B15" t="s">
        <v>3</v>
      </c>
      <c r="C15" t="s">
        <v>75</v>
      </c>
      <c r="D15" t="s">
        <v>76</v>
      </c>
      <c r="E15" s="14">
        <v>331.1</v>
      </c>
      <c r="F15" s="14">
        <v>310.89999999999998</v>
      </c>
      <c r="G15" s="14">
        <v>339.2</v>
      </c>
      <c r="H15" s="14">
        <v>0</v>
      </c>
      <c r="I15" s="17">
        <f>INDEX('Pool Points'!$J:$J,MATCH(B15,'Pool Points'!$A:$A,0))</f>
        <v>0.80469999999999997</v>
      </c>
      <c r="J15">
        <f t="shared" si="0"/>
        <v>16</v>
      </c>
      <c r="K15">
        <f t="shared" si="1"/>
        <v>17</v>
      </c>
      <c r="L15">
        <f>INDEX('Pool Points'!$I:$I,MATCH(B15,'Pool Points'!$A:$A,0))</f>
        <v>18</v>
      </c>
      <c r="M15">
        <f t="shared" si="2"/>
        <v>0</v>
      </c>
      <c r="N15" t="str">
        <f t="shared" si="3"/>
        <v>Covered</v>
      </c>
    </row>
    <row r="16" spans="1:14" x14ac:dyDescent="0.35">
      <c r="A16" s="13">
        <v>46242</v>
      </c>
      <c r="B16" t="s">
        <v>77</v>
      </c>
      <c r="C16" t="s">
        <v>78</v>
      </c>
      <c r="D16" t="s">
        <v>79</v>
      </c>
      <c r="E16" s="14">
        <v>239.1</v>
      </c>
      <c r="F16" s="14">
        <v>224.5</v>
      </c>
      <c r="G16" s="14">
        <v>245</v>
      </c>
      <c r="H16" s="14">
        <v>0</v>
      </c>
      <c r="I16" s="17">
        <f>INDEX('Pool Points'!$J:$J,MATCH(B16,'Pool Points'!$A:$A,0))</f>
        <v>0.74490000000000001</v>
      </c>
      <c r="J16">
        <f t="shared" si="0"/>
        <v>13</v>
      </c>
      <c r="K16">
        <f t="shared" si="1"/>
        <v>13</v>
      </c>
      <c r="L16">
        <f>INDEX('Pool Points'!$I:$I,MATCH(B16,'Pool Points'!$A:$A,0))</f>
        <v>15</v>
      </c>
      <c r="M16">
        <f t="shared" si="2"/>
        <v>0</v>
      </c>
      <c r="N16" t="str">
        <f t="shared" si="3"/>
        <v>Covered</v>
      </c>
    </row>
    <row r="17" spans="1:14" x14ac:dyDescent="0.35">
      <c r="A17" s="13">
        <v>46242</v>
      </c>
      <c r="B17" t="s">
        <v>80</v>
      </c>
      <c r="C17" t="s">
        <v>81</v>
      </c>
      <c r="D17" t="s">
        <v>79</v>
      </c>
      <c r="E17" s="14">
        <v>306.7</v>
      </c>
      <c r="F17" s="14">
        <v>288.10000000000002</v>
      </c>
      <c r="G17" s="14">
        <v>314.3</v>
      </c>
      <c r="H17" s="14">
        <v>0</v>
      </c>
      <c r="I17" s="17">
        <f>INDEX('Pool Points'!$J:$J,MATCH(B17,'Pool Points'!$A:$A,0))</f>
        <v>0.78369999999999995</v>
      </c>
      <c r="J17">
        <f t="shared" si="0"/>
        <v>16</v>
      </c>
      <c r="K17">
        <f t="shared" si="1"/>
        <v>16</v>
      </c>
      <c r="L17">
        <f>INDEX('Pool Points'!$I:$I,MATCH(B17,'Pool Points'!$A:$A,0))</f>
        <v>17</v>
      </c>
      <c r="M17">
        <f t="shared" si="2"/>
        <v>0</v>
      </c>
      <c r="N17" t="str">
        <f t="shared" si="3"/>
        <v>Covered</v>
      </c>
    </row>
    <row r="18" spans="1:14" x14ac:dyDescent="0.35">
      <c r="A18" s="13">
        <v>46242</v>
      </c>
      <c r="B18" t="s">
        <v>82</v>
      </c>
      <c r="C18" t="s">
        <v>83</v>
      </c>
      <c r="D18" t="s">
        <v>84</v>
      </c>
      <c r="E18" s="14">
        <v>288.3</v>
      </c>
      <c r="F18" s="14">
        <v>270.8</v>
      </c>
      <c r="G18" s="14">
        <v>295.39999999999998</v>
      </c>
      <c r="H18" s="14">
        <v>0</v>
      </c>
      <c r="I18" s="17">
        <f>INDEX('Pool Points'!$J:$J,MATCH(B18,'Pool Points'!$A:$A,0))</f>
        <v>0.76890000000000003</v>
      </c>
      <c r="J18">
        <f t="shared" si="0"/>
        <v>15</v>
      </c>
      <c r="K18">
        <f t="shared" si="1"/>
        <v>15</v>
      </c>
      <c r="L18">
        <f>INDEX('Pool Points'!$I:$I,MATCH(B18,'Pool Points'!$A:$A,0))</f>
        <v>17</v>
      </c>
      <c r="M18">
        <f t="shared" si="2"/>
        <v>0</v>
      </c>
      <c r="N18" t="str">
        <f t="shared" si="3"/>
        <v>Covered</v>
      </c>
    </row>
    <row r="19" spans="1:14" x14ac:dyDescent="0.35">
      <c r="A19" s="13">
        <v>46242</v>
      </c>
      <c r="B19" t="s">
        <v>85</v>
      </c>
      <c r="C19" t="s">
        <v>86</v>
      </c>
      <c r="D19" t="s">
        <v>84</v>
      </c>
      <c r="E19" s="14">
        <v>241.6</v>
      </c>
      <c r="F19" s="14">
        <v>226.9</v>
      </c>
      <c r="G19" s="14">
        <v>247.5</v>
      </c>
      <c r="H19" s="14">
        <v>0</v>
      </c>
      <c r="I19" s="17">
        <f>INDEX('Pool Points'!$J:$J,MATCH(B19,'Pool Points'!$A:$A,0))</f>
        <v>0.75660000000000005</v>
      </c>
      <c r="J19">
        <f t="shared" si="0"/>
        <v>13</v>
      </c>
      <c r="K19">
        <f t="shared" si="1"/>
        <v>13</v>
      </c>
      <c r="L19">
        <f>INDEX('Pool Points'!$I:$I,MATCH(B19,'Pool Points'!$A:$A,0))</f>
        <v>13</v>
      </c>
      <c r="M19">
        <f t="shared" si="2"/>
        <v>0</v>
      </c>
      <c r="N19" t="str">
        <f t="shared" si="3"/>
        <v>Covered</v>
      </c>
    </row>
    <row r="20" spans="1:14" x14ac:dyDescent="0.35">
      <c r="A20" s="13">
        <v>46242</v>
      </c>
      <c r="B20" t="s">
        <v>87</v>
      </c>
      <c r="C20" t="s">
        <v>88</v>
      </c>
      <c r="D20" t="s">
        <v>76</v>
      </c>
      <c r="E20" s="14">
        <v>226.1</v>
      </c>
      <c r="F20" s="14">
        <v>212.4</v>
      </c>
      <c r="G20" s="14">
        <v>231.7</v>
      </c>
      <c r="H20" s="14">
        <v>0</v>
      </c>
      <c r="I20" s="17">
        <f>INDEX('Pool Points'!$J:$J,MATCH(B20,'Pool Points'!$A:$A,0))</f>
        <v>0.7006</v>
      </c>
      <c r="J20">
        <f t="shared" si="0"/>
        <v>13</v>
      </c>
      <c r="K20">
        <f t="shared" si="1"/>
        <v>13</v>
      </c>
      <c r="L20">
        <f>INDEX('Pool Points'!$I:$I,MATCH(B20,'Pool Points'!$A:$A,0))</f>
        <v>13</v>
      </c>
      <c r="M20">
        <f t="shared" si="2"/>
        <v>0</v>
      </c>
      <c r="N20" t="str">
        <f t="shared" si="3"/>
        <v>Covered</v>
      </c>
    </row>
    <row r="21" spans="1:14" x14ac:dyDescent="0.35">
      <c r="A21" s="13">
        <v>46249</v>
      </c>
      <c r="B21" t="s">
        <v>70</v>
      </c>
      <c r="C21" t="s">
        <v>71</v>
      </c>
      <c r="D21" t="s">
        <v>72</v>
      </c>
      <c r="E21" s="14">
        <v>236.6</v>
      </c>
      <c r="F21" s="14">
        <v>222.3</v>
      </c>
      <c r="G21" s="14">
        <v>242.5</v>
      </c>
      <c r="H21" s="14">
        <v>0</v>
      </c>
      <c r="I21" s="17">
        <f>INDEX('Pool Points'!$J:$J,MATCH(B21,'Pool Points'!$A:$A,0))</f>
        <v>0.73829999999999996</v>
      </c>
      <c r="J21">
        <f t="shared" si="0"/>
        <v>13</v>
      </c>
      <c r="K21">
        <f t="shared" si="1"/>
        <v>13</v>
      </c>
      <c r="L21">
        <f>INDEX('Pool Points'!$I:$I,MATCH(B21,'Pool Points'!$A:$A,0))</f>
        <v>15</v>
      </c>
      <c r="M21">
        <f t="shared" si="2"/>
        <v>0</v>
      </c>
      <c r="N21" t="str">
        <f t="shared" si="3"/>
        <v>Covered</v>
      </c>
    </row>
    <row r="22" spans="1:14" x14ac:dyDescent="0.35">
      <c r="A22" s="13">
        <v>46249</v>
      </c>
      <c r="B22" t="s">
        <v>73</v>
      </c>
      <c r="C22" t="s">
        <v>74</v>
      </c>
      <c r="D22" t="s">
        <v>72</v>
      </c>
      <c r="E22" s="14">
        <v>246.4</v>
      </c>
      <c r="F22" s="14">
        <v>231.4</v>
      </c>
      <c r="G22" s="14">
        <v>252.5</v>
      </c>
      <c r="H22" s="14">
        <v>0</v>
      </c>
      <c r="I22" s="17">
        <f>INDEX('Pool Points'!$J:$J,MATCH(B22,'Pool Points'!$A:$A,0))</f>
        <v>0.79159999999999997</v>
      </c>
      <c r="J22">
        <f t="shared" si="0"/>
        <v>12</v>
      </c>
      <c r="K22">
        <f t="shared" si="1"/>
        <v>13</v>
      </c>
      <c r="L22">
        <f>INDEX('Pool Points'!$I:$I,MATCH(B22,'Pool Points'!$A:$A,0))</f>
        <v>15</v>
      </c>
      <c r="M22">
        <f t="shared" si="2"/>
        <v>0</v>
      </c>
      <c r="N22" t="str">
        <f t="shared" si="3"/>
        <v>Covered</v>
      </c>
    </row>
    <row r="23" spans="1:14" x14ac:dyDescent="0.35">
      <c r="A23" s="13">
        <v>46249</v>
      </c>
      <c r="B23" t="s">
        <v>3</v>
      </c>
      <c r="C23" t="s">
        <v>75</v>
      </c>
      <c r="D23" t="s">
        <v>76</v>
      </c>
      <c r="E23" s="14">
        <v>328.7</v>
      </c>
      <c r="F23" s="14">
        <v>308.7</v>
      </c>
      <c r="G23" s="14">
        <v>336.8</v>
      </c>
      <c r="H23" s="14">
        <v>0</v>
      </c>
      <c r="I23" s="17">
        <f>INDEX('Pool Points'!$J:$J,MATCH(B23,'Pool Points'!$A:$A,0))</f>
        <v>0.80469999999999997</v>
      </c>
      <c r="J23">
        <f t="shared" si="0"/>
        <v>16</v>
      </c>
      <c r="K23">
        <f t="shared" si="1"/>
        <v>17</v>
      </c>
      <c r="L23">
        <f>INDEX('Pool Points'!$I:$I,MATCH(B23,'Pool Points'!$A:$A,0))</f>
        <v>18</v>
      </c>
      <c r="M23">
        <f t="shared" si="2"/>
        <v>0</v>
      </c>
      <c r="N23" t="str">
        <f t="shared" si="3"/>
        <v>Covered</v>
      </c>
    </row>
    <row r="24" spans="1:14" x14ac:dyDescent="0.35">
      <c r="A24" s="13">
        <v>46249</v>
      </c>
      <c r="B24" t="s">
        <v>77</v>
      </c>
      <c r="C24" t="s">
        <v>78</v>
      </c>
      <c r="D24" t="s">
        <v>79</v>
      </c>
      <c r="E24" s="14">
        <v>236.5</v>
      </c>
      <c r="F24" s="14">
        <v>222.1</v>
      </c>
      <c r="G24" s="14">
        <v>242.4</v>
      </c>
      <c r="H24" s="14">
        <v>0</v>
      </c>
      <c r="I24" s="17">
        <f>INDEX('Pool Points'!$J:$J,MATCH(B24,'Pool Points'!$A:$A,0))</f>
        <v>0.74490000000000001</v>
      </c>
      <c r="J24">
        <f t="shared" si="0"/>
        <v>13</v>
      </c>
      <c r="K24">
        <f t="shared" si="1"/>
        <v>13</v>
      </c>
      <c r="L24">
        <f>INDEX('Pool Points'!$I:$I,MATCH(B24,'Pool Points'!$A:$A,0))</f>
        <v>15</v>
      </c>
      <c r="M24">
        <f t="shared" si="2"/>
        <v>0</v>
      </c>
      <c r="N24" t="str">
        <f t="shared" si="3"/>
        <v>Covered</v>
      </c>
    </row>
    <row r="25" spans="1:14" x14ac:dyDescent="0.35">
      <c r="A25" s="13">
        <v>46249</v>
      </c>
      <c r="B25" t="s">
        <v>80</v>
      </c>
      <c r="C25" t="s">
        <v>81</v>
      </c>
      <c r="D25" t="s">
        <v>79</v>
      </c>
      <c r="E25" s="14">
        <v>306.2</v>
      </c>
      <c r="F25" s="14">
        <v>287.60000000000002</v>
      </c>
      <c r="G25" s="14">
        <v>313.8</v>
      </c>
      <c r="H25" s="14">
        <v>0</v>
      </c>
      <c r="I25" s="17">
        <f>INDEX('Pool Points'!$J:$J,MATCH(B25,'Pool Points'!$A:$A,0))</f>
        <v>0.78369999999999995</v>
      </c>
      <c r="J25">
        <f t="shared" si="0"/>
        <v>16</v>
      </c>
      <c r="K25">
        <f t="shared" si="1"/>
        <v>16</v>
      </c>
      <c r="L25">
        <f>INDEX('Pool Points'!$I:$I,MATCH(B25,'Pool Points'!$A:$A,0))</f>
        <v>17</v>
      </c>
      <c r="M25">
        <f t="shared" si="2"/>
        <v>0</v>
      </c>
      <c r="N25" t="str">
        <f t="shared" si="3"/>
        <v>Covered</v>
      </c>
    </row>
    <row r="26" spans="1:14" x14ac:dyDescent="0.35">
      <c r="A26" s="13">
        <v>46249</v>
      </c>
      <c r="B26" t="s">
        <v>82</v>
      </c>
      <c r="C26" t="s">
        <v>83</v>
      </c>
      <c r="D26" t="s">
        <v>84</v>
      </c>
      <c r="E26" s="14">
        <v>289.8</v>
      </c>
      <c r="F26" s="14">
        <v>272.10000000000002</v>
      </c>
      <c r="G26" s="14">
        <v>296.89999999999998</v>
      </c>
      <c r="H26" s="14">
        <v>0</v>
      </c>
      <c r="I26" s="17">
        <f>INDEX('Pool Points'!$J:$J,MATCH(B26,'Pool Points'!$A:$A,0))</f>
        <v>0.76890000000000003</v>
      </c>
      <c r="J26">
        <f t="shared" si="0"/>
        <v>15</v>
      </c>
      <c r="K26">
        <f t="shared" si="1"/>
        <v>15</v>
      </c>
      <c r="L26">
        <f>INDEX('Pool Points'!$I:$I,MATCH(B26,'Pool Points'!$A:$A,0))</f>
        <v>17</v>
      </c>
      <c r="M26">
        <f t="shared" si="2"/>
        <v>0</v>
      </c>
      <c r="N26" t="str">
        <f t="shared" si="3"/>
        <v>Covered</v>
      </c>
    </row>
    <row r="27" spans="1:14" x14ac:dyDescent="0.35">
      <c r="A27" s="13">
        <v>46249</v>
      </c>
      <c r="B27" t="s">
        <v>85</v>
      </c>
      <c r="C27" t="s">
        <v>86</v>
      </c>
      <c r="D27" t="s">
        <v>84</v>
      </c>
      <c r="E27" s="14">
        <v>237.3</v>
      </c>
      <c r="F27" s="14">
        <v>222.9</v>
      </c>
      <c r="G27" s="14">
        <v>243.2</v>
      </c>
      <c r="H27" s="14">
        <v>0</v>
      </c>
      <c r="I27" s="17">
        <f>INDEX('Pool Points'!$J:$J,MATCH(B27,'Pool Points'!$A:$A,0))</f>
        <v>0.75660000000000005</v>
      </c>
      <c r="J27">
        <f t="shared" si="0"/>
        <v>13</v>
      </c>
      <c r="K27">
        <f t="shared" si="1"/>
        <v>13</v>
      </c>
      <c r="L27">
        <f>INDEX('Pool Points'!$I:$I,MATCH(B27,'Pool Points'!$A:$A,0))</f>
        <v>13</v>
      </c>
      <c r="M27">
        <f t="shared" si="2"/>
        <v>0</v>
      </c>
      <c r="N27" t="str">
        <f t="shared" si="3"/>
        <v>Covered</v>
      </c>
    </row>
    <row r="28" spans="1:14" x14ac:dyDescent="0.35">
      <c r="A28" s="13">
        <v>46249</v>
      </c>
      <c r="B28" t="s">
        <v>87</v>
      </c>
      <c r="C28" t="s">
        <v>88</v>
      </c>
      <c r="D28" t="s">
        <v>76</v>
      </c>
      <c r="E28" s="14">
        <v>218.8</v>
      </c>
      <c r="F28" s="14">
        <v>205.5</v>
      </c>
      <c r="G28" s="14">
        <v>224.2</v>
      </c>
      <c r="H28" s="14">
        <v>0</v>
      </c>
      <c r="I28" s="17">
        <f>INDEX('Pool Points'!$J:$J,MATCH(B28,'Pool Points'!$A:$A,0))</f>
        <v>0.7006</v>
      </c>
      <c r="J28">
        <f t="shared" si="0"/>
        <v>13</v>
      </c>
      <c r="K28">
        <f t="shared" si="1"/>
        <v>13</v>
      </c>
      <c r="L28">
        <f>INDEX('Pool Points'!$I:$I,MATCH(B28,'Pool Points'!$A:$A,0))</f>
        <v>13</v>
      </c>
      <c r="M28">
        <f t="shared" si="2"/>
        <v>0</v>
      </c>
      <c r="N28" t="str">
        <f t="shared" si="3"/>
        <v>Covered</v>
      </c>
    </row>
    <row r="29" spans="1:14" x14ac:dyDescent="0.35">
      <c r="A29" s="13">
        <v>46256</v>
      </c>
      <c r="B29" t="s">
        <v>70</v>
      </c>
      <c r="C29" t="s">
        <v>71</v>
      </c>
      <c r="D29" t="s">
        <v>72</v>
      </c>
      <c r="E29" s="14">
        <v>236</v>
      </c>
      <c r="F29" s="14">
        <v>221.7</v>
      </c>
      <c r="G29" s="14">
        <v>241.8</v>
      </c>
      <c r="H29" s="14">
        <v>0</v>
      </c>
      <c r="I29" s="17">
        <f>INDEX('Pool Points'!$J:$J,MATCH(B29,'Pool Points'!$A:$A,0))</f>
        <v>0.73829999999999996</v>
      </c>
      <c r="J29">
        <f t="shared" si="0"/>
        <v>13</v>
      </c>
      <c r="K29">
        <f t="shared" si="1"/>
        <v>13</v>
      </c>
      <c r="L29">
        <f>INDEX('Pool Points'!$I:$I,MATCH(B29,'Pool Points'!$A:$A,0))</f>
        <v>15</v>
      </c>
      <c r="M29">
        <f t="shared" si="2"/>
        <v>0</v>
      </c>
      <c r="N29" t="str">
        <f t="shared" si="3"/>
        <v>Covered</v>
      </c>
    </row>
    <row r="30" spans="1:14" x14ac:dyDescent="0.35">
      <c r="A30" s="13">
        <v>46256</v>
      </c>
      <c r="B30" t="s">
        <v>73</v>
      </c>
      <c r="C30" t="s">
        <v>74</v>
      </c>
      <c r="D30" t="s">
        <v>72</v>
      </c>
      <c r="E30" s="14">
        <v>241.8</v>
      </c>
      <c r="F30" s="14">
        <v>227.1</v>
      </c>
      <c r="G30" s="14">
        <v>247.8</v>
      </c>
      <c r="H30" s="14">
        <v>0</v>
      </c>
      <c r="I30" s="17">
        <f>INDEX('Pool Points'!$J:$J,MATCH(B30,'Pool Points'!$A:$A,0))</f>
        <v>0.79159999999999997</v>
      </c>
      <c r="J30">
        <f t="shared" si="0"/>
        <v>12</v>
      </c>
      <c r="K30">
        <f t="shared" si="1"/>
        <v>13</v>
      </c>
      <c r="L30">
        <f>INDEX('Pool Points'!$I:$I,MATCH(B30,'Pool Points'!$A:$A,0))</f>
        <v>15</v>
      </c>
      <c r="M30">
        <f t="shared" si="2"/>
        <v>0</v>
      </c>
      <c r="N30" t="str">
        <f t="shared" si="3"/>
        <v>Covered</v>
      </c>
    </row>
    <row r="31" spans="1:14" x14ac:dyDescent="0.35">
      <c r="A31" s="13">
        <v>46256</v>
      </c>
      <c r="B31" t="s">
        <v>3</v>
      </c>
      <c r="C31" t="s">
        <v>75</v>
      </c>
      <c r="D31" t="s">
        <v>76</v>
      </c>
      <c r="E31" s="14">
        <v>321.2</v>
      </c>
      <c r="F31" s="14">
        <v>301.60000000000002</v>
      </c>
      <c r="G31" s="14">
        <v>329.1</v>
      </c>
      <c r="H31" s="14">
        <v>0</v>
      </c>
      <c r="I31" s="17">
        <f>INDEX('Pool Points'!$J:$J,MATCH(B31,'Pool Points'!$A:$A,0))</f>
        <v>0.80469999999999997</v>
      </c>
      <c r="J31">
        <f t="shared" si="0"/>
        <v>16</v>
      </c>
      <c r="K31">
        <f t="shared" si="1"/>
        <v>16</v>
      </c>
      <c r="L31">
        <f>INDEX('Pool Points'!$I:$I,MATCH(B31,'Pool Points'!$A:$A,0))</f>
        <v>18</v>
      </c>
      <c r="M31">
        <f t="shared" si="2"/>
        <v>0</v>
      </c>
      <c r="N31" t="str">
        <f t="shared" si="3"/>
        <v>Covered</v>
      </c>
    </row>
    <row r="32" spans="1:14" x14ac:dyDescent="0.35">
      <c r="A32" s="13">
        <v>46256</v>
      </c>
      <c r="B32" t="s">
        <v>77</v>
      </c>
      <c r="C32" t="s">
        <v>78</v>
      </c>
      <c r="D32" t="s">
        <v>79</v>
      </c>
      <c r="E32" s="14">
        <v>231.2</v>
      </c>
      <c r="F32" s="14">
        <v>217.1</v>
      </c>
      <c r="G32" s="14">
        <v>236.8</v>
      </c>
      <c r="H32" s="14">
        <v>0</v>
      </c>
      <c r="I32" s="17">
        <f>INDEX('Pool Points'!$J:$J,MATCH(B32,'Pool Points'!$A:$A,0))</f>
        <v>0.74490000000000001</v>
      </c>
      <c r="J32">
        <f t="shared" si="0"/>
        <v>12</v>
      </c>
      <c r="K32">
        <f t="shared" si="1"/>
        <v>13</v>
      </c>
      <c r="L32">
        <f>INDEX('Pool Points'!$I:$I,MATCH(B32,'Pool Points'!$A:$A,0))</f>
        <v>15</v>
      </c>
      <c r="M32">
        <f t="shared" si="2"/>
        <v>0</v>
      </c>
      <c r="N32" t="str">
        <f t="shared" si="3"/>
        <v>Covered</v>
      </c>
    </row>
    <row r="33" spans="1:14" x14ac:dyDescent="0.35">
      <c r="A33" s="13">
        <v>46256</v>
      </c>
      <c r="B33" t="s">
        <v>80</v>
      </c>
      <c r="C33" t="s">
        <v>81</v>
      </c>
      <c r="D33" t="s">
        <v>79</v>
      </c>
      <c r="E33" s="14">
        <v>296.8</v>
      </c>
      <c r="F33" s="14">
        <v>278.8</v>
      </c>
      <c r="G33" s="14">
        <v>304.2</v>
      </c>
      <c r="H33" s="14">
        <v>0</v>
      </c>
      <c r="I33" s="17">
        <f>INDEX('Pool Points'!$J:$J,MATCH(B33,'Pool Points'!$A:$A,0))</f>
        <v>0.78369999999999995</v>
      </c>
      <c r="J33">
        <f t="shared" si="0"/>
        <v>15</v>
      </c>
      <c r="K33">
        <f t="shared" si="1"/>
        <v>15</v>
      </c>
      <c r="L33">
        <f>INDEX('Pool Points'!$I:$I,MATCH(B33,'Pool Points'!$A:$A,0))</f>
        <v>17</v>
      </c>
      <c r="M33">
        <f t="shared" si="2"/>
        <v>0</v>
      </c>
      <c r="N33" t="str">
        <f t="shared" si="3"/>
        <v>Covered</v>
      </c>
    </row>
    <row r="34" spans="1:14" x14ac:dyDescent="0.35">
      <c r="A34" s="13">
        <v>46256</v>
      </c>
      <c r="B34" t="s">
        <v>82</v>
      </c>
      <c r="C34" t="s">
        <v>83</v>
      </c>
      <c r="D34" t="s">
        <v>84</v>
      </c>
      <c r="E34" s="14">
        <v>274.7</v>
      </c>
      <c r="F34" s="14">
        <v>258</v>
      </c>
      <c r="G34" s="14">
        <v>281.5</v>
      </c>
      <c r="H34" s="14">
        <v>0</v>
      </c>
      <c r="I34" s="17">
        <f>INDEX('Pool Points'!$J:$J,MATCH(B34,'Pool Points'!$A:$A,0))</f>
        <v>0.76890000000000003</v>
      </c>
      <c r="J34">
        <f t="shared" si="0"/>
        <v>14</v>
      </c>
      <c r="K34">
        <f t="shared" si="1"/>
        <v>15</v>
      </c>
      <c r="L34">
        <f>INDEX('Pool Points'!$I:$I,MATCH(B34,'Pool Points'!$A:$A,0))</f>
        <v>17</v>
      </c>
      <c r="M34">
        <f t="shared" si="2"/>
        <v>0</v>
      </c>
      <c r="N34" t="str">
        <f t="shared" si="3"/>
        <v>Covered</v>
      </c>
    </row>
    <row r="35" spans="1:14" x14ac:dyDescent="0.35">
      <c r="A35" s="13">
        <v>46256</v>
      </c>
      <c r="B35" t="s">
        <v>85</v>
      </c>
      <c r="C35" t="s">
        <v>86</v>
      </c>
      <c r="D35" t="s">
        <v>84</v>
      </c>
      <c r="E35" s="14">
        <v>230.6</v>
      </c>
      <c r="F35" s="14">
        <v>216.6</v>
      </c>
      <c r="G35" s="14">
        <v>236.3</v>
      </c>
      <c r="H35" s="14">
        <v>0</v>
      </c>
      <c r="I35" s="17">
        <f>INDEX('Pool Points'!$J:$J,MATCH(B35,'Pool Points'!$A:$A,0))</f>
        <v>0.75660000000000005</v>
      </c>
      <c r="J35">
        <f t="shared" si="0"/>
        <v>12</v>
      </c>
      <c r="K35">
        <f t="shared" si="1"/>
        <v>13</v>
      </c>
      <c r="L35">
        <f>INDEX('Pool Points'!$I:$I,MATCH(B35,'Pool Points'!$A:$A,0))</f>
        <v>13</v>
      </c>
      <c r="M35">
        <f t="shared" si="2"/>
        <v>0</v>
      </c>
      <c r="N35" t="str">
        <f t="shared" si="3"/>
        <v>Covered</v>
      </c>
    </row>
    <row r="36" spans="1:14" x14ac:dyDescent="0.35">
      <c r="A36" s="13">
        <v>46256</v>
      </c>
      <c r="B36" t="s">
        <v>87</v>
      </c>
      <c r="C36" t="s">
        <v>88</v>
      </c>
      <c r="D36" t="s">
        <v>76</v>
      </c>
      <c r="E36" s="14">
        <v>221.8</v>
      </c>
      <c r="F36" s="14">
        <v>208.3</v>
      </c>
      <c r="G36" s="14">
        <v>227.3</v>
      </c>
      <c r="H36" s="14">
        <v>0</v>
      </c>
      <c r="I36" s="17">
        <f>INDEX('Pool Points'!$J:$J,MATCH(B36,'Pool Points'!$A:$A,0))</f>
        <v>0.7006</v>
      </c>
      <c r="J36">
        <f t="shared" si="0"/>
        <v>13</v>
      </c>
      <c r="K36">
        <f t="shared" si="1"/>
        <v>13</v>
      </c>
      <c r="L36">
        <f>INDEX('Pool Points'!$I:$I,MATCH(B36,'Pool Points'!$A:$A,0))</f>
        <v>13</v>
      </c>
      <c r="M36">
        <f t="shared" si="2"/>
        <v>0</v>
      </c>
      <c r="N36" t="str">
        <f t="shared" si="3"/>
        <v>Covered</v>
      </c>
    </row>
    <row r="37" spans="1:14" x14ac:dyDescent="0.35">
      <c r="A37" s="13">
        <v>46263</v>
      </c>
      <c r="B37" t="s">
        <v>70</v>
      </c>
      <c r="C37" t="s">
        <v>71</v>
      </c>
      <c r="D37" t="s">
        <v>72</v>
      </c>
      <c r="E37" s="14">
        <v>230.6</v>
      </c>
      <c r="F37" s="14">
        <v>216.6</v>
      </c>
      <c r="G37" s="14">
        <v>236.3</v>
      </c>
      <c r="H37" s="14">
        <v>0</v>
      </c>
      <c r="I37" s="17">
        <f>INDEX('Pool Points'!$J:$J,MATCH(B37,'Pool Points'!$A:$A,0))</f>
        <v>0.73829999999999996</v>
      </c>
      <c r="J37">
        <f t="shared" si="0"/>
        <v>13</v>
      </c>
      <c r="K37">
        <f t="shared" si="1"/>
        <v>13</v>
      </c>
      <c r="L37">
        <f>INDEX('Pool Points'!$I:$I,MATCH(B37,'Pool Points'!$A:$A,0))</f>
        <v>15</v>
      </c>
      <c r="M37">
        <f t="shared" si="2"/>
        <v>0</v>
      </c>
      <c r="N37" t="str">
        <f t="shared" si="3"/>
        <v>Covered</v>
      </c>
    </row>
    <row r="38" spans="1:14" x14ac:dyDescent="0.35">
      <c r="A38" s="13">
        <v>46263</v>
      </c>
      <c r="B38" t="s">
        <v>73</v>
      </c>
      <c r="C38" t="s">
        <v>74</v>
      </c>
      <c r="D38" t="s">
        <v>72</v>
      </c>
      <c r="E38" s="14">
        <v>232.7</v>
      </c>
      <c r="F38" s="14">
        <v>218.6</v>
      </c>
      <c r="G38" s="14">
        <v>238.5</v>
      </c>
      <c r="H38" s="14">
        <v>0</v>
      </c>
      <c r="I38" s="17">
        <f>INDEX('Pool Points'!$J:$J,MATCH(B38,'Pool Points'!$A:$A,0))</f>
        <v>0.79159999999999997</v>
      </c>
      <c r="J38">
        <f t="shared" si="0"/>
        <v>12</v>
      </c>
      <c r="K38">
        <f t="shared" si="1"/>
        <v>12</v>
      </c>
      <c r="L38">
        <f>INDEX('Pool Points'!$I:$I,MATCH(B38,'Pool Points'!$A:$A,0))</f>
        <v>15</v>
      </c>
      <c r="M38">
        <f t="shared" si="2"/>
        <v>0</v>
      </c>
      <c r="N38" t="str">
        <f t="shared" si="3"/>
        <v>Covered</v>
      </c>
    </row>
    <row r="39" spans="1:14" x14ac:dyDescent="0.35">
      <c r="A39" s="13">
        <v>46263</v>
      </c>
      <c r="B39" t="s">
        <v>3</v>
      </c>
      <c r="C39" t="s">
        <v>75</v>
      </c>
      <c r="D39" t="s">
        <v>76</v>
      </c>
      <c r="E39" s="14">
        <v>313.60000000000002</v>
      </c>
      <c r="F39" s="14">
        <v>294.5</v>
      </c>
      <c r="G39" s="14">
        <v>321.3</v>
      </c>
      <c r="H39" s="14">
        <v>0</v>
      </c>
      <c r="I39" s="17">
        <f>INDEX('Pool Points'!$J:$J,MATCH(B39,'Pool Points'!$A:$A,0))</f>
        <v>0.80469999999999997</v>
      </c>
      <c r="J39">
        <f t="shared" si="0"/>
        <v>15</v>
      </c>
      <c r="K39">
        <f t="shared" si="1"/>
        <v>16</v>
      </c>
      <c r="L39">
        <f>INDEX('Pool Points'!$I:$I,MATCH(B39,'Pool Points'!$A:$A,0))</f>
        <v>18</v>
      </c>
      <c r="M39">
        <f t="shared" si="2"/>
        <v>0</v>
      </c>
      <c r="N39" t="str">
        <f t="shared" si="3"/>
        <v>Covered</v>
      </c>
    </row>
    <row r="40" spans="1:14" x14ac:dyDescent="0.35">
      <c r="A40" s="13">
        <v>46263</v>
      </c>
      <c r="B40" t="s">
        <v>77</v>
      </c>
      <c r="C40" t="s">
        <v>78</v>
      </c>
      <c r="D40" t="s">
        <v>79</v>
      </c>
      <c r="E40" s="14">
        <v>224.4</v>
      </c>
      <c r="F40" s="14">
        <v>210.7</v>
      </c>
      <c r="G40" s="14">
        <v>229.9</v>
      </c>
      <c r="H40" s="14">
        <v>0</v>
      </c>
      <c r="I40" s="17">
        <f>INDEX('Pool Points'!$J:$J,MATCH(B40,'Pool Points'!$A:$A,0))</f>
        <v>0.74490000000000001</v>
      </c>
      <c r="J40">
        <f t="shared" si="0"/>
        <v>12</v>
      </c>
      <c r="K40">
        <f t="shared" si="1"/>
        <v>12</v>
      </c>
      <c r="L40">
        <f>INDEX('Pool Points'!$I:$I,MATCH(B40,'Pool Points'!$A:$A,0))</f>
        <v>15</v>
      </c>
      <c r="M40">
        <f t="shared" si="2"/>
        <v>0</v>
      </c>
      <c r="N40" t="str">
        <f t="shared" si="3"/>
        <v>Covered</v>
      </c>
    </row>
    <row r="41" spans="1:14" x14ac:dyDescent="0.35">
      <c r="A41" s="13">
        <v>46263</v>
      </c>
      <c r="B41" t="s">
        <v>80</v>
      </c>
      <c r="C41" t="s">
        <v>81</v>
      </c>
      <c r="D41" t="s">
        <v>79</v>
      </c>
      <c r="E41" s="14">
        <v>281.5</v>
      </c>
      <c r="F41" s="14">
        <v>264.39999999999998</v>
      </c>
      <c r="G41" s="14">
        <v>288.39999999999998</v>
      </c>
      <c r="H41" s="14">
        <v>0</v>
      </c>
      <c r="I41" s="17">
        <f>INDEX('Pool Points'!$J:$J,MATCH(B41,'Pool Points'!$A:$A,0))</f>
        <v>0.78369999999999995</v>
      </c>
      <c r="J41">
        <f t="shared" si="0"/>
        <v>14</v>
      </c>
      <c r="K41">
        <f t="shared" si="1"/>
        <v>15</v>
      </c>
      <c r="L41">
        <f>INDEX('Pool Points'!$I:$I,MATCH(B41,'Pool Points'!$A:$A,0))</f>
        <v>17</v>
      </c>
      <c r="M41">
        <f t="shared" si="2"/>
        <v>0</v>
      </c>
      <c r="N41" t="str">
        <f t="shared" si="3"/>
        <v>Covered</v>
      </c>
    </row>
    <row r="42" spans="1:14" x14ac:dyDescent="0.35">
      <c r="A42" s="13">
        <v>46263</v>
      </c>
      <c r="B42" t="s">
        <v>82</v>
      </c>
      <c r="C42" t="s">
        <v>83</v>
      </c>
      <c r="D42" t="s">
        <v>84</v>
      </c>
      <c r="E42" s="14">
        <v>271.8</v>
      </c>
      <c r="F42" s="14">
        <v>255.3</v>
      </c>
      <c r="G42" s="14">
        <v>278.5</v>
      </c>
      <c r="H42" s="14">
        <v>0</v>
      </c>
      <c r="I42" s="17">
        <f>INDEX('Pool Points'!$J:$J,MATCH(B42,'Pool Points'!$A:$A,0))</f>
        <v>0.76890000000000003</v>
      </c>
      <c r="J42">
        <f t="shared" si="0"/>
        <v>14</v>
      </c>
      <c r="K42">
        <f t="shared" si="1"/>
        <v>14</v>
      </c>
      <c r="L42">
        <f>INDEX('Pool Points'!$I:$I,MATCH(B42,'Pool Points'!$A:$A,0))</f>
        <v>17</v>
      </c>
      <c r="M42">
        <f t="shared" si="2"/>
        <v>0</v>
      </c>
      <c r="N42" t="str">
        <f t="shared" si="3"/>
        <v>Covered</v>
      </c>
    </row>
    <row r="43" spans="1:14" x14ac:dyDescent="0.35">
      <c r="A43" s="13">
        <v>46263</v>
      </c>
      <c r="B43" t="s">
        <v>85</v>
      </c>
      <c r="C43" t="s">
        <v>86</v>
      </c>
      <c r="D43" t="s">
        <v>84</v>
      </c>
      <c r="E43" s="14">
        <v>222.1</v>
      </c>
      <c r="F43" s="14">
        <v>208.6</v>
      </c>
      <c r="G43" s="14">
        <v>227.6</v>
      </c>
      <c r="H43" s="14">
        <v>0</v>
      </c>
      <c r="I43" s="17">
        <f>INDEX('Pool Points'!$J:$J,MATCH(B43,'Pool Points'!$A:$A,0))</f>
        <v>0.75660000000000005</v>
      </c>
      <c r="J43">
        <f t="shared" si="0"/>
        <v>12</v>
      </c>
      <c r="K43">
        <f t="shared" si="1"/>
        <v>12</v>
      </c>
      <c r="L43">
        <f>INDEX('Pool Points'!$I:$I,MATCH(B43,'Pool Points'!$A:$A,0))</f>
        <v>13</v>
      </c>
      <c r="M43">
        <f t="shared" si="2"/>
        <v>0</v>
      </c>
      <c r="N43" t="str">
        <f t="shared" si="3"/>
        <v>Covered</v>
      </c>
    </row>
    <row r="44" spans="1:14" x14ac:dyDescent="0.35">
      <c r="A44" s="13">
        <v>46263</v>
      </c>
      <c r="B44" t="s">
        <v>87</v>
      </c>
      <c r="C44" t="s">
        <v>88</v>
      </c>
      <c r="D44" t="s">
        <v>76</v>
      </c>
      <c r="E44" s="14">
        <v>211.7</v>
      </c>
      <c r="F44" s="14">
        <v>198.8</v>
      </c>
      <c r="G44" s="14">
        <v>216.9</v>
      </c>
      <c r="H44" s="14">
        <v>0</v>
      </c>
      <c r="I44" s="17">
        <f>INDEX('Pool Points'!$J:$J,MATCH(B44,'Pool Points'!$A:$A,0))</f>
        <v>0.7006</v>
      </c>
      <c r="J44">
        <f t="shared" si="0"/>
        <v>12</v>
      </c>
      <c r="K44">
        <f t="shared" si="1"/>
        <v>12</v>
      </c>
      <c r="L44">
        <f>INDEX('Pool Points'!$I:$I,MATCH(B44,'Pool Points'!$A:$A,0))</f>
        <v>13</v>
      </c>
      <c r="M44">
        <f t="shared" si="2"/>
        <v>0</v>
      </c>
      <c r="N44" t="str">
        <f t="shared" si="3"/>
        <v>Covered</v>
      </c>
    </row>
    <row r="45" spans="1:14" x14ac:dyDescent="0.35">
      <c r="A45" s="13">
        <v>46270</v>
      </c>
      <c r="B45" t="s">
        <v>70</v>
      </c>
      <c r="C45" t="s">
        <v>71</v>
      </c>
      <c r="D45" t="s">
        <v>72</v>
      </c>
      <c r="E45" s="14">
        <v>228.7</v>
      </c>
      <c r="F45" s="14">
        <v>214.8</v>
      </c>
      <c r="G45" s="14">
        <v>234.3</v>
      </c>
      <c r="H45" s="14">
        <v>0</v>
      </c>
      <c r="I45" s="17">
        <f>INDEX('Pool Points'!$J:$J,MATCH(B45,'Pool Points'!$A:$A,0))</f>
        <v>0.73829999999999996</v>
      </c>
      <c r="J45">
        <f t="shared" si="0"/>
        <v>12</v>
      </c>
      <c r="K45">
        <f t="shared" si="1"/>
        <v>13</v>
      </c>
      <c r="L45">
        <f>INDEX('Pool Points'!$I:$I,MATCH(B45,'Pool Points'!$A:$A,0))</f>
        <v>15</v>
      </c>
      <c r="M45">
        <f t="shared" si="2"/>
        <v>0</v>
      </c>
      <c r="N45" t="str">
        <f t="shared" si="3"/>
        <v>Covered</v>
      </c>
    </row>
    <row r="46" spans="1:14" x14ac:dyDescent="0.35">
      <c r="A46" s="13">
        <v>46270</v>
      </c>
      <c r="B46" t="s">
        <v>73</v>
      </c>
      <c r="C46" t="s">
        <v>74</v>
      </c>
      <c r="D46" t="s">
        <v>72</v>
      </c>
      <c r="E46" s="14">
        <v>231.8</v>
      </c>
      <c r="F46" s="14">
        <v>217.7</v>
      </c>
      <c r="G46" s="14">
        <v>237.5</v>
      </c>
      <c r="H46" s="14">
        <v>0</v>
      </c>
      <c r="I46" s="17">
        <f>INDEX('Pool Points'!$J:$J,MATCH(B46,'Pool Points'!$A:$A,0))</f>
        <v>0.79159999999999997</v>
      </c>
      <c r="J46">
        <f t="shared" si="0"/>
        <v>12</v>
      </c>
      <c r="K46">
        <f t="shared" si="1"/>
        <v>12</v>
      </c>
      <c r="L46">
        <f>INDEX('Pool Points'!$I:$I,MATCH(B46,'Pool Points'!$A:$A,0))</f>
        <v>15</v>
      </c>
      <c r="M46">
        <f t="shared" si="2"/>
        <v>0</v>
      </c>
      <c r="N46" t="str">
        <f t="shared" si="3"/>
        <v>Covered</v>
      </c>
    </row>
    <row r="47" spans="1:14" x14ac:dyDescent="0.35">
      <c r="A47" s="13">
        <v>46270</v>
      </c>
      <c r="B47" t="s">
        <v>3</v>
      </c>
      <c r="C47" t="s">
        <v>75</v>
      </c>
      <c r="D47" t="s">
        <v>76</v>
      </c>
      <c r="E47" s="14">
        <v>296</v>
      </c>
      <c r="F47" s="14">
        <v>278</v>
      </c>
      <c r="G47" s="14">
        <v>303.3</v>
      </c>
      <c r="H47" s="14">
        <v>0</v>
      </c>
      <c r="I47" s="17">
        <f>INDEX('Pool Points'!$J:$J,MATCH(B47,'Pool Points'!$A:$A,0))</f>
        <v>0.80469999999999997</v>
      </c>
      <c r="J47">
        <f t="shared" si="0"/>
        <v>15</v>
      </c>
      <c r="K47">
        <f t="shared" si="1"/>
        <v>15</v>
      </c>
      <c r="L47">
        <f>INDEX('Pool Points'!$I:$I,MATCH(B47,'Pool Points'!$A:$A,0))</f>
        <v>18</v>
      </c>
      <c r="M47">
        <f t="shared" si="2"/>
        <v>0</v>
      </c>
      <c r="N47" t="str">
        <f t="shared" si="3"/>
        <v>Covered</v>
      </c>
    </row>
    <row r="48" spans="1:14" x14ac:dyDescent="0.35">
      <c r="A48" s="13">
        <v>46270</v>
      </c>
      <c r="B48" t="s">
        <v>77</v>
      </c>
      <c r="C48" t="s">
        <v>78</v>
      </c>
      <c r="D48" t="s">
        <v>79</v>
      </c>
      <c r="E48" s="14">
        <v>217.1</v>
      </c>
      <c r="F48" s="14">
        <v>203.9</v>
      </c>
      <c r="G48" s="14">
        <v>222.4</v>
      </c>
      <c r="H48" s="14">
        <v>0</v>
      </c>
      <c r="I48" s="17">
        <f>INDEX('Pool Points'!$J:$J,MATCH(B48,'Pool Points'!$A:$A,0))</f>
        <v>0.74490000000000001</v>
      </c>
      <c r="J48">
        <f t="shared" si="0"/>
        <v>12</v>
      </c>
      <c r="K48">
        <f t="shared" si="1"/>
        <v>12</v>
      </c>
      <c r="L48">
        <f>INDEX('Pool Points'!$I:$I,MATCH(B48,'Pool Points'!$A:$A,0))</f>
        <v>15</v>
      </c>
      <c r="M48">
        <f t="shared" si="2"/>
        <v>0</v>
      </c>
      <c r="N48" t="str">
        <f t="shared" si="3"/>
        <v>Covered</v>
      </c>
    </row>
    <row r="49" spans="1:14" x14ac:dyDescent="0.35">
      <c r="A49" s="13">
        <v>46270</v>
      </c>
      <c r="B49" t="s">
        <v>80</v>
      </c>
      <c r="C49" t="s">
        <v>81</v>
      </c>
      <c r="D49" t="s">
        <v>79</v>
      </c>
      <c r="E49" s="14">
        <v>280.8</v>
      </c>
      <c r="F49" s="14">
        <v>263.7</v>
      </c>
      <c r="G49" s="14">
        <v>287.7</v>
      </c>
      <c r="H49" s="14">
        <v>0</v>
      </c>
      <c r="I49" s="17">
        <f>INDEX('Pool Points'!$J:$J,MATCH(B49,'Pool Points'!$A:$A,0))</f>
        <v>0.78369999999999995</v>
      </c>
      <c r="J49">
        <f t="shared" si="0"/>
        <v>14</v>
      </c>
      <c r="K49">
        <f t="shared" si="1"/>
        <v>15</v>
      </c>
      <c r="L49">
        <f>INDEX('Pool Points'!$I:$I,MATCH(B49,'Pool Points'!$A:$A,0))</f>
        <v>17</v>
      </c>
      <c r="M49">
        <f t="shared" si="2"/>
        <v>0</v>
      </c>
      <c r="N49" t="str">
        <f t="shared" si="3"/>
        <v>Covered</v>
      </c>
    </row>
    <row r="50" spans="1:14" x14ac:dyDescent="0.35">
      <c r="A50" s="13">
        <v>46270</v>
      </c>
      <c r="B50" t="s">
        <v>82</v>
      </c>
      <c r="C50" t="s">
        <v>83</v>
      </c>
      <c r="D50" t="s">
        <v>84</v>
      </c>
      <c r="E50" s="14">
        <v>261.8</v>
      </c>
      <c r="F50" s="14">
        <v>245.9</v>
      </c>
      <c r="G50" s="14">
        <v>268.3</v>
      </c>
      <c r="H50" s="14">
        <v>0</v>
      </c>
      <c r="I50" s="17">
        <f>INDEX('Pool Points'!$J:$J,MATCH(B50,'Pool Points'!$A:$A,0))</f>
        <v>0.76890000000000003</v>
      </c>
      <c r="J50">
        <f t="shared" si="0"/>
        <v>14</v>
      </c>
      <c r="K50">
        <f t="shared" si="1"/>
        <v>14</v>
      </c>
      <c r="L50">
        <f>INDEX('Pool Points'!$I:$I,MATCH(B50,'Pool Points'!$A:$A,0))</f>
        <v>17</v>
      </c>
      <c r="M50">
        <f t="shared" si="2"/>
        <v>0</v>
      </c>
      <c r="N50" t="str">
        <f t="shared" si="3"/>
        <v>Covered</v>
      </c>
    </row>
    <row r="51" spans="1:14" x14ac:dyDescent="0.35">
      <c r="A51" s="13">
        <v>46270</v>
      </c>
      <c r="B51" t="s">
        <v>85</v>
      </c>
      <c r="C51" t="s">
        <v>86</v>
      </c>
      <c r="D51" t="s">
        <v>84</v>
      </c>
      <c r="E51" s="14">
        <v>220.9</v>
      </c>
      <c r="F51" s="14">
        <v>207.4</v>
      </c>
      <c r="G51" s="14">
        <v>226.3</v>
      </c>
      <c r="H51" s="14">
        <v>0</v>
      </c>
      <c r="I51" s="17">
        <f>INDEX('Pool Points'!$J:$J,MATCH(B51,'Pool Points'!$A:$A,0))</f>
        <v>0.75660000000000005</v>
      </c>
      <c r="J51">
        <f t="shared" si="0"/>
        <v>12</v>
      </c>
      <c r="K51">
        <f t="shared" si="1"/>
        <v>12</v>
      </c>
      <c r="L51">
        <f>INDEX('Pool Points'!$I:$I,MATCH(B51,'Pool Points'!$A:$A,0))</f>
        <v>13</v>
      </c>
      <c r="M51">
        <f t="shared" si="2"/>
        <v>0</v>
      </c>
      <c r="N51" t="str">
        <f t="shared" si="3"/>
        <v>Covered</v>
      </c>
    </row>
    <row r="52" spans="1:14" x14ac:dyDescent="0.35">
      <c r="A52" s="13">
        <v>46270</v>
      </c>
      <c r="B52" t="s">
        <v>87</v>
      </c>
      <c r="C52" t="s">
        <v>88</v>
      </c>
      <c r="D52" t="s">
        <v>76</v>
      </c>
      <c r="E52" s="14">
        <v>206.3</v>
      </c>
      <c r="F52" s="14">
        <v>193.8</v>
      </c>
      <c r="G52" s="14">
        <v>211.4</v>
      </c>
      <c r="H52" s="14">
        <v>0</v>
      </c>
      <c r="I52" s="17">
        <f>INDEX('Pool Points'!$J:$J,MATCH(B52,'Pool Points'!$A:$A,0))</f>
        <v>0.7006</v>
      </c>
      <c r="J52">
        <f t="shared" si="0"/>
        <v>12</v>
      </c>
      <c r="K52">
        <f t="shared" si="1"/>
        <v>12</v>
      </c>
      <c r="L52">
        <f>INDEX('Pool Points'!$I:$I,MATCH(B52,'Pool Points'!$A:$A,0))</f>
        <v>13</v>
      </c>
      <c r="M52">
        <f t="shared" si="2"/>
        <v>0</v>
      </c>
      <c r="N52" t="str">
        <f t="shared" si="3"/>
        <v>Covered</v>
      </c>
    </row>
    <row r="53" spans="1:14" x14ac:dyDescent="0.35">
      <c r="A53" s="13">
        <v>46277</v>
      </c>
      <c r="B53" t="s">
        <v>70</v>
      </c>
      <c r="C53" t="s">
        <v>71</v>
      </c>
      <c r="D53" t="s">
        <v>72</v>
      </c>
      <c r="E53" s="14">
        <v>226.8</v>
      </c>
      <c r="F53" s="14">
        <v>213</v>
      </c>
      <c r="G53" s="14">
        <v>232.4</v>
      </c>
      <c r="H53" s="14">
        <v>0</v>
      </c>
      <c r="I53" s="17">
        <f>INDEX('Pool Points'!$J:$J,MATCH(B53,'Pool Points'!$A:$A,0))</f>
        <v>0.73829999999999996</v>
      </c>
      <c r="J53">
        <f t="shared" si="0"/>
        <v>12</v>
      </c>
      <c r="K53">
        <f t="shared" si="1"/>
        <v>13</v>
      </c>
      <c r="L53">
        <f>INDEX('Pool Points'!$I:$I,MATCH(B53,'Pool Points'!$A:$A,0))</f>
        <v>15</v>
      </c>
      <c r="M53">
        <f t="shared" si="2"/>
        <v>0</v>
      </c>
      <c r="N53" t="str">
        <f t="shared" si="3"/>
        <v>Covered</v>
      </c>
    </row>
    <row r="54" spans="1:14" x14ac:dyDescent="0.35">
      <c r="A54" s="13">
        <v>46277</v>
      </c>
      <c r="B54" t="s">
        <v>73</v>
      </c>
      <c r="C54" t="s">
        <v>74</v>
      </c>
      <c r="D54" t="s">
        <v>72</v>
      </c>
      <c r="E54" s="14">
        <v>220.8</v>
      </c>
      <c r="F54" s="14">
        <v>207.4</v>
      </c>
      <c r="G54" s="14">
        <v>226.2</v>
      </c>
      <c r="H54" s="14">
        <v>0</v>
      </c>
      <c r="I54" s="17">
        <f>INDEX('Pool Points'!$J:$J,MATCH(B54,'Pool Points'!$A:$A,0))</f>
        <v>0.79159999999999997</v>
      </c>
      <c r="J54">
        <f t="shared" si="0"/>
        <v>11</v>
      </c>
      <c r="K54">
        <f t="shared" si="1"/>
        <v>11</v>
      </c>
      <c r="L54">
        <f>INDEX('Pool Points'!$I:$I,MATCH(B54,'Pool Points'!$A:$A,0))</f>
        <v>15</v>
      </c>
      <c r="M54">
        <f t="shared" si="2"/>
        <v>0</v>
      </c>
      <c r="N54" t="str">
        <f t="shared" si="3"/>
        <v>Covered</v>
      </c>
    </row>
    <row r="55" spans="1:14" x14ac:dyDescent="0.35">
      <c r="A55" s="13">
        <v>46277</v>
      </c>
      <c r="B55" t="s">
        <v>3</v>
      </c>
      <c r="C55" t="s">
        <v>75</v>
      </c>
      <c r="D55" t="s">
        <v>76</v>
      </c>
      <c r="E55" s="14">
        <v>287.89999999999998</v>
      </c>
      <c r="F55" s="14">
        <v>270.39999999999998</v>
      </c>
      <c r="G55" s="14">
        <v>295</v>
      </c>
      <c r="H55" s="14">
        <v>0</v>
      </c>
      <c r="I55" s="17">
        <f>INDEX('Pool Points'!$J:$J,MATCH(B55,'Pool Points'!$A:$A,0))</f>
        <v>0.80469999999999997</v>
      </c>
      <c r="J55">
        <f t="shared" si="0"/>
        <v>14</v>
      </c>
      <c r="K55">
        <f t="shared" si="1"/>
        <v>15</v>
      </c>
      <c r="L55">
        <f>INDEX('Pool Points'!$I:$I,MATCH(B55,'Pool Points'!$A:$A,0))</f>
        <v>18</v>
      </c>
      <c r="M55">
        <f t="shared" si="2"/>
        <v>0</v>
      </c>
      <c r="N55" t="str">
        <f t="shared" si="3"/>
        <v>Covered</v>
      </c>
    </row>
    <row r="56" spans="1:14" x14ac:dyDescent="0.35">
      <c r="A56" s="13">
        <v>46277</v>
      </c>
      <c r="B56" t="s">
        <v>77</v>
      </c>
      <c r="C56" t="s">
        <v>78</v>
      </c>
      <c r="D56" t="s">
        <v>79</v>
      </c>
      <c r="E56" s="14">
        <v>221.1</v>
      </c>
      <c r="F56" s="14">
        <v>207.6</v>
      </c>
      <c r="G56" s="14">
        <v>226.5</v>
      </c>
      <c r="H56" s="14">
        <v>7.3</v>
      </c>
      <c r="I56" s="17">
        <f>INDEX('Pool Points'!$J:$J,MATCH(B56,'Pool Points'!$A:$A,0))</f>
        <v>0.74490000000000001</v>
      </c>
      <c r="J56">
        <f t="shared" si="0"/>
        <v>12</v>
      </c>
      <c r="K56">
        <f t="shared" si="1"/>
        <v>12</v>
      </c>
      <c r="L56">
        <f>INDEX('Pool Points'!$I:$I,MATCH(B56,'Pool Points'!$A:$A,0))</f>
        <v>15</v>
      </c>
      <c r="M56">
        <f t="shared" si="2"/>
        <v>0</v>
      </c>
      <c r="N56" t="str">
        <f t="shared" si="3"/>
        <v>Covered</v>
      </c>
    </row>
    <row r="57" spans="1:14" x14ac:dyDescent="0.35">
      <c r="A57" s="13">
        <v>46277</v>
      </c>
      <c r="B57" t="s">
        <v>80</v>
      </c>
      <c r="C57" t="s">
        <v>81</v>
      </c>
      <c r="D57" t="s">
        <v>79</v>
      </c>
      <c r="E57" s="14">
        <v>277.60000000000002</v>
      </c>
      <c r="F57" s="14">
        <v>260.8</v>
      </c>
      <c r="G57" s="14">
        <v>284.5</v>
      </c>
      <c r="H57" s="14">
        <v>0</v>
      </c>
      <c r="I57" s="17">
        <f>INDEX('Pool Points'!$J:$J,MATCH(B57,'Pool Points'!$A:$A,0))</f>
        <v>0.78369999999999995</v>
      </c>
      <c r="J57">
        <f t="shared" si="0"/>
        <v>14</v>
      </c>
      <c r="K57">
        <f t="shared" si="1"/>
        <v>14</v>
      </c>
      <c r="L57">
        <f>INDEX('Pool Points'!$I:$I,MATCH(B57,'Pool Points'!$A:$A,0))</f>
        <v>17</v>
      </c>
      <c r="M57">
        <f t="shared" si="2"/>
        <v>0</v>
      </c>
      <c r="N57" t="str">
        <f t="shared" si="3"/>
        <v>Covered</v>
      </c>
    </row>
    <row r="58" spans="1:14" x14ac:dyDescent="0.35">
      <c r="A58" s="13">
        <v>46277</v>
      </c>
      <c r="B58" t="s">
        <v>82</v>
      </c>
      <c r="C58" t="s">
        <v>83</v>
      </c>
      <c r="D58" t="s">
        <v>84</v>
      </c>
      <c r="E58" s="14">
        <v>255.7</v>
      </c>
      <c r="F58" s="14">
        <v>240.1</v>
      </c>
      <c r="G58" s="14">
        <v>262</v>
      </c>
      <c r="H58" s="14">
        <v>0</v>
      </c>
      <c r="I58" s="17">
        <f>INDEX('Pool Points'!$J:$J,MATCH(B58,'Pool Points'!$A:$A,0))</f>
        <v>0.76890000000000003</v>
      </c>
      <c r="J58">
        <f t="shared" si="0"/>
        <v>13</v>
      </c>
      <c r="K58">
        <f t="shared" si="1"/>
        <v>14</v>
      </c>
      <c r="L58">
        <f>INDEX('Pool Points'!$I:$I,MATCH(B58,'Pool Points'!$A:$A,0))</f>
        <v>17</v>
      </c>
      <c r="M58">
        <f t="shared" si="2"/>
        <v>0</v>
      </c>
      <c r="N58" t="str">
        <f t="shared" si="3"/>
        <v>Covered</v>
      </c>
    </row>
    <row r="59" spans="1:14" x14ac:dyDescent="0.35">
      <c r="A59" s="13">
        <v>46277</v>
      </c>
      <c r="B59" t="s">
        <v>85</v>
      </c>
      <c r="C59" t="s">
        <v>86</v>
      </c>
      <c r="D59" t="s">
        <v>84</v>
      </c>
      <c r="E59" s="14">
        <v>219.8</v>
      </c>
      <c r="F59" s="14">
        <v>206.5</v>
      </c>
      <c r="G59" s="14">
        <v>225.2</v>
      </c>
      <c r="H59" s="14">
        <v>0</v>
      </c>
      <c r="I59" s="17">
        <f>INDEX('Pool Points'!$J:$J,MATCH(B59,'Pool Points'!$A:$A,0))</f>
        <v>0.75660000000000005</v>
      </c>
      <c r="J59">
        <f t="shared" si="0"/>
        <v>12</v>
      </c>
      <c r="K59">
        <f t="shared" si="1"/>
        <v>12</v>
      </c>
      <c r="L59">
        <f>INDEX('Pool Points'!$I:$I,MATCH(B59,'Pool Points'!$A:$A,0))</f>
        <v>13</v>
      </c>
      <c r="M59">
        <f t="shared" si="2"/>
        <v>0</v>
      </c>
      <c r="N59" t="str">
        <f t="shared" si="3"/>
        <v>Covered</v>
      </c>
    </row>
    <row r="60" spans="1:14" x14ac:dyDescent="0.35">
      <c r="A60" s="13">
        <v>46277</v>
      </c>
      <c r="B60" t="s">
        <v>87</v>
      </c>
      <c r="C60" t="s">
        <v>88</v>
      </c>
      <c r="D60" t="s">
        <v>76</v>
      </c>
      <c r="E60" s="14">
        <v>202.3</v>
      </c>
      <c r="F60" s="14">
        <v>190</v>
      </c>
      <c r="G60" s="14">
        <v>207.3</v>
      </c>
      <c r="H60" s="14">
        <v>0</v>
      </c>
      <c r="I60" s="17">
        <f>INDEX('Pool Points'!$J:$J,MATCH(B60,'Pool Points'!$A:$A,0))</f>
        <v>0.7006</v>
      </c>
      <c r="J60">
        <f t="shared" si="0"/>
        <v>12</v>
      </c>
      <c r="K60">
        <f t="shared" si="1"/>
        <v>12</v>
      </c>
      <c r="L60">
        <f>INDEX('Pool Points'!$I:$I,MATCH(B60,'Pool Points'!$A:$A,0))</f>
        <v>13</v>
      </c>
      <c r="M60">
        <f t="shared" si="2"/>
        <v>0</v>
      </c>
      <c r="N60" t="str">
        <f t="shared" si="3"/>
        <v>Covered</v>
      </c>
    </row>
    <row r="61" spans="1:14" x14ac:dyDescent="0.35">
      <c r="A61" s="13">
        <v>46284</v>
      </c>
      <c r="B61" t="s">
        <v>70</v>
      </c>
      <c r="C61" t="s">
        <v>71</v>
      </c>
      <c r="D61" t="s">
        <v>72</v>
      </c>
      <c r="E61" s="14">
        <v>228.4</v>
      </c>
      <c r="F61" s="14">
        <v>214.5</v>
      </c>
      <c r="G61" s="14">
        <v>234</v>
      </c>
      <c r="H61" s="14">
        <v>0</v>
      </c>
      <c r="I61" s="17">
        <f>INDEX('Pool Points'!$J:$J,MATCH(B61,'Pool Points'!$A:$A,0))</f>
        <v>0.73829999999999996</v>
      </c>
      <c r="J61">
        <f t="shared" si="0"/>
        <v>12</v>
      </c>
      <c r="K61">
        <f t="shared" si="1"/>
        <v>13</v>
      </c>
      <c r="L61">
        <f>INDEX('Pool Points'!$I:$I,MATCH(B61,'Pool Points'!$A:$A,0))</f>
        <v>15</v>
      </c>
      <c r="M61">
        <f t="shared" si="2"/>
        <v>0</v>
      </c>
      <c r="N61" t="str">
        <f t="shared" si="3"/>
        <v>Covered</v>
      </c>
    </row>
    <row r="62" spans="1:14" x14ac:dyDescent="0.35">
      <c r="A62" s="13">
        <v>46284</v>
      </c>
      <c r="B62" t="s">
        <v>73</v>
      </c>
      <c r="C62" t="s">
        <v>74</v>
      </c>
      <c r="D62" t="s">
        <v>72</v>
      </c>
      <c r="E62" s="14">
        <v>221</v>
      </c>
      <c r="F62" s="14">
        <v>207.5</v>
      </c>
      <c r="G62" s="14">
        <v>226.4</v>
      </c>
      <c r="H62" s="14">
        <v>0</v>
      </c>
      <c r="I62" s="17">
        <f>INDEX('Pool Points'!$J:$J,MATCH(B62,'Pool Points'!$A:$A,0))</f>
        <v>0.79159999999999997</v>
      </c>
      <c r="J62">
        <f t="shared" si="0"/>
        <v>11</v>
      </c>
      <c r="K62">
        <f t="shared" si="1"/>
        <v>12</v>
      </c>
      <c r="L62">
        <f>INDEX('Pool Points'!$I:$I,MATCH(B62,'Pool Points'!$A:$A,0))</f>
        <v>15</v>
      </c>
      <c r="M62">
        <f t="shared" si="2"/>
        <v>0</v>
      </c>
      <c r="N62" t="str">
        <f t="shared" si="3"/>
        <v>Covered</v>
      </c>
    </row>
    <row r="63" spans="1:14" x14ac:dyDescent="0.35">
      <c r="A63" s="13">
        <v>46284</v>
      </c>
      <c r="B63" t="s">
        <v>3</v>
      </c>
      <c r="C63" t="s">
        <v>75</v>
      </c>
      <c r="D63" t="s">
        <v>76</v>
      </c>
      <c r="E63" s="14">
        <v>305.39999999999998</v>
      </c>
      <c r="F63" s="14">
        <v>286.8</v>
      </c>
      <c r="G63" s="14">
        <v>312.89999999999998</v>
      </c>
      <c r="H63" s="14">
        <v>0</v>
      </c>
      <c r="I63" s="17">
        <f>INDEX('Pool Points'!$J:$J,MATCH(B63,'Pool Points'!$A:$A,0))</f>
        <v>0.80469999999999997</v>
      </c>
      <c r="J63">
        <f t="shared" si="0"/>
        <v>15</v>
      </c>
      <c r="K63">
        <f t="shared" si="1"/>
        <v>15</v>
      </c>
      <c r="L63">
        <f>INDEX('Pool Points'!$I:$I,MATCH(B63,'Pool Points'!$A:$A,0))</f>
        <v>18</v>
      </c>
      <c r="M63">
        <f t="shared" si="2"/>
        <v>0</v>
      </c>
      <c r="N63" t="str">
        <f t="shared" si="3"/>
        <v>Covered</v>
      </c>
    </row>
    <row r="64" spans="1:14" x14ac:dyDescent="0.35">
      <c r="A64" s="13">
        <v>46284</v>
      </c>
      <c r="B64" t="s">
        <v>77</v>
      </c>
      <c r="C64" t="s">
        <v>78</v>
      </c>
      <c r="D64" t="s">
        <v>79</v>
      </c>
      <c r="E64" s="14">
        <v>220.4</v>
      </c>
      <c r="F64" s="14">
        <v>207</v>
      </c>
      <c r="G64" s="14">
        <v>225.8</v>
      </c>
      <c r="H64" s="14">
        <v>8</v>
      </c>
      <c r="I64" s="17">
        <f>INDEX('Pool Points'!$J:$J,MATCH(B64,'Pool Points'!$A:$A,0))</f>
        <v>0.74490000000000001</v>
      </c>
      <c r="J64">
        <f t="shared" si="0"/>
        <v>12</v>
      </c>
      <c r="K64">
        <f t="shared" si="1"/>
        <v>12</v>
      </c>
      <c r="L64">
        <f>INDEX('Pool Points'!$I:$I,MATCH(B64,'Pool Points'!$A:$A,0))</f>
        <v>15</v>
      </c>
      <c r="M64">
        <f t="shared" si="2"/>
        <v>0</v>
      </c>
      <c r="N64" t="str">
        <f t="shared" si="3"/>
        <v>Covered</v>
      </c>
    </row>
    <row r="65" spans="1:14" x14ac:dyDescent="0.35">
      <c r="A65" s="13">
        <v>46284</v>
      </c>
      <c r="B65" t="s">
        <v>80</v>
      </c>
      <c r="C65" t="s">
        <v>81</v>
      </c>
      <c r="D65" t="s">
        <v>79</v>
      </c>
      <c r="E65" s="14">
        <v>279.8</v>
      </c>
      <c r="F65" s="14">
        <v>262.8</v>
      </c>
      <c r="G65" s="14">
        <v>286.7</v>
      </c>
      <c r="H65" s="14">
        <v>0</v>
      </c>
      <c r="I65" s="17">
        <f>INDEX('Pool Points'!$J:$J,MATCH(B65,'Pool Points'!$A:$A,0))</f>
        <v>0.78369999999999995</v>
      </c>
      <c r="J65">
        <f t="shared" si="0"/>
        <v>14</v>
      </c>
      <c r="K65">
        <f t="shared" si="1"/>
        <v>15</v>
      </c>
      <c r="L65">
        <f>INDEX('Pool Points'!$I:$I,MATCH(B65,'Pool Points'!$A:$A,0))</f>
        <v>17</v>
      </c>
      <c r="M65">
        <f t="shared" si="2"/>
        <v>0</v>
      </c>
      <c r="N65" t="str">
        <f t="shared" si="3"/>
        <v>Covered</v>
      </c>
    </row>
    <row r="66" spans="1:14" x14ac:dyDescent="0.35">
      <c r="A66" s="13">
        <v>46284</v>
      </c>
      <c r="B66" t="s">
        <v>82</v>
      </c>
      <c r="C66" t="s">
        <v>83</v>
      </c>
      <c r="D66" t="s">
        <v>84</v>
      </c>
      <c r="E66" s="14">
        <v>266.7</v>
      </c>
      <c r="F66" s="14">
        <v>250.5</v>
      </c>
      <c r="G66" s="14">
        <v>273.3</v>
      </c>
      <c r="H66" s="14">
        <v>0</v>
      </c>
      <c r="I66" s="17">
        <f>INDEX('Pool Points'!$J:$J,MATCH(B66,'Pool Points'!$A:$A,0))</f>
        <v>0.76890000000000003</v>
      </c>
      <c r="J66">
        <f t="shared" si="0"/>
        <v>14</v>
      </c>
      <c r="K66">
        <f t="shared" si="1"/>
        <v>14</v>
      </c>
      <c r="L66">
        <f>INDEX('Pool Points'!$I:$I,MATCH(B66,'Pool Points'!$A:$A,0))</f>
        <v>17</v>
      </c>
      <c r="M66">
        <f t="shared" si="2"/>
        <v>0</v>
      </c>
      <c r="N66" t="str">
        <f t="shared" si="3"/>
        <v>Covered</v>
      </c>
    </row>
    <row r="67" spans="1:14" x14ac:dyDescent="0.35">
      <c r="A67" s="13">
        <v>46284</v>
      </c>
      <c r="B67" t="s">
        <v>85</v>
      </c>
      <c r="C67" t="s">
        <v>86</v>
      </c>
      <c r="D67" t="s">
        <v>84</v>
      </c>
      <c r="E67" s="14">
        <v>220</v>
      </c>
      <c r="F67" s="14">
        <v>206.7</v>
      </c>
      <c r="G67" s="14">
        <v>225.5</v>
      </c>
      <c r="H67" s="14">
        <v>0</v>
      </c>
      <c r="I67" s="17">
        <f>INDEX('Pool Points'!$J:$J,MATCH(B67,'Pool Points'!$A:$A,0))</f>
        <v>0.75660000000000005</v>
      </c>
      <c r="J67">
        <f t="shared" si="0"/>
        <v>12</v>
      </c>
      <c r="K67">
        <f t="shared" si="1"/>
        <v>12</v>
      </c>
      <c r="L67">
        <f>INDEX('Pool Points'!$I:$I,MATCH(B67,'Pool Points'!$A:$A,0))</f>
        <v>13</v>
      </c>
      <c r="M67">
        <f t="shared" si="2"/>
        <v>0</v>
      </c>
      <c r="N67" t="str">
        <f t="shared" si="3"/>
        <v>Covered</v>
      </c>
    </row>
    <row r="68" spans="1:14" x14ac:dyDescent="0.35">
      <c r="A68" s="13">
        <v>46284</v>
      </c>
      <c r="B68" t="s">
        <v>87</v>
      </c>
      <c r="C68" t="s">
        <v>88</v>
      </c>
      <c r="D68" t="s">
        <v>76</v>
      </c>
      <c r="E68" s="14">
        <v>204.6</v>
      </c>
      <c r="F68" s="14">
        <v>192.2</v>
      </c>
      <c r="G68" s="14">
        <v>209.7</v>
      </c>
      <c r="H68" s="14">
        <v>0</v>
      </c>
      <c r="I68" s="17">
        <f>INDEX('Pool Points'!$J:$J,MATCH(B68,'Pool Points'!$A:$A,0))</f>
        <v>0.7006</v>
      </c>
      <c r="J68">
        <f t="shared" si="0"/>
        <v>12</v>
      </c>
      <c r="K68">
        <f t="shared" si="1"/>
        <v>12</v>
      </c>
      <c r="L68">
        <f>INDEX('Pool Points'!$I:$I,MATCH(B68,'Pool Points'!$A:$A,0))</f>
        <v>13</v>
      </c>
      <c r="M68">
        <f t="shared" si="2"/>
        <v>0</v>
      </c>
      <c r="N68" t="str">
        <f t="shared" si="3"/>
        <v>Covered</v>
      </c>
    </row>
    <row r="69" spans="1:14" x14ac:dyDescent="0.35">
      <c r="A69" s="13">
        <v>46291</v>
      </c>
      <c r="B69" t="s">
        <v>70</v>
      </c>
      <c r="C69" t="s">
        <v>71</v>
      </c>
      <c r="D69" t="s">
        <v>72</v>
      </c>
      <c r="E69" s="14">
        <v>230.1</v>
      </c>
      <c r="F69" s="14">
        <v>216.1</v>
      </c>
      <c r="G69" s="14">
        <v>235.8</v>
      </c>
      <c r="H69" s="14">
        <v>0</v>
      </c>
      <c r="I69" s="17">
        <f>INDEX('Pool Points'!$J:$J,MATCH(B69,'Pool Points'!$A:$A,0))</f>
        <v>0.73829999999999996</v>
      </c>
      <c r="J69">
        <f t="shared" ref="J69:J132" si="4">ROUNDUP(E69/(PalletsPerTrailer*I69),0)</f>
        <v>12</v>
      </c>
      <c r="K69">
        <f t="shared" ref="K69:K132" si="5">ROUNDUP(G69/(PalletsPerTrailer*I69),0)</f>
        <v>13</v>
      </c>
      <c r="L69">
        <f>INDEX('Pool Points'!$I:$I,MATCH(B69,'Pool Points'!$A:$A,0))</f>
        <v>15</v>
      </c>
      <c r="M69">
        <f t="shared" ref="M69:M132" si="6">MAX(0,K69-L69)</f>
        <v>0</v>
      </c>
      <c r="N69" t="str">
        <f t="shared" ref="N69:N132" si="7">IF(J69&gt;L69,"Over capacity",IF(K69&gt;L69,"At risk","Covered"))</f>
        <v>Covered</v>
      </c>
    </row>
    <row r="70" spans="1:14" x14ac:dyDescent="0.35">
      <c r="A70" s="13">
        <v>46291</v>
      </c>
      <c r="B70" t="s">
        <v>73</v>
      </c>
      <c r="C70" t="s">
        <v>74</v>
      </c>
      <c r="D70" t="s">
        <v>72</v>
      </c>
      <c r="E70" s="14">
        <v>222.1</v>
      </c>
      <c r="F70" s="14">
        <v>208.6</v>
      </c>
      <c r="G70" s="14">
        <v>227.6</v>
      </c>
      <c r="H70" s="14">
        <v>0</v>
      </c>
      <c r="I70" s="17">
        <f>INDEX('Pool Points'!$J:$J,MATCH(B70,'Pool Points'!$A:$A,0))</f>
        <v>0.79159999999999997</v>
      </c>
      <c r="J70">
        <f t="shared" si="4"/>
        <v>11</v>
      </c>
      <c r="K70">
        <f t="shared" si="5"/>
        <v>12</v>
      </c>
      <c r="L70">
        <f>INDEX('Pool Points'!$I:$I,MATCH(B70,'Pool Points'!$A:$A,0))</f>
        <v>15</v>
      </c>
      <c r="M70">
        <f t="shared" si="6"/>
        <v>0</v>
      </c>
      <c r="N70" t="str">
        <f t="shared" si="7"/>
        <v>Covered</v>
      </c>
    </row>
    <row r="71" spans="1:14" x14ac:dyDescent="0.35">
      <c r="A71" s="13">
        <v>46291</v>
      </c>
      <c r="B71" t="s">
        <v>3</v>
      </c>
      <c r="C71" t="s">
        <v>75</v>
      </c>
      <c r="D71" t="s">
        <v>76</v>
      </c>
      <c r="E71" s="14">
        <v>303.5</v>
      </c>
      <c r="F71" s="14">
        <v>285.10000000000002</v>
      </c>
      <c r="G71" s="14">
        <v>311</v>
      </c>
      <c r="H71" s="14">
        <v>0</v>
      </c>
      <c r="I71" s="17">
        <f>INDEX('Pool Points'!$J:$J,MATCH(B71,'Pool Points'!$A:$A,0))</f>
        <v>0.80469999999999997</v>
      </c>
      <c r="J71">
        <f t="shared" si="4"/>
        <v>15</v>
      </c>
      <c r="K71">
        <f t="shared" si="5"/>
        <v>15</v>
      </c>
      <c r="L71">
        <f>INDEX('Pool Points'!$I:$I,MATCH(B71,'Pool Points'!$A:$A,0))</f>
        <v>18</v>
      </c>
      <c r="M71">
        <f t="shared" si="6"/>
        <v>0</v>
      </c>
      <c r="N71" t="str">
        <f t="shared" si="7"/>
        <v>Covered</v>
      </c>
    </row>
    <row r="72" spans="1:14" x14ac:dyDescent="0.35">
      <c r="A72" s="13">
        <v>46291</v>
      </c>
      <c r="B72" t="s">
        <v>77</v>
      </c>
      <c r="C72" t="s">
        <v>78</v>
      </c>
      <c r="D72" t="s">
        <v>79</v>
      </c>
      <c r="E72" s="14">
        <v>226.4</v>
      </c>
      <c r="F72" s="14">
        <v>212.7</v>
      </c>
      <c r="G72" s="14">
        <v>232</v>
      </c>
      <c r="H72" s="14">
        <v>9</v>
      </c>
      <c r="I72" s="17">
        <f>INDEX('Pool Points'!$J:$J,MATCH(B72,'Pool Points'!$A:$A,0))</f>
        <v>0.74490000000000001</v>
      </c>
      <c r="J72">
        <f t="shared" si="4"/>
        <v>12</v>
      </c>
      <c r="K72">
        <f t="shared" si="5"/>
        <v>12</v>
      </c>
      <c r="L72">
        <f>INDEX('Pool Points'!$I:$I,MATCH(B72,'Pool Points'!$A:$A,0))</f>
        <v>15</v>
      </c>
      <c r="M72">
        <f t="shared" si="6"/>
        <v>0</v>
      </c>
      <c r="N72" t="str">
        <f t="shared" si="7"/>
        <v>Covered</v>
      </c>
    </row>
    <row r="73" spans="1:14" x14ac:dyDescent="0.35">
      <c r="A73" s="13">
        <v>46291</v>
      </c>
      <c r="B73" t="s">
        <v>80</v>
      </c>
      <c r="C73" t="s">
        <v>81</v>
      </c>
      <c r="D73" t="s">
        <v>79</v>
      </c>
      <c r="E73" s="14">
        <v>280</v>
      </c>
      <c r="F73" s="14">
        <v>263</v>
      </c>
      <c r="G73" s="14">
        <v>286.89999999999998</v>
      </c>
      <c r="H73" s="14">
        <v>0</v>
      </c>
      <c r="I73" s="17">
        <f>INDEX('Pool Points'!$J:$J,MATCH(B73,'Pool Points'!$A:$A,0))</f>
        <v>0.78369999999999995</v>
      </c>
      <c r="J73">
        <f t="shared" si="4"/>
        <v>14</v>
      </c>
      <c r="K73">
        <f t="shared" si="5"/>
        <v>15</v>
      </c>
      <c r="L73">
        <f>INDEX('Pool Points'!$I:$I,MATCH(B73,'Pool Points'!$A:$A,0))</f>
        <v>17</v>
      </c>
      <c r="M73">
        <f t="shared" si="6"/>
        <v>0</v>
      </c>
      <c r="N73" t="str">
        <f t="shared" si="7"/>
        <v>Covered</v>
      </c>
    </row>
    <row r="74" spans="1:14" x14ac:dyDescent="0.35">
      <c r="A74" s="13">
        <v>46291</v>
      </c>
      <c r="B74" t="s">
        <v>82</v>
      </c>
      <c r="C74" t="s">
        <v>83</v>
      </c>
      <c r="D74" t="s">
        <v>84</v>
      </c>
      <c r="E74" s="14">
        <v>263.2</v>
      </c>
      <c r="F74" s="14">
        <v>247.2</v>
      </c>
      <c r="G74" s="14">
        <v>269.7</v>
      </c>
      <c r="H74" s="14">
        <v>0</v>
      </c>
      <c r="I74" s="17">
        <f>INDEX('Pool Points'!$J:$J,MATCH(B74,'Pool Points'!$A:$A,0))</f>
        <v>0.76890000000000003</v>
      </c>
      <c r="J74">
        <f t="shared" si="4"/>
        <v>14</v>
      </c>
      <c r="K74">
        <f t="shared" si="5"/>
        <v>14</v>
      </c>
      <c r="L74">
        <f>INDEX('Pool Points'!$I:$I,MATCH(B74,'Pool Points'!$A:$A,0))</f>
        <v>17</v>
      </c>
      <c r="M74">
        <f t="shared" si="6"/>
        <v>0</v>
      </c>
      <c r="N74" t="str">
        <f t="shared" si="7"/>
        <v>Covered</v>
      </c>
    </row>
    <row r="75" spans="1:14" x14ac:dyDescent="0.35">
      <c r="A75" s="13">
        <v>46291</v>
      </c>
      <c r="B75" t="s">
        <v>85</v>
      </c>
      <c r="C75" t="s">
        <v>86</v>
      </c>
      <c r="D75" t="s">
        <v>84</v>
      </c>
      <c r="E75" s="14">
        <v>221.2</v>
      </c>
      <c r="F75" s="14">
        <v>207.8</v>
      </c>
      <c r="G75" s="14">
        <v>226.7</v>
      </c>
      <c r="H75" s="14">
        <v>0</v>
      </c>
      <c r="I75" s="17">
        <f>INDEX('Pool Points'!$J:$J,MATCH(B75,'Pool Points'!$A:$A,0))</f>
        <v>0.75660000000000005</v>
      </c>
      <c r="J75">
        <f t="shared" si="4"/>
        <v>12</v>
      </c>
      <c r="K75">
        <f t="shared" si="5"/>
        <v>12</v>
      </c>
      <c r="L75">
        <f>INDEX('Pool Points'!$I:$I,MATCH(B75,'Pool Points'!$A:$A,0))</f>
        <v>13</v>
      </c>
      <c r="M75">
        <f t="shared" si="6"/>
        <v>0</v>
      </c>
      <c r="N75" t="str">
        <f t="shared" si="7"/>
        <v>Covered</v>
      </c>
    </row>
    <row r="76" spans="1:14" x14ac:dyDescent="0.35">
      <c r="A76" s="13">
        <v>46291</v>
      </c>
      <c r="B76" t="s">
        <v>87</v>
      </c>
      <c r="C76" t="s">
        <v>88</v>
      </c>
      <c r="D76" t="s">
        <v>76</v>
      </c>
      <c r="E76" s="14">
        <v>206</v>
      </c>
      <c r="F76" s="14">
        <v>193.5</v>
      </c>
      <c r="G76" s="14">
        <v>211.1</v>
      </c>
      <c r="H76" s="14">
        <v>0</v>
      </c>
      <c r="I76" s="17">
        <f>INDEX('Pool Points'!$J:$J,MATCH(B76,'Pool Points'!$A:$A,0))</f>
        <v>0.7006</v>
      </c>
      <c r="J76">
        <f t="shared" si="4"/>
        <v>12</v>
      </c>
      <c r="K76">
        <f t="shared" si="5"/>
        <v>12</v>
      </c>
      <c r="L76">
        <f>INDEX('Pool Points'!$I:$I,MATCH(B76,'Pool Points'!$A:$A,0))</f>
        <v>13</v>
      </c>
      <c r="M76">
        <f t="shared" si="6"/>
        <v>0</v>
      </c>
      <c r="N76" t="str">
        <f t="shared" si="7"/>
        <v>Covered</v>
      </c>
    </row>
    <row r="77" spans="1:14" x14ac:dyDescent="0.35">
      <c r="A77" s="13">
        <v>46298</v>
      </c>
      <c r="B77" t="s">
        <v>70</v>
      </c>
      <c r="C77" t="s">
        <v>71</v>
      </c>
      <c r="D77" t="s">
        <v>72</v>
      </c>
      <c r="E77" s="14">
        <v>224.8</v>
      </c>
      <c r="F77" s="14">
        <v>211.1</v>
      </c>
      <c r="G77" s="14">
        <v>230.4</v>
      </c>
      <c r="H77" s="14">
        <v>0</v>
      </c>
      <c r="I77" s="17">
        <f>INDEX('Pool Points'!$J:$J,MATCH(B77,'Pool Points'!$A:$A,0))</f>
        <v>0.73829999999999996</v>
      </c>
      <c r="J77">
        <f t="shared" si="4"/>
        <v>12</v>
      </c>
      <c r="K77">
        <f t="shared" si="5"/>
        <v>13</v>
      </c>
      <c r="L77">
        <f>INDEX('Pool Points'!$I:$I,MATCH(B77,'Pool Points'!$A:$A,0))</f>
        <v>15</v>
      </c>
      <c r="M77">
        <f t="shared" si="6"/>
        <v>0</v>
      </c>
      <c r="N77" t="str">
        <f t="shared" si="7"/>
        <v>Covered</v>
      </c>
    </row>
    <row r="78" spans="1:14" x14ac:dyDescent="0.35">
      <c r="A78" s="13">
        <v>46298</v>
      </c>
      <c r="B78" t="s">
        <v>73</v>
      </c>
      <c r="C78" t="s">
        <v>74</v>
      </c>
      <c r="D78" t="s">
        <v>72</v>
      </c>
      <c r="E78" s="14">
        <v>227.6</v>
      </c>
      <c r="F78" s="14">
        <v>213.7</v>
      </c>
      <c r="G78" s="14">
        <v>233.2</v>
      </c>
      <c r="H78" s="14">
        <v>0</v>
      </c>
      <c r="I78" s="17">
        <f>INDEX('Pool Points'!$J:$J,MATCH(B78,'Pool Points'!$A:$A,0))</f>
        <v>0.79159999999999997</v>
      </c>
      <c r="J78">
        <f t="shared" si="4"/>
        <v>12</v>
      </c>
      <c r="K78">
        <f t="shared" si="5"/>
        <v>12</v>
      </c>
      <c r="L78">
        <f>INDEX('Pool Points'!$I:$I,MATCH(B78,'Pool Points'!$A:$A,0))</f>
        <v>15</v>
      </c>
      <c r="M78">
        <f t="shared" si="6"/>
        <v>0</v>
      </c>
      <c r="N78" t="str">
        <f t="shared" si="7"/>
        <v>Covered</v>
      </c>
    </row>
    <row r="79" spans="1:14" x14ac:dyDescent="0.35">
      <c r="A79" s="13">
        <v>46298</v>
      </c>
      <c r="B79" t="s">
        <v>3</v>
      </c>
      <c r="C79" t="s">
        <v>75</v>
      </c>
      <c r="D79" t="s">
        <v>76</v>
      </c>
      <c r="E79" s="14">
        <v>298.5</v>
      </c>
      <c r="F79" s="14">
        <v>280.3</v>
      </c>
      <c r="G79" s="14">
        <v>305.8</v>
      </c>
      <c r="H79" s="14">
        <v>0</v>
      </c>
      <c r="I79" s="17">
        <f>INDEX('Pool Points'!$J:$J,MATCH(B79,'Pool Points'!$A:$A,0))</f>
        <v>0.80469999999999997</v>
      </c>
      <c r="J79">
        <f t="shared" si="4"/>
        <v>15</v>
      </c>
      <c r="K79">
        <f t="shared" si="5"/>
        <v>15</v>
      </c>
      <c r="L79">
        <f>INDEX('Pool Points'!$I:$I,MATCH(B79,'Pool Points'!$A:$A,0))</f>
        <v>18</v>
      </c>
      <c r="M79">
        <f t="shared" si="6"/>
        <v>0</v>
      </c>
      <c r="N79" t="str">
        <f t="shared" si="7"/>
        <v>Covered</v>
      </c>
    </row>
    <row r="80" spans="1:14" x14ac:dyDescent="0.35">
      <c r="A80" s="13">
        <v>46298</v>
      </c>
      <c r="B80" t="s">
        <v>77</v>
      </c>
      <c r="C80" t="s">
        <v>78</v>
      </c>
      <c r="D80" t="s">
        <v>79</v>
      </c>
      <c r="E80" s="14">
        <v>232.3</v>
      </c>
      <c r="F80" s="14">
        <v>218.1</v>
      </c>
      <c r="G80" s="14">
        <v>238</v>
      </c>
      <c r="H80" s="14">
        <v>9.9</v>
      </c>
      <c r="I80" s="17">
        <f>INDEX('Pool Points'!$J:$J,MATCH(B80,'Pool Points'!$A:$A,0))</f>
        <v>0.74490000000000001</v>
      </c>
      <c r="J80">
        <f t="shared" si="4"/>
        <v>12</v>
      </c>
      <c r="K80">
        <f t="shared" si="5"/>
        <v>13</v>
      </c>
      <c r="L80">
        <f>INDEX('Pool Points'!$I:$I,MATCH(B80,'Pool Points'!$A:$A,0))</f>
        <v>15</v>
      </c>
      <c r="M80">
        <f t="shared" si="6"/>
        <v>0</v>
      </c>
      <c r="N80" t="str">
        <f t="shared" si="7"/>
        <v>Covered</v>
      </c>
    </row>
    <row r="81" spans="1:14" x14ac:dyDescent="0.35">
      <c r="A81" s="13">
        <v>46298</v>
      </c>
      <c r="B81" t="s">
        <v>80</v>
      </c>
      <c r="C81" t="s">
        <v>81</v>
      </c>
      <c r="D81" t="s">
        <v>79</v>
      </c>
      <c r="E81" s="14">
        <v>283</v>
      </c>
      <c r="F81" s="14">
        <v>265.8</v>
      </c>
      <c r="G81" s="14">
        <v>290</v>
      </c>
      <c r="H81" s="14">
        <v>0</v>
      </c>
      <c r="I81" s="17">
        <f>INDEX('Pool Points'!$J:$J,MATCH(B81,'Pool Points'!$A:$A,0))</f>
        <v>0.78369999999999995</v>
      </c>
      <c r="J81">
        <f t="shared" si="4"/>
        <v>14</v>
      </c>
      <c r="K81">
        <f t="shared" si="5"/>
        <v>15</v>
      </c>
      <c r="L81">
        <f>INDEX('Pool Points'!$I:$I,MATCH(B81,'Pool Points'!$A:$A,0))</f>
        <v>17</v>
      </c>
      <c r="M81">
        <f t="shared" si="6"/>
        <v>0</v>
      </c>
      <c r="N81" t="str">
        <f t="shared" si="7"/>
        <v>Covered</v>
      </c>
    </row>
    <row r="82" spans="1:14" x14ac:dyDescent="0.35">
      <c r="A82" s="13">
        <v>46298</v>
      </c>
      <c r="B82" t="s">
        <v>82</v>
      </c>
      <c r="C82" t="s">
        <v>83</v>
      </c>
      <c r="D82" t="s">
        <v>84</v>
      </c>
      <c r="E82" s="14">
        <v>266.8</v>
      </c>
      <c r="F82" s="14">
        <v>250.6</v>
      </c>
      <c r="G82" s="14">
        <v>273.39999999999998</v>
      </c>
      <c r="H82" s="14">
        <v>0</v>
      </c>
      <c r="I82" s="17">
        <f>INDEX('Pool Points'!$J:$J,MATCH(B82,'Pool Points'!$A:$A,0))</f>
        <v>0.76890000000000003</v>
      </c>
      <c r="J82">
        <f t="shared" si="4"/>
        <v>14</v>
      </c>
      <c r="K82">
        <f t="shared" si="5"/>
        <v>14</v>
      </c>
      <c r="L82">
        <f>INDEX('Pool Points'!$I:$I,MATCH(B82,'Pool Points'!$A:$A,0))</f>
        <v>17</v>
      </c>
      <c r="M82">
        <f t="shared" si="6"/>
        <v>0</v>
      </c>
      <c r="N82" t="str">
        <f t="shared" si="7"/>
        <v>Covered</v>
      </c>
    </row>
    <row r="83" spans="1:14" x14ac:dyDescent="0.35">
      <c r="A83" s="13">
        <v>46298</v>
      </c>
      <c r="B83" t="s">
        <v>85</v>
      </c>
      <c r="C83" t="s">
        <v>86</v>
      </c>
      <c r="D83" t="s">
        <v>84</v>
      </c>
      <c r="E83" s="14">
        <v>219.8</v>
      </c>
      <c r="F83" s="14">
        <v>206.4</v>
      </c>
      <c r="G83" s="14">
        <v>225.2</v>
      </c>
      <c r="H83" s="14">
        <v>0</v>
      </c>
      <c r="I83" s="17">
        <f>INDEX('Pool Points'!$J:$J,MATCH(B83,'Pool Points'!$A:$A,0))</f>
        <v>0.75660000000000005</v>
      </c>
      <c r="J83">
        <f t="shared" si="4"/>
        <v>12</v>
      </c>
      <c r="K83">
        <f t="shared" si="5"/>
        <v>12</v>
      </c>
      <c r="L83">
        <f>INDEX('Pool Points'!$I:$I,MATCH(B83,'Pool Points'!$A:$A,0))</f>
        <v>13</v>
      </c>
      <c r="M83">
        <f t="shared" si="6"/>
        <v>0</v>
      </c>
      <c r="N83" t="str">
        <f t="shared" si="7"/>
        <v>Covered</v>
      </c>
    </row>
    <row r="84" spans="1:14" x14ac:dyDescent="0.35">
      <c r="A84" s="13">
        <v>46298</v>
      </c>
      <c r="B84" t="s">
        <v>87</v>
      </c>
      <c r="C84" t="s">
        <v>88</v>
      </c>
      <c r="D84" t="s">
        <v>76</v>
      </c>
      <c r="E84" s="14">
        <v>209.8</v>
      </c>
      <c r="F84" s="14">
        <v>197</v>
      </c>
      <c r="G84" s="14">
        <v>214.9</v>
      </c>
      <c r="H84" s="14">
        <v>0</v>
      </c>
      <c r="I84" s="17">
        <f>INDEX('Pool Points'!$J:$J,MATCH(B84,'Pool Points'!$A:$A,0))</f>
        <v>0.7006</v>
      </c>
      <c r="J84">
        <f t="shared" si="4"/>
        <v>12</v>
      </c>
      <c r="K84">
        <f t="shared" si="5"/>
        <v>12</v>
      </c>
      <c r="L84">
        <f>INDEX('Pool Points'!$I:$I,MATCH(B84,'Pool Points'!$A:$A,0))</f>
        <v>13</v>
      </c>
      <c r="M84">
        <f t="shared" si="6"/>
        <v>0</v>
      </c>
      <c r="N84" t="str">
        <f t="shared" si="7"/>
        <v>Covered</v>
      </c>
    </row>
    <row r="85" spans="1:14" x14ac:dyDescent="0.35">
      <c r="A85" s="13">
        <v>46305</v>
      </c>
      <c r="B85" t="s">
        <v>70</v>
      </c>
      <c r="C85" t="s">
        <v>71</v>
      </c>
      <c r="D85" t="s">
        <v>72</v>
      </c>
      <c r="E85" s="14">
        <v>236.6</v>
      </c>
      <c r="F85" s="14">
        <v>222.2</v>
      </c>
      <c r="G85" s="14">
        <v>242.4</v>
      </c>
      <c r="H85" s="14">
        <v>0</v>
      </c>
      <c r="I85" s="17">
        <f>INDEX('Pool Points'!$J:$J,MATCH(B85,'Pool Points'!$A:$A,0))</f>
        <v>0.73829999999999996</v>
      </c>
      <c r="J85">
        <f t="shared" si="4"/>
        <v>13</v>
      </c>
      <c r="K85">
        <f t="shared" si="5"/>
        <v>13</v>
      </c>
      <c r="L85">
        <f>INDEX('Pool Points'!$I:$I,MATCH(B85,'Pool Points'!$A:$A,0))</f>
        <v>15</v>
      </c>
      <c r="M85">
        <f t="shared" si="6"/>
        <v>0</v>
      </c>
      <c r="N85" t="str">
        <f t="shared" si="7"/>
        <v>Covered</v>
      </c>
    </row>
    <row r="86" spans="1:14" x14ac:dyDescent="0.35">
      <c r="A86" s="13">
        <v>46305</v>
      </c>
      <c r="B86" t="s">
        <v>73</v>
      </c>
      <c r="C86" t="s">
        <v>74</v>
      </c>
      <c r="D86" t="s">
        <v>72</v>
      </c>
      <c r="E86" s="14">
        <v>230.1</v>
      </c>
      <c r="F86" s="14">
        <v>216.1</v>
      </c>
      <c r="G86" s="14">
        <v>235.8</v>
      </c>
      <c r="H86" s="14">
        <v>0</v>
      </c>
      <c r="I86" s="17">
        <f>INDEX('Pool Points'!$J:$J,MATCH(B86,'Pool Points'!$A:$A,0))</f>
        <v>0.79159999999999997</v>
      </c>
      <c r="J86">
        <f t="shared" si="4"/>
        <v>12</v>
      </c>
      <c r="K86">
        <f t="shared" si="5"/>
        <v>12</v>
      </c>
      <c r="L86">
        <f>INDEX('Pool Points'!$I:$I,MATCH(B86,'Pool Points'!$A:$A,0))</f>
        <v>15</v>
      </c>
      <c r="M86">
        <f t="shared" si="6"/>
        <v>0</v>
      </c>
      <c r="N86" t="str">
        <f t="shared" si="7"/>
        <v>Covered</v>
      </c>
    </row>
    <row r="87" spans="1:14" x14ac:dyDescent="0.35">
      <c r="A87" s="13">
        <v>46305</v>
      </c>
      <c r="B87" t="s">
        <v>3</v>
      </c>
      <c r="C87" t="s">
        <v>75</v>
      </c>
      <c r="D87" t="s">
        <v>76</v>
      </c>
      <c r="E87" s="14">
        <v>311.10000000000002</v>
      </c>
      <c r="F87" s="14">
        <v>292.2</v>
      </c>
      <c r="G87" s="14">
        <v>318.8</v>
      </c>
      <c r="H87" s="14">
        <v>0</v>
      </c>
      <c r="I87" s="17">
        <f>INDEX('Pool Points'!$J:$J,MATCH(B87,'Pool Points'!$A:$A,0))</f>
        <v>0.80469999999999997</v>
      </c>
      <c r="J87">
        <f t="shared" si="4"/>
        <v>15</v>
      </c>
      <c r="K87">
        <f t="shared" si="5"/>
        <v>16</v>
      </c>
      <c r="L87">
        <f>INDEX('Pool Points'!$I:$I,MATCH(B87,'Pool Points'!$A:$A,0))</f>
        <v>18</v>
      </c>
      <c r="M87">
        <f t="shared" si="6"/>
        <v>0</v>
      </c>
      <c r="N87" t="str">
        <f t="shared" si="7"/>
        <v>Covered</v>
      </c>
    </row>
    <row r="88" spans="1:14" x14ac:dyDescent="0.35">
      <c r="A88" s="13">
        <v>46305</v>
      </c>
      <c r="B88" t="s">
        <v>77</v>
      </c>
      <c r="C88" t="s">
        <v>78</v>
      </c>
      <c r="D88" t="s">
        <v>79</v>
      </c>
      <c r="E88" s="14">
        <v>231.4</v>
      </c>
      <c r="F88" s="14">
        <v>217.4</v>
      </c>
      <c r="G88" s="14">
        <v>237.1</v>
      </c>
      <c r="H88" s="14">
        <v>10.7</v>
      </c>
      <c r="I88" s="17">
        <f>INDEX('Pool Points'!$J:$J,MATCH(B88,'Pool Points'!$A:$A,0))</f>
        <v>0.74490000000000001</v>
      </c>
      <c r="J88">
        <f t="shared" si="4"/>
        <v>12</v>
      </c>
      <c r="K88">
        <f t="shared" si="5"/>
        <v>13</v>
      </c>
      <c r="L88">
        <f>INDEX('Pool Points'!$I:$I,MATCH(B88,'Pool Points'!$A:$A,0))</f>
        <v>15</v>
      </c>
      <c r="M88">
        <f t="shared" si="6"/>
        <v>0</v>
      </c>
      <c r="N88" t="str">
        <f t="shared" si="7"/>
        <v>Covered</v>
      </c>
    </row>
    <row r="89" spans="1:14" x14ac:dyDescent="0.35">
      <c r="A89" s="13">
        <v>46305</v>
      </c>
      <c r="B89" t="s">
        <v>80</v>
      </c>
      <c r="C89" t="s">
        <v>81</v>
      </c>
      <c r="D89" t="s">
        <v>79</v>
      </c>
      <c r="E89" s="14">
        <v>291.8</v>
      </c>
      <c r="F89" s="14">
        <v>274</v>
      </c>
      <c r="G89" s="14">
        <v>298.89999999999998</v>
      </c>
      <c r="H89" s="14">
        <v>0</v>
      </c>
      <c r="I89" s="17">
        <f>INDEX('Pool Points'!$J:$J,MATCH(B89,'Pool Points'!$A:$A,0))</f>
        <v>0.78369999999999995</v>
      </c>
      <c r="J89">
        <f t="shared" si="4"/>
        <v>15</v>
      </c>
      <c r="K89">
        <f t="shared" si="5"/>
        <v>15</v>
      </c>
      <c r="L89">
        <f>INDEX('Pool Points'!$I:$I,MATCH(B89,'Pool Points'!$A:$A,0))</f>
        <v>17</v>
      </c>
      <c r="M89">
        <f t="shared" si="6"/>
        <v>0</v>
      </c>
      <c r="N89" t="str">
        <f t="shared" si="7"/>
        <v>Covered</v>
      </c>
    </row>
    <row r="90" spans="1:14" x14ac:dyDescent="0.35">
      <c r="A90" s="13">
        <v>46305</v>
      </c>
      <c r="B90" t="s">
        <v>82</v>
      </c>
      <c r="C90" t="s">
        <v>83</v>
      </c>
      <c r="D90" t="s">
        <v>84</v>
      </c>
      <c r="E90" s="14">
        <v>267.39999999999998</v>
      </c>
      <c r="F90" s="14">
        <v>251.2</v>
      </c>
      <c r="G90" s="14">
        <v>274</v>
      </c>
      <c r="H90" s="14">
        <v>0</v>
      </c>
      <c r="I90" s="17">
        <f>INDEX('Pool Points'!$J:$J,MATCH(B90,'Pool Points'!$A:$A,0))</f>
        <v>0.76890000000000003</v>
      </c>
      <c r="J90">
        <f t="shared" si="4"/>
        <v>14</v>
      </c>
      <c r="K90">
        <f t="shared" si="5"/>
        <v>14</v>
      </c>
      <c r="L90">
        <f>INDEX('Pool Points'!$I:$I,MATCH(B90,'Pool Points'!$A:$A,0))</f>
        <v>17</v>
      </c>
      <c r="M90">
        <f t="shared" si="6"/>
        <v>0</v>
      </c>
      <c r="N90" t="str">
        <f t="shared" si="7"/>
        <v>Covered</v>
      </c>
    </row>
    <row r="91" spans="1:14" x14ac:dyDescent="0.35">
      <c r="A91" s="13">
        <v>46305</v>
      </c>
      <c r="B91" t="s">
        <v>85</v>
      </c>
      <c r="C91" t="s">
        <v>86</v>
      </c>
      <c r="D91" t="s">
        <v>84</v>
      </c>
      <c r="E91" s="14">
        <v>228.6</v>
      </c>
      <c r="F91" s="14">
        <v>214.7</v>
      </c>
      <c r="G91" s="14">
        <v>234.3</v>
      </c>
      <c r="H91" s="14">
        <v>0</v>
      </c>
      <c r="I91" s="17">
        <f>INDEX('Pool Points'!$J:$J,MATCH(B91,'Pool Points'!$A:$A,0))</f>
        <v>0.75660000000000005</v>
      </c>
      <c r="J91">
        <f t="shared" si="4"/>
        <v>12</v>
      </c>
      <c r="K91">
        <f t="shared" si="5"/>
        <v>12</v>
      </c>
      <c r="L91">
        <f>INDEX('Pool Points'!$I:$I,MATCH(B91,'Pool Points'!$A:$A,0))</f>
        <v>13</v>
      </c>
      <c r="M91">
        <f t="shared" si="6"/>
        <v>0</v>
      </c>
      <c r="N91" t="str">
        <f t="shared" si="7"/>
        <v>Covered</v>
      </c>
    </row>
    <row r="92" spans="1:14" x14ac:dyDescent="0.35">
      <c r="A92" s="13">
        <v>46305</v>
      </c>
      <c r="B92" t="s">
        <v>87</v>
      </c>
      <c r="C92" t="s">
        <v>88</v>
      </c>
      <c r="D92" t="s">
        <v>76</v>
      </c>
      <c r="E92" s="14">
        <v>209.3</v>
      </c>
      <c r="F92" s="14">
        <v>196.5</v>
      </c>
      <c r="G92" s="14">
        <v>214.4</v>
      </c>
      <c r="H92" s="14">
        <v>0</v>
      </c>
      <c r="I92" s="17">
        <f>INDEX('Pool Points'!$J:$J,MATCH(B92,'Pool Points'!$A:$A,0))</f>
        <v>0.7006</v>
      </c>
      <c r="J92">
        <f t="shared" si="4"/>
        <v>12</v>
      </c>
      <c r="K92">
        <f t="shared" si="5"/>
        <v>12</v>
      </c>
      <c r="L92">
        <f>INDEX('Pool Points'!$I:$I,MATCH(B92,'Pool Points'!$A:$A,0))</f>
        <v>13</v>
      </c>
      <c r="M92">
        <f t="shared" si="6"/>
        <v>0</v>
      </c>
      <c r="N92" t="str">
        <f t="shared" si="7"/>
        <v>Covered</v>
      </c>
    </row>
    <row r="93" spans="1:14" x14ac:dyDescent="0.35">
      <c r="A93" s="13">
        <v>46312</v>
      </c>
      <c r="B93" t="s">
        <v>70</v>
      </c>
      <c r="C93" t="s">
        <v>71</v>
      </c>
      <c r="D93" t="s">
        <v>72</v>
      </c>
      <c r="E93" s="14">
        <v>243.6</v>
      </c>
      <c r="F93" s="14">
        <v>228.8</v>
      </c>
      <c r="G93" s="14">
        <v>249.6</v>
      </c>
      <c r="H93" s="14">
        <v>0</v>
      </c>
      <c r="I93" s="17">
        <f>INDEX('Pool Points'!$J:$J,MATCH(B93,'Pool Points'!$A:$A,0))</f>
        <v>0.73829999999999996</v>
      </c>
      <c r="J93">
        <f t="shared" si="4"/>
        <v>13</v>
      </c>
      <c r="K93">
        <f t="shared" si="5"/>
        <v>14</v>
      </c>
      <c r="L93">
        <f>INDEX('Pool Points'!$I:$I,MATCH(B93,'Pool Points'!$A:$A,0))</f>
        <v>15</v>
      </c>
      <c r="M93">
        <f t="shared" si="6"/>
        <v>0</v>
      </c>
      <c r="N93" t="str">
        <f t="shared" si="7"/>
        <v>Covered</v>
      </c>
    </row>
    <row r="94" spans="1:14" x14ac:dyDescent="0.35">
      <c r="A94" s="13">
        <v>46312</v>
      </c>
      <c r="B94" t="s">
        <v>73</v>
      </c>
      <c r="C94" t="s">
        <v>74</v>
      </c>
      <c r="D94" t="s">
        <v>72</v>
      </c>
      <c r="E94" s="14">
        <v>242.3</v>
      </c>
      <c r="F94" s="14">
        <v>227.5</v>
      </c>
      <c r="G94" s="14">
        <v>248.2</v>
      </c>
      <c r="H94" s="14">
        <v>0</v>
      </c>
      <c r="I94" s="17">
        <f>INDEX('Pool Points'!$J:$J,MATCH(B94,'Pool Points'!$A:$A,0))</f>
        <v>0.79159999999999997</v>
      </c>
      <c r="J94">
        <f t="shared" si="4"/>
        <v>12</v>
      </c>
      <c r="K94">
        <f t="shared" si="5"/>
        <v>13</v>
      </c>
      <c r="L94">
        <f>INDEX('Pool Points'!$I:$I,MATCH(B94,'Pool Points'!$A:$A,0))</f>
        <v>15</v>
      </c>
      <c r="M94">
        <f t="shared" si="6"/>
        <v>0</v>
      </c>
      <c r="N94" t="str">
        <f t="shared" si="7"/>
        <v>Covered</v>
      </c>
    </row>
    <row r="95" spans="1:14" x14ac:dyDescent="0.35">
      <c r="A95" s="13">
        <v>46312</v>
      </c>
      <c r="B95" t="s">
        <v>3</v>
      </c>
      <c r="C95" t="s">
        <v>75</v>
      </c>
      <c r="D95" t="s">
        <v>76</v>
      </c>
      <c r="E95" s="14">
        <v>319.3</v>
      </c>
      <c r="F95" s="14">
        <v>299.8</v>
      </c>
      <c r="G95" s="14">
        <v>327.10000000000002</v>
      </c>
      <c r="H95" s="14">
        <v>0</v>
      </c>
      <c r="I95" s="17">
        <f>INDEX('Pool Points'!$J:$J,MATCH(B95,'Pool Points'!$A:$A,0))</f>
        <v>0.80469999999999997</v>
      </c>
      <c r="J95">
        <f t="shared" si="4"/>
        <v>16</v>
      </c>
      <c r="K95">
        <f t="shared" si="5"/>
        <v>16</v>
      </c>
      <c r="L95">
        <f>INDEX('Pool Points'!$I:$I,MATCH(B95,'Pool Points'!$A:$A,0))</f>
        <v>18</v>
      </c>
      <c r="M95">
        <f t="shared" si="6"/>
        <v>0</v>
      </c>
      <c r="N95" t="str">
        <f t="shared" si="7"/>
        <v>Covered</v>
      </c>
    </row>
    <row r="96" spans="1:14" x14ac:dyDescent="0.35">
      <c r="A96" s="13">
        <v>46312</v>
      </c>
      <c r="B96" t="s">
        <v>77</v>
      </c>
      <c r="C96" t="s">
        <v>78</v>
      </c>
      <c r="D96" t="s">
        <v>79</v>
      </c>
      <c r="E96" s="14">
        <v>251.9</v>
      </c>
      <c r="F96" s="14">
        <v>236.6</v>
      </c>
      <c r="G96" s="14">
        <v>258.10000000000002</v>
      </c>
      <c r="H96" s="14">
        <v>12.5</v>
      </c>
      <c r="I96" s="17">
        <f>INDEX('Pool Points'!$J:$J,MATCH(B96,'Pool Points'!$A:$A,0))</f>
        <v>0.74490000000000001</v>
      </c>
      <c r="J96">
        <f t="shared" si="4"/>
        <v>14</v>
      </c>
      <c r="K96">
        <f t="shared" si="5"/>
        <v>14</v>
      </c>
      <c r="L96">
        <f>INDEX('Pool Points'!$I:$I,MATCH(B96,'Pool Points'!$A:$A,0))</f>
        <v>15</v>
      </c>
      <c r="M96">
        <f t="shared" si="6"/>
        <v>0</v>
      </c>
      <c r="N96" t="str">
        <f t="shared" si="7"/>
        <v>Covered</v>
      </c>
    </row>
    <row r="97" spans="1:14" x14ac:dyDescent="0.35">
      <c r="A97" s="13">
        <v>46312</v>
      </c>
      <c r="B97" t="s">
        <v>80</v>
      </c>
      <c r="C97" t="s">
        <v>81</v>
      </c>
      <c r="D97" t="s">
        <v>79</v>
      </c>
      <c r="E97" s="14">
        <v>305.60000000000002</v>
      </c>
      <c r="F97" s="14">
        <v>287</v>
      </c>
      <c r="G97" s="14">
        <v>313.2</v>
      </c>
      <c r="H97" s="14">
        <v>0</v>
      </c>
      <c r="I97" s="17">
        <f>INDEX('Pool Points'!$J:$J,MATCH(B97,'Pool Points'!$A:$A,0))</f>
        <v>0.78369999999999995</v>
      </c>
      <c r="J97">
        <f t="shared" si="4"/>
        <v>15</v>
      </c>
      <c r="K97">
        <f t="shared" si="5"/>
        <v>16</v>
      </c>
      <c r="L97">
        <f>INDEX('Pool Points'!$I:$I,MATCH(B97,'Pool Points'!$A:$A,0))</f>
        <v>17</v>
      </c>
      <c r="M97">
        <f t="shared" si="6"/>
        <v>0</v>
      </c>
      <c r="N97" t="str">
        <f t="shared" si="7"/>
        <v>Covered</v>
      </c>
    </row>
    <row r="98" spans="1:14" x14ac:dyDescent="0.35">
      <c r="A98" s="13">
        <v>46312</v>
      </c>
      <c r="B98" t="s">
        <v>82</v>
      </c>
      <c r="C98" t="s">
        <v>83</v>
      </c>
      <c r="D98" t="s">
        <v>84</v>
      </c>
      <c r="E98" s="14">
        <v>283.39999999999998</v>
      </c>
      <c r="F98" s="14">
        <v>266.2</v>
      </c>
      <c r="G98" s="14">
        <v>290.39999999999998</v>
      </c>
      <c r="H98" s="14">
        <v>0</v>
      </c>
      <c r="I98" s="17">
        <f>INDEX('Pool Points'!$J:$J,MATCH(B98,'Pool Points'!$A:$A,0))</f>
        <v>0.76890000000000003</v>
      </c>
      <c r="J98">
        <f t="shared" si="4"/>
        <v>15</v>
      </c>
      <c r="K98">
        <f t="shared" si="5"/>
        <v>15</v>
      </c>
      <c r="L98">
        <f>INDEX('Pool Points'!$I:$I,MATCH(B98,'Pool Points'!$A:$A,0))</f>
        <v>17</v>
      </c>
      <c r="M98">
        <f t="shared" si="6"/>
        <v>0</v>
      </c>
      <c r="N98" t="str">
        <f t="shared" si="7"/>
        <v>Covered</v>
      </c>
    </row>
    <row r="99" spans="1:14" x14ac:dyDescent="0.35">
      <c r="A99" s="13">
        <v>46312</v>
      </c>
      <c r="B99" t="s">
        <v>85</v>
      </c>
      <c r="C99" t="s">
        <v>86</v>
      </c>
      <c r="D99" t="s">
        <v>84</v>
      </c>
      <c r="E99" s="14">
        <v>243</v>
      </c>
      <c r="F99" s="14">
        <v>228.3</v>
      </c>
      <c r="G99" s="14">
        <v>249</v>
      </c>
      <c r="H99" s="14">
        <v>8.4</v>
      </c>
      <c r="I99" s="17">
        <f>INDEX('Pool Points'!$J:$J,MATCH(B99,'Pool Points'!$A:$A,0))</f>
        <v>0.75660000000000005</v>
      </c>
      <c r="J99">
        <f t="shared" si="4"/>
        <v>13</v>
      </c>
      <c r="K99">
        <f t="shared" si="5"/>
        <v>13</v>
      </c>
      <c r="L99">
        <f>INDEX('Pool Points'!$I:$I,MATCH(B99,'Pool Points'!$A:$A,0))</f>
        <v>13</v>
      </c>
      <c r="M99">
        <f t="shared" si="6"/>
        <v>0</v>
      </c>
      <c r="N99" t="str">
        <f t="shared" si="7"/>
        <v>Covered</v>
      </c>
    </row>
    <row r="100" spans="1:14" x14ac:dyDescent="0.35">
      <c r="A100" s="13">
        <v>46312</v>
      </c>
      <c r="B100" t="s">
        <v>87</v>
      </c>
      <c r="C100" t="s">
        <v>88</v>
      </c>
      <c r="D100" t="s">
        <v>76</v>
      </c>
      <c r="E100" s="14">
        <v>221.8</v>
      </c>
      <c r="F100" s="14">
        <v>208.3</v>
      </c>
      <c r="G100" s="14">
        <v>227.3</v>
      </c>
      <c r="H100" s="14">
        <v>0</v>
      </c>
      <c r="I100" s="17">
        <f>INDEX('Pool Points'!$J:$J,MATCH(B100,'Pool Points'!$A:$A,0))</f>
        <v>0.7006</v>
      </c>
      <c r="J100">
        <f t="shared" si="4"/>
        <v>13</v>
      </c>
      <c r="K100">
        <f t="shared" si="5"/>
        <v>13</v>
      </c>
      <c r="L100">
        <f>INDEX('Pool Points'!$I:$I,MATCH(B100,'Pool Points'!$A:$A,0))</f>
        <v>13</v>
      </c>
      <c r="M100">
        <f t="shared" si="6"/>
        <v>0</v>
      </c>
      <c r="N100" t="str">
        <f t="shared" si="7"/>
        <v>Covered</v>
      </c>
    </row>
    <row r="101" spans="1:14" x14ac:dyDescent="0.35">
      <c r="A101" s="13">
        <v>46319</v>
      </c>
      <c r="B101" t="s">
        <v>70</v>
      </c>
      <c r="C101" t="s">
        <v>71</v>
      </c>
      <c r="D101" t="s">
        <v>72</v>
      </c>
      <c r="E101" s="14">
        <v>255.8</v>
      </c>
      <c r="F101" s="14">
        <v>240.2</v>
      </c>
      <c r="G101" s="14">
        <v>262.10000000000002</v>
      </c>
      <c r="H101" s="14">
        <v>0</v>
      </c>
      <c r="I101" s="17">
        <f>INDEX('Pool Points'!$J:$J,MATCH(B101,'Pool Points'!$A:$A,0))</f>
        <v>0.73829999999999996</v>
      </c>
      <c r="J101">
        <f t="shared" si="4"/>
        <v>14</v>
      </c>
      <c r="K101">
        <f t="shared" si="5"/>
        <v>14</v>
      </c>
      <c r="L101">
        <f>INDEX('Pool Points'!$I:$I,MATCH(B101,'Pool Points'!$A:$A,0))</f>
        <v>15</v>
      </c>
      <c r="M101">
        <f t="shared" si="6"/>
        <v>0</v>
      </c>
      <c r="N101" t="str">
        <f t="shared" si="7"/>
        <v>Covered</v>
      </c>
    </row>
    <row r="102" spans="1:14" x14ac:dyDescent="0.35">
      <c r="A102" s="13">
        <v>46319</v>
      </c>
      <c r="B102" t="s">
        <v>73</v>
      </c>
      <c r="C102" t="s">
        <v>74</v>
      </c>
      <c r="D102" t="s">
        <v>72</v>
      </c>
      <c r="E102" s="14">
        <v>252.5</v>
      </c>
      <c r="F102" s="14">
        <v>237.2</v>
      </c>
      <c r="G102" s="14">
        <v>258.8</v>
      </c>
      <c r="H102" s="14">
        <v>0</v>
      </c>
      <c r="I102" s="17">
        <f>INDEX('Pool Points'!$J:$J,MATCH(B102,'Pool Points'!$A:$A,0))</f>
        <v>0.79159999999999997</v>
      </c>
      <c r="J102">
        <f t="shared" si="4"/>
        <v>13</v>
      </c>
      <c r="K102">
        <f t="shared" si="5"/>
        <v>13</v>
      </c>
      <c r="L102">
        <f>INDEX('Pool Points'!$I:$I,MATCH(B102,'Pool Points'!$A:$A,0))</f>
        <v>15</v>
      </c>
      <c r="M102">
        <f t="shared" si="6"/>
        <v>0</v>
      </c>
      <c r="N102" t="str">
        <f t="shared" si="7"/>
        <v>Covered</v>
      </c>
    </row>
    <row r="103" spans="1:14" x14ac:dyDescent="0.35">
      <c r="A103" s="13">
        <v>46319</v>
      </c>
      <c r="B103" t="s">
        <v>3</v>
      </c>
      <c r="C103" t="s">
        <v>75</v>
      </c>
      <c r="D103" t="s">
        <v>76</v>
      </c>
      <c r="E103" s="14">
        <v>340.9</v>
      </c>
      <c r="F103" s="14">
        <v>320.2</v>
      </c>
      <c r="G103" s="14">
        <v>349.3</v>
      </c>
      <c r="H103" s="14">
        <v>0</v>
      </c>
      <c r="I103" s="17">
        <f>INDEX('Pool Points'!$J:$J,MATCH(B103,'Pool Points'!$A:$A,0))</f>
        <v>0.80469999999999997</v>
      </c>
      <c r="J103">
        <f t="shared" si="4"/>
        <v>17</v>
      </c>
      <c r="K103">
        <f t="shared" si="5"/>
        <v>17</v>
      </c>
      <c r="L103">
        <f>INDEX('Pool Points'!$I:$I,MATCH(B103,'Pool Points'!$A:$A,0))</f>
        <v>18</v>
      </c>
      <c r="M103">
        <f t="shared" si="6"/>
        <v>0</v>
      </c>
      <c r="N103" t="str">
        <f t="shared" si="7"/>
        <v>Covered</v>
      </c>
    </row>
    <row r="104" spans="1:14" x14ac:dyDescent="0.35">
      <c r="A104" s="13">
        <v>46319</v>
      </c>
      <c r="B104" t="s">
        <v>77</v>
      </c>
      <c r="C104" t="s">
        <v>78</v>
      </c>
      <c r="D104" t="s">
        <v>79</v>
      </c>
      <c r="E104" s="14">
        <v>256.10000000000002</v>
      </c>
      <c r="F104" s="14">
        <v>240.5</v>
      </c>
      <c r="G104" s="14">
        <v>262.39999999999998</v>
      </c>
      <c r="H104" s="14">
        <v>13.4</v>
      </c>
      <c r="I104" s="17">
        <f>INDEX('Pool Points'!$J:$J,MATCH(B104,'Pool Points'!$A:$A,0))</f>
        <v>0.74490000000000001</v>
      </c>
      <c r="J104">
        <f t="shared" si="4"/>
        <v>14</v>
      </c>
      <c r="K104">
        <f t="shared" si="5"/>
        <v>14</v>
      </c>
      <c r="L104">
        <f>INDEX('Pool Points'!$I:$I,MATCH(B104,'Pool Points'!$A:$A,0))</f>
        <v>15</v>
      </c>
      <c r="M104">
        <f t="shared" si="6"/>
        <v>0</v>
      </c>
      <c r="N104" t="str">
        <f t="shared" si="7"/>
        <v>Covered</v>
      </c>
    </row>
    <row r="105" spans="1:14" x14ac:dyDescent="0.35">
      <c r="A105" s="13">
        <v>46319</v>
      </c>
      <c r="B105" t="s">
        <v>80</v>
      </c>
      <c r="C105" t="s">
        <v>81</v>
      </c>
      <c r="D105" t="s">
        <v>79</v>
      </c>
      <c r="E105" s="14">
        <v>326.10000000000002</v>
      </c>
      <c r="F105" s="14">
        <v>306.3</v>
      </c>
      <c r="G105" s="14">
        <v>334.2</v>
      </c>
      <c r="H105" s="14">
        <v>0</v>
      </c>
      <c r="I105" s="17">
        <f>INDEX('Pool Points'!$J:$J,MATCH(B105,'Pool Points'!$A:$A,0))</f>
        <v>0.78369999999999995</v>
      </c>
      <c r="J105">
        <f t="shared" si="4"/>
        <v>17</v>
      </c>
      <c r="K105">
        <f t="shared" si="5"/>
        <v>17</v>
      </c>
      <c r="L105">
        <f>INDEX('Pool Points'!$I:$I,MATCH(B105,'Pool Points'!$A:$A,0))</f>
        <v>17</v>
      </c>
      <c r="M105">
        <f t="shared" si="6"/>
        <v>0</v>
      </c>
      <c r="N105" t="str">
        <f t="shared" si="7"/>
        <v>Covered</v>
      </c>
    </row>
    <row r="106" spans="1:14" x14ac:dyDescent="0.35">
      <c r="A106" s="13">
        <v>46319</v>
      </c>
      <c r="B106" t="s">
        <v>82</v>
      </c>
      <c r="C106" t="s">
        <v>83</v>
      </c>
      <c r="D106" t="s">
        <v>84</v>
      </c>
      <c r="E106" s="14">
        <v>290</v>
      </c>
      <c r="F106" s="14">
        <v>272.39999999999998</v>
      </c>
      <c r="G106" s="14">
        <v>297.2</v>
      </c>
      <c r="H106" s="14">
        <v>0</v>
      </c>
      <c r="I106" s="17">
        <f>INDEX('Pool Points'!$J:$J,MATCH(B106,'Pool Points'!$A:$A,0))</f>
        <v>0.76890000000000003</v>
      </c>
      <c r="J106">
        <f t="shared" si="4"/>
        <v>15</v>
      </c>
      <c r="K106">
        <f t="shared" si="5"/>
        <v>15</v>
      </c>
      <c r="L106">
        <f>INDEX('Pool Points'!$I:$I,MATCH(B106,'Pool Points'!$A:$A,0))</f>
        <v>17</v>
      </c>
      <c r="M106">
        <f t="shared" si="6"/>
        <v>0</v>
      </c>
      <c r="N106" t="str">
        <f t="shared" si="7"/>
        <v>Covered</v>
      </c>
    </row>
    <row r="107" spans="1:14" x14ac:dyDescent="0.35">
      <c r="A107" s="13">
        <v>46319</v>
      </c>
      <c r="B107" t="s">
        <v>85</v>
      </c>
      <c r="C107" t="s">
        <v>86</v>
      </c>
      <c r="D107" t="s">
        <v>84</v>
      </c>
      <c r="E107" s="14">
        <v>256.60000000000002</v>
      </c>
      <c r="F107" s="14">
        <v>241</v>
      </c>
      <c r="G107" s="14">
        <v>262.89999999999998</v>
      </c>
      <c r="H107" s="14">
        <v>9.6</v>
      </c>
      <c r="I107" s="17">
        <f>INDEX('Pool Points'!$J:$J,MATCH(B107,'Pool Points'!$A:$A,0))</f>
        <v>0.75660000000000005</v>
      </c>
      <c r="J107">
        <f t="shared" si="4"/>
        <v>14</v>
      </c>
      <c r="K107">
        <f t="shared" si="5"/>
        <v>14</v>
      </c>
      <c r="L107">
        <f>INDEX('Pool Points'!$I:$I,MATCH(B107,'Pool Points'!$A:$A,0))</f>
        <v>13</v>
      </c>
      <c r="M107">
        <f t="shared" si="6"/>
        <v>1</v>
      </c>
      <c r="N107" t="str">
        <f t="shared" si="7"/>
        <v>Over capacity</v>
      </c>
    </row>
    <row r="108" spans="1:14" x14ac:dyDescent="0.35">
      <c r="A108" s="13">
        <v>46319</v>
      </c>
      <c r="B108" t="s">
        <v>87</v>
      </c>
      <c r="C108" t="s">
        <v>88</v>
      </c>
      <c r="D108" t="s">
        <v>76</v>
      </c>
      <c r="E108" s="14">
        <v>231.9</v>
      </c>
      <c r="F108" s="14">
        <v>217.8</v>
      </c>
      <c r="G108" s="14">
        <v>237.6</v>
      </c>
      <c r="H108" s="14">
        <v>0</v>
      </c>
      <c r="I108" s="17">
        <f>INDEX('Pool Points'!$J:$J,MATCH(B108,'Pool Points'!$A:$A,0))</f>
        <v>0.7006</v>
      </c>
      <c r="J108">
        <f t="shared" si="4"/>
        <v>13</v>
      </c>
      <c r="K108">
        <f t="shared" si="5"/>
        <v>14</v>
      </c>
      <c r="L108">
        <f>INDEX('Pool Points'!$I:$I,MATCH(B108,'Pool Points'!$A:$A,0))</f>
        <v>13</v>
      </c>
      <c r="M108">
        <f t="shared" si="6"/>
        <v>1</v>
      </c>
      <c r="N108" t="str">
        <f t="shared" si="7"/>
        <v>At risk</v>
      </c>
    </row>
    <row r="109" spans="1:14" x14ac:dyDescent="0.35">
      <c r="A109" s="13">
        <v>46326</v>
      </c>
      <c r="B109" t="s">
        <v>70</v>
      </c>
      <c r="C109" t="s">
        <v>71</v>
      </c>
      <c r="D109" t="s">
        <v>72</v>
      </c>
      <c r="E109" s="14">
        <v>264.60000000000002</v>
      </c>
      <c r="F109" s="14">
        <v>248.5</v>
      </c>
      <c r="G109" s="14">
        <v>271.10000000000002</v>
      </c>
      <c r="H109" s="14">
        <v>0</v>
      </c>
      <c r="I109" s="17">
        <f>INDEX('Pool Points'!$J:$J,MATCH(B109,'Pool Points'!$A:$A,0))</f>
        <v>0.73829999999999996</v>
      </c>
      <c r="J109">
        <f t="shared" si="4"/>
        <v>14</v>
      </c>
      <c r="K109">
        <f t="shared" si="5"/>
        <v>15</v>
      </c>
      <c r="L109">
        <f>INDEX('Pool Points'!$I:$I,MATCH(B109,'Pool Points'!$A:$A,0))</f>
        <v>15</v>
      </c>
      <c r="M109">
        <f t="shared" si="6"/>
        <v>0</v>
      </c>
      <c r="N109" t="str">
        <f t="shared" si="7"/>
        <v>Covered</v>
      </c>
    </row>
    <row r="110" spans="1:14" x14ac:dyDescent="0.35">
      <c r="A110" s="13">
        <v>46326</v>
      </c>
      <c r="B110" t="s">
        <v>73</v>
      </c>
      <c r="C110" t="s">
        <v>74</v>
      </c>
      <c r="D110" t="s">
        <v>72</v>
      </c>
      <c r="E110" s="14">
        <v>257.60000000000002</v>
      </c>
      <c r="F110" s="14">
        <v>241.9</v>
      </c>
      <c r="G110" s="14">
        <v>263.89999999999998</v>
      </c>
      <c r="H110" s="14">
        <v>0</v>
      </c>
      <c r="I110" s="17">
        <f>INDEX('Pool Points'!$J:$J,MATCH(B110,'Pool Points'!$A:$A,0))</f>
        <v>0.79159999999999997</v>
      </c>
      <c r="J110">
        <f t="shared" si="4"/>
        <v>13</v>
      </c>
      <c r="K110">
        <f t="shared" si="5"/>
        <v>13</v>
      </c>
      <c r="L110">
        <f>INDEX('Pool Points'!$I:$I,MATCH(B110,'Pool Points'!$A:$A,0))</f>
        <v>15</v>
      </c>
      <c r="M110">
        <f t="shared" si="6"/>
        <v>0</v>
      </c>
      <c r="N110" t="str">
        <f t="shared" si="7"/>
        <v>Covered</v>
      </c>
    </row>
    <row r="111" spans="1:14" x14ac:dyDescent="0.35">
      <c r="A111" s="13">
        <v>46326</v>
      </c>
      <c r="B111" t="s">
        <v>3</v>
      </c>
      <c r="C111" t="s">
        <v>75</v>
      </c>
      <c r="D111" t="s">
        <v>76</v>
      </c>
      <c r="E111" s="14">
        <v>358.1</v>
      </c>
      <c r="F111" s="14">
        <v>336.3</v>
      </c>
      <c r="G111" s="14">
        <v>366.9</v>
      </c>
      <c r="H111" s="14">
        <v>0</v>
      </c>
      <c r="I111" s="17">
        <f>INDEX('Pool Points'!$J:$J,MATCH(B111,'Pool Points'!$A:$A,0))</f>
        <v>0.80469999999999997</v>
      </c>
      <c r="J111">
        <f t="shared" si="4"/>
        <v>18</v>
      </c>
      <c r="K111">
        <f t="shared" si="5"/>
        <v>18</v>
      </c>
      <c r="L111">
        <f>INDEX('Pool Points'!$I:$I,MATCH(B111,'Pool Points'!$A:$A,0))</f>
        <v>18</v>
      </c>
      <c r="M111">
        <f t="shared" si="6"/>
        <v>0</v>
      </c>
      <c r="N111" t="str">
        <f t="shared" si="7"/>
        <v>Covered</v>
      </c>
    </row>
    <row r="112" spans="1:14" x14ac:dyDescent="0.35">
      <c r="A112" s="13">
        <v>46326</v>
      </c>
      <c r="B112" t="s">
        <v>77</v>
      </c>
      <c r="C112" t="s">
        <v>78</v>
      </c>
      <c r="D112" t="s">
        <v>79</v>
      </c>
      <c r="E112" s="14">
        <v>267.8</v>
      </c>
      <c r="F112" s="14">
        <v>251.5</v>
      </c>
      <c r="G112" s="14">
        <v>274.39999999999998</v>
      </c>
      <c r="H112" s="14">
        <v>15</v>
      </c>
      <c r="I112" s="17">
        <f>INDEX('Pool Points'!$J:$J,MATCH(B112,'Pool Points'!$A:$A,0))</f>
        <v>0.74490000000000001</v>
      </c>
      <c r="J112">
        <f t="shared" si="4"/>
        <v>14</v>
      </c>
      <c r="K112">
        <f t="shared" si="5"/>
        <v>15</v>
      </c>
      <c r="L112">
        <f>INDEX('Pool Points'!$I:$I,MATCH(B112,'Pool Points'!$A:$A,0))</f>
        <v>15</v>
      </c>
      <c r="M112">
        <f t="shared" si="6"/>
        <v>0</v>
      </c>
      <c r="N112" t="str">
        <f t="shared" si="7"/>
        <v>Covered</v>
      </c>
    </row>
    <row r="113" spans="1:14" x14ac:dyDescent="0.35">
      <c r="A113" s="13">
        <v>46326</v>
      </c>
      <c r="B113" t="s">
        <v>80</v>
      </c>
      <c r="C113" t="s">
        <v>81</v>
      </c>
      <c r="D113" t="s">
        <v>79</v>
      </c>
      <c r="E113" s="14">
        <v>327.39999999999998</v>
      </c>
      <c r="F113" s="14">
        <v>307.5</v>
      </c>
      <c r="G113" s="14">
        <v>335.4</v>
      </c>
      <c r="H113" s="14">
        <v>0</v>
      </c>
      <c r="I113" s="17">
        <f>INDEX('Pool Points'!$J:$J,MATCH(B113,'Pool Points'!$A:$A,0))</f>
        <v>0.78369999999999995</v>
      </c>
      <c r="J113">
        <f t="shared" si="4"/>
        <v>17</v>
      </c>
      <c r="K113">
        <f t="shared" si="5"/>
        <v>17</v>
      </c>
      <c r="L113">
        <f>INDEX('Pool Points'!$I:$I,MATCH(B113,'Pool Points'!$A:$A,0))</f>
        <v>17</v>
      </c>
      <c r="M113">
        <f t="shared" si="6"/>
        <v>0</v>
      </c>
      <c r="N113" t="str">
        <f t="shared" si="7"/>
        <v>Covered</v>
      </c>
    </row>
    <row r="114" spans="1:14" x14ac:dyDescent="0.35">
      <c r="A114" s="13">
        <v>46326</v>
      </c>
      <c r="B114" t="s">
        <v>82</v>
      </c>
      <c r="C114" t="s">
        <v>83</v>
      </c>
      <c r="D114" t="s">
        <v>84</v>
      </c>
      <c r="E114" s="14">
        <v>308.10000000000002</v>
      </c>
      <c r="F114" s="14">
        <v>289.3</v>
      </c>
      <c r="G114" s="14">
        <v>315.60000000000002</v>
      </c>
      <c r="H114" s="14">
        <v>0</v>
      </c>
      <c r="I114" s="17">
        <f>INDEX('Pool Points'!$J:$J,MATCH(B114,'Pool Points'!$A:$A,0))</f>
        <v>0.76890000000000003</v>
      </c>
      <c r="J114">
        <f t="shared" si="4"/>
        <v>16</v>
      </c>
      <c r="K114">
        <f t="shared" si="5"/>
        <v>16</v>
      </c>
      <c r="L114">
        <f>INDEX('Pool Points'!$I:$I,MATCH(B114,'Pool Points'!$A:$A,0))</f>
        <v>17</v>
      </c>
      <c r="M114">
        <f t="shared" si="6"/>
        <v>0</v>
      </c>
      <c r="N114" t="str">
        <f t="shared" si="7"/>
        <v>Covered</v>
      </c>
    </row>
    <row r="115" spans="1:14" x14ac:dyDescent="0.35">
      <c r="A115" s="13">
        <v>46326</v>
      </c>
      <c r="B115" t="s">
        <v>85</v>
      </c>
      <c r="C115" t="s">
        <v>86</v>
      </c>
      <c r="D115" t="s">
        <v>84</v>
      </c>
      <c r="E115" s="14">
        <v>259.89999999999998</v>
      </c>
      <c r="F115" s="14">
        <v>244.1</v>
      </c>
      <c r="G115" s="14">
        <v>266.3</v>
      </c>
      <c r="H115" s="14">
        <v>10.6</v>
      </c>
      <c r="I115" s="17">
        <f>INDEX('Pool Points'!$J:$J,MATCH(B115,'Pool Points'!$A:$A,0))</f>
        <v>0.75660000000000005</v>
      </c>
      <c r="J115">
        <f t="shared" si="4"/>
        <v>14</v>
      </c>
      <c r="K115">
        <f t="shared" si="5"/>
        <v>14</v>
      </c>
      <c r="L115">
        <f>INDEX('Pool Points'!$I:$I,MATCH(B115,'Pool Points'!$A:$A,0))</f>
        <v>13</v>
      </c>
      <c r="M115">
        <f t="shared" si="6"/>
        <v>1</v>
      </c>
      <c r="N115" t="str">
        <f t="shared" si="7"/>
        <v>Over capacity</v>
      </c>
    </row>
    <row r="116" spans="1:14" x14ac:dyDescent="0.35">
      <c r="A116" s="13">
        <v>46326</v>
      </c>
      <c r="B116" t="s">
        <v>87</v>
      </c>
      <c r="C116" t="s">
        <v>88</v>
      </c>
      <c r="D116" t="s">
        <v>76</v>
      </c>
      <c r="E116" s="14">
        <v>237.7</v>
      </c>
      <c r="F116" s="14">
        <v>223.3</v>
      </c>
      <c r="G116" s="14">
        <v>243.6</v>
      </c>
      <c r="H116" s="14">
        <v>0</v>
      </c>
      <c r="I116" s="17">
        <f>INDEX('Pool Points'!$J:$J,MATCH(B116,'Pool Points'!$A:$A,0))</f>
        <v>0.7006</v>
      </c>
      <c r="J116">
        <f t="shared" si="4"/>
        <v>14</v>
      </c>
      <c r="K116">
        <f t="shared" si="5"/>
        <v>14</v>
      </c>
      <c r="L116">
        <f>INDEX('Pool Points'!$I:$I,MATCH(B116,'Pool Points'!$A:$A,0))</f>
        <v>13</v>
      </c>
      <c r="M116">
        <f t="shared" si="6"/>
        <v>1</v>
      </c>
      <c r="N116" t="str">
        <f t="shared" si="7"/>
        <v>Over capacity</v>
      </c>
    </row>
    <row r="117" spans="1:14" x14ac:dyDescent="0.35">
      <c r="A117" s="13">
        <v>46333</v>
      </c>
      <c r="B117" t="s">
        <v>70</v>
      </c>
      <c r="C117" t="s">
        <v>71</v>
      </c>
      <c r="D117" t="s">
        <v>72</v>
      </c>
      <c r="E117" s="14">
        <v>276.8</v>
      </c>
      <c r="F117" s="14">
        <v>260</v>
      </c>
      <c r="G117" s="14">
        <v>283.60000000000002</v>
      </c>
      <c r="H117" s="14">
        <v>0</v>
      </c>
      <c r="I117" s="17">
        <f>INDEX('Pool Points'!$J:$J,MATCH(B117,'Pool Points'!$A:$A,0))</f>
        <v>0.73829999999999996</v>
      </c>
      <c r="J117">
        <f t="shared" si="4"/>
        <v>15</v>
      </c>
      <c r="K117">
        <f t="shared" si="5"/>
        <v>15</v>
      </c>
      <c r="L117">
        <f>INDEX('Pool Points'!$I:$I,MATCH(B117,'Pool Points'!$A:$A,0))</f>
        <v>15</v>
      </c>
      <c r="M117">
        <f t="shared" si="6"/>
        <v>0</v>
      </c>
      <c r="N117" t="str">
        <f t="shared" si="7"/>
        <v>Covered</v>
      </c>
    </row>
    <row r="118" spans="1:14" x14ac:dyDescent="0.35">
      <c r="A118" s="13">
        <v>46333</v>
      </c>
      <c r="B118" t="s">
        <v>73</v>
      </c>
      <c r="C118" t="s">
        <v>74</v>
      </c>
      <c r="D118" t="s">
        <v>72</v>
      </c>
      <c r="E118" s="14">
        <v>279.7</v>
      </c>
      <c r="F118" s="14">
        <v>262.7</v>
      </c>
      <c r="G118" s="14">
        <v>286.60000000000002</v>
      </c>
      <c r="H118" s="14">
        <v>0</v>
      </c>
      <c r="I118" s="17">
        <f>INDEX('Pool Points'!$J:$J,MATCH(B118,'Pool Points'!$A:$A,0))</f>
        <v>0.79159999999999997</v>
      </c>
      <c r="J118">
        <f t="shared" si="4"/>
        <v>14</v>
      </c>
      <c r="K118">
        <f t="shared" si="5"/>
        <v>14</v>
      </c>
      <c r="L118">
        <f>INDEX('Pool Points'!$I:$I,MATCH(B118,'Pool Points'!$A:$A,0))</f>
        <v>15</v>
      </c>
      <c r="M118">
        <f t="shared" si="6"/>
        <v>0</v>
      </c>
      <c r="N118" t="str">
        <f t="shared" si="7"/>
        <v>Covered</v>
      </c>
    </row>
    <row r="119" spans="1:14" x14ac:dyDescent="0.35">
      <c r="A119" s="13">
        <v>46333</v>
      </c>
      <c r="B119" t="s">
        <v>3</v>
      </c>
      <c r="C119" t="s">
        <v>75</v>
      </c>
      <c r="D119" t="s">
        <v>76</v>
      </c>
      <c r="E119" s="14">
        <v>364.1</v>
      </c>
      <c r="F119" s="14">
        <v>342</v>
      </c>
      <c r="G119" s="14">
        <v>373.1</v>
      </c>
      <c r="H119" s="14">
        <v>0</v>
      </c>
      <c r="I119" s="17">
        <f>INDEX('Pool Points'!$J:$J,MATCH(B119,'Pool Points'!$A:$A,0))</f>
        <v>0.80469999999999997</v>
      </c>
      <c r="J119">
        <f t="shared" si="4"/>
        <v>18</v>
      </c>
      <c r="K119">
        <f t="shared" si="5"/>
        <v>18</v>
      </c>
      <c r="L119">
        <f>INDEX('Pool Points'!$I:$I,MATCH(B119,'Pool Points'!$A:$A,0))</f>
        <v>18</v>
      </c>
      <c r="M119">
        <f t="shared" si="6"/>
        <v>0</v>
      </c>
      <c r="N119" t="str">
        <f t="shared" si="7"/>
        <v>Covered</v>
      </c>
    </row>
    <row r="120" spans="1:14" x14ac:dyDescent="0.35">
      <c r="A120" s="13">
        <v>46333</v>
      </c>
      <c r="B120" t="s">
        <v>77</v>
      </c>
      <c r="C120" t="s">
        <v>78</v>
      </c>
      <c r="D120" t="s">
        <v>79</v>
      </c>
      <c r="E120" s="14">
        <v>277.10000000000002</v>
      </c>
      <c r="F120" s="14">
        <v>260.2</v>
      </c>
      <c r="G120" s="14">
        <v>283.89999999999998</v>
      </c>
      <c r="H120" s="14">
        <v>16.2</v>
      </c>
      <c r="I120" s="17">
        <f>INDEX('Pool Points'!$J:$J,MATCH(B120,'Pool Points'!$A:$A,0))</f>
        <v>0.74490000000000001</v>
      </c>
      <c r="J120">
        <f t="shared" si="4"/>
        <v>15</v>
      </c>
      <c r="K120">
        <f t="shared" si="5"/>
        <v>15</v>
      </c>
      <c r="L120">
        <f>INDEX('Pool Points'!$I:$I,MATCH(B120,'Pool Points'!$A:$A,0))</f>
        <v>15</v>
      </c>
      <c r="M120">
        <f t="shared" si="6"/>
        <v>0</v>
      </c>
      <c r="N120" t="str">
        <f t="shared" si="7"/>
        <v>Covered</v>
      </c>
    </row>
    <row r="121" spans="1:14" x14ac:dyDescent="0.35">
      <c r="A121" s="13">
        <v>46333</v>
      </c>
      <c r="B121" t="s">
        <v>80</v>
      </c>
      <c r="C121" t="s">
        <v>81</v>
      </c>
      <c r="D121" t="s">
        <v>79</v>
      </c>
      <c r="E121" s="14">
        <v>344.1</v>
      </c>
      <c r="F121" s="14">
        <v>323.10000000000002</v>
      </c>
      <c r="G121" s="14">
        <v>352.5</v>
      </c>
      <c r="H121" s="14">
        <v>0</v>
      </c>
      <c r="I121" s="17">
        <f>INDEX('Pool Points'!$J:$J,MATCH(B121,'Pool Points'!$A:$A,0))</f>
        <v>0.78369999999999995</v>
      </c>
      <c r="J121">
        <f t="shared" si="4"/>
        <v>17</v>
      </c>
      <c r="K121">
        <f t="shared" si="5"/>
        <v>18</v>
      </c>
      <c r="L121">
        <f>INDEX('Pool Points'!$I:$I,MATCH(B121,'Pool Points'!$A:$A,0))</f>
        <v>17</v>
      </c>
      <c r="M121">
        <f t="shared" si="6"/>
        <v>1</v>
      </c>
      <c r="N121" t="str">
        <f t="shared" si="7"/>
        <v>At risk</v>
      </c>
    </row>
    <row r="122" spans="1:14" x14ac:dyDescent="0.35">
      <c r="A122" s="13">
        <v>46333</v>
      </c>
      <c r="B122" t="s">
        <v>82</v>
      </c>
      <c r="C122" t="s">
        <v>83</v>
      </c>
      <c r="D122" t="s">
        <v>84</v>
      </c>
      <c r="E122" s="14">
        <v>321.5</v>
      </c>
      <c r="F122" s="14">
        <v>301.89999999999998</v>
      </c>
      <c r="G122" s="14">
        <v>329.4</v>
      </c>
      <c r="H122" s="14">
        <v>0</v>
      </c>
      <c r="I122" s="17">
        <f>INDEX('Pool Points'!$J:$J,MATCH(B122,'Pool Points'!$A:$A,0))</f>
        <v>0.76890000000000003</v>
      </c>
      <c r="J122">
        <f t="shared" si="4"/>
        <v>17</v>
      </c>
      <c r="K122">
        <f t="shared" si="5"/>
        <v>17</v>
      </c>
      <c r="L122">
        <f>INDEX('Pool Points'!$I:$I,MATCH(B122,'Pool Points'!$A:$A,0))</f>
        <v>17</v>
      </c>
      <c r="M122">
        <f t="shared" si="6"/>
        <v>0</v>
      </c>
      <c r="N122" t="str">
        <f t="shared" si="7"/>
        <v>Covered</v>
      </c>
    </row>
    <row r="123" spans="1:14" x14ac:dyDescent="0.35">
      <c r="A123" s="13">
        <v>46333</v>
      </c>
      <c r="B123" t="s">
        <v>85</v>
      </c>
      <c r="C123" t="s">
        <v>86</v>
      </c>
      <c r="D123" t="s">
        <v>84</v>
      </c>
      <c r="E123" s="14">
        <v>281.10000000000002</v>
      </c>
      <c r="F123" s="14">
        <v>264</v>
      </c>
      <c r="G123" s="14">
        <v>288</v>
      </c>
      <c r="H123" s="14">
        <v>12.5</v>
      </c>
      <c r="I123" s="17">
        <f>INDEX('Pool Points'!$J:$J,MATCH(B123,'Pool Points'!$A:$A,0))</f>
        <v>0.75660000000000005</v>
      </c>
      <c r="J123">
        <f t="shared" si="4"/>
        <v>15</v>
      </c>
      <c r="K123">
        <f t="shared" si="5"/>
        <v>15</v>
      </c>
      <c r="L123">
        <f>INDEX('Pool Points'!$I:$I,MATCH(B123,'Pool Points'!$A:$A,0))</f>
        <v>13</v>
      </c>
      <c r="M123">
        <f t="shared" si="6"/>
        <v>2</v>
      </c>
      <c r="N123" t="str">
        <f t="shared" si="7"/>
        <v>Over capacity</v>
      </c>
    </row>
    <row r="124" spans="1:14" x14ac:dyDescent="0.35">
      <c r="A124" s="13">
        <v>46333</v>
      </c>
      <c r="B124" t="s">
        <v>87</v>
      </c>
      <c r="C124" t="s">
        <v>88</v>
      </c>
      <c r="D124" t="s">
        <v>76</v>
      </c>
      <c r="E124" s="14">
        <v>254.1</v>
      </c>
      <c r="F124" s="14">
        <v>238.6</v>
      </c>
      <c r="G124" s="14">
        <v>260.3</v>
      </c>
      <c r="H124" s="14">
        <v>0</v>
      </c>
      <c r="I124" s="17">
        <f>INDEX('Pool Points'!$J:$J,MATCH(B124,'Pool Points'!$A:$A,0))</f>
        <v>0.7006</v>
      </c>
      <c r="J124">
        <f t="shared" si="4"/>
        <v>14</v>
      </c>
      <c r="K124">
        <f t="shared" si="5"/>
        <v>15</v>
      </c>
      <c r="L124">
        <f>INDEX('Pool Points'!$I:$I,MATCH(B124,'Pool Points'!$A:$A,0))</f>
        <v>13</v>
      </c>
      <c r="M124">
        <f t="shared" si="6"/>
        <v>2</v>
      </c>
      <c r="N124" t="str">
        <f t="shared" si="7"/>
        <v>Over capacity</v>
      </c>
    </row>
    <row r="125" spans="1:14" x14ac:dyDescent="0.35">
      <c r="A125" s="13">
        <v>46340</v>
      </c>
      <c r="B125" t="s">
        <v>70</v>
      </c>
      <c r="C125" t="s">
        <v>71</v>
      </c>
      <c r="D125" t="s">
        <v>72</v>
      </c>
      <c r="E125" s="14">
        <v>306.60000000000002</v>
      </c>
      <c r="F125" s="14">
        <v>288</v>
      </c>
      <c r="G125" s="14">
        <v>314.2</v>
      </c>
      <c r="H125" s="14">
        <v>0</v>
      </c>
      <c r="I125" s="17">
        <f>INDEX('Pool Points'!$J:$J,MATCH(B125,'Pool Points'!$A:$A,0))</f>
        <v>0.73829999999999996</v>
      </c>
      <c r="J125">
        <f t="shared" si="4"/>
        <v>16</v>
      </c>
      <c r="K125">
        <f t="shared" si="5"/>
        <v>17</v>
      </c>
      <c r="L125">
        <f>INDEX('Pool Points'!$I:$I,MATCH(B125,'Pool Points'!$A:$A,0))</f>
        <v>15</v>
      </c>
      <c r="M125">
        <f t="shared" si="6"/>
        <v>2</v>
      </c>
      <c r="N125" t="str">
        <f t="shared" si="7"/>
        <v>Over capacity</v>
      </c>
    </row>
    <row r="126" spans="1:14" x14ac:dyDescent="0.35">
      <c r="A126" s="13">
        <v>46340</v>
      </c>
      <c r="B126" t="s">
        <v>73</v>
      </c>
      <c r="C126" t="s">
        <v>74</v>
      </c>
      <c r="D126" t="s">
        <v>72</v>
      </c>
      <c r="E126" s="14">
        <v>299.2</v>
      </c>
      <c r="F126" s="14">
        <v>281</v>
      </c>
      <c r="G126" s="14">
        <v>306.60000000000002</v>
      </c>
      <c r="H126" s="14">
        <v>0</v>
      </c>
      <c r="I126" s="17">
        <f>INDEX('Pool Points'!$J:$J,MATCH(B126,'Pool Points'!$A:$A,0))</f>
        <v>0.79159999999999997</v>
      </c>
      <c r="J126">
        <f t="shared" si="4"/>
        <v>15</v>
      </c>
      <c r="K126">
        <f t="shared" si="5"/>
        <v>15</v>
      </c>
      <c r="L126">
        <f>INDEX('Pool Points'!$I:$I,MATCH(B126,'Pool Points'!$A:$A,0))</f>
        <v>15</v>
      </c>
      <c r="M126">
        <f t="shared" si="6"/>
        <v>0</v>
      </c>
      <c r="N126" t="str">
        <f t="shared" si="7"/>
        <v>Covered</v>
      </c>
    </row>
    <row r="127" spans="1:14" x14ac:dyDescent="0.35">
      <c r="A127" s="13">
        <v>46340</v>
      </c>
      <c r="B127" t="s">
        <v>3</v>
      </c>
      <c r="C127" t="s">
        <v>75</v>
      </c>
      <c r="D127" t="s">
        <v>76</v>
      </c>
      <c r="E127" s="14">
        <v>398.8</v>
      </c>
      <c r="F127" s="14">
        <v>374.6</v>
      </c>
      <c r="G127" s="14">
        <v>408.7</v>
      </c>
      <c r="H127" s="14">
        <v>0</v>
      </c>
      <c r="I127" s="17">
        <f>INDEX('Pool Points'!$J:$J,MATCH(B127,'Pool Points'!$A:$A,0))</f>
        <v>0.80469999999999997</v>
      </c>
      <c r="J127">
        <f t="shared" si="4"/>
        <v>20</v>
      </c>
      <c r="K127">
        <f t="shared" si="5"/>
        <v>20</v>
      </c>
      <c r="L127">
        <f>INDEX('Pool Points'!$I:$I,MATCH(B127,'Pool Points'!$A:$A,0))</f>
        <v>18</v>
      </c>
      <c r="M127">
        <f t="shared" si="6"/>
        <v>2</v>
      </c>
      <c r="N127" t="str">
        <f t="shared" si="7"/>
        <v>Over capacity</v>
      </c>
    </row>
    <row r="128" spans="1:14" x14ac:dyDescent="0.35">
      <c r="A128" s="13">
        <v>46340</v>
      </c>
      <c r="B128" t="s">
        <v>77</v>
      </c>
      <c r="C128" t="s">
        <v>78</v>
      </c>
      <c r="D128" t="s">
        <v>79</v>
      </c>
      <c r="E128" s="14">
        <v>300.10000000000002</v>
      </c>
      <c r="F128" s="14">
        <v>281.8</v>
      </c>
      <c r="G128" s="14">
        <v>307.5</v>
      </c>
      <c r="H128" s="14">
        <v>17.8</v>
      </c>
      <c r="I128" s="17">
        <f>INDEX('Pool Points'!$J:$J,MATCH(B128,'Pool Points'!$A:$A,0))</f>
        <v>0.74490000000000001</v>
      </c>
      <c r="J128">
        <f t="shared" si="4"/>
        <v>16</v>
      </c>
      <c r="K128">
        <f t="shared" si="5"/>
        <v>16</v>
      </c>
      <c r="L128">
        <f>INDEX('Pool Points'!$I:$I,MATCH(B128,'Pool Points'!$A:$A,0))</f>
        <v>15</v>
      </c>
      <c r="M128">
        <f t="shared" si="6"/>
        <v>1</v>
      </c>
      <c r="N128" t="str">
        <f t="shared" si="7"/>
        <v>Over capacity</v>
      </c>
    </row>
    <row r="129" spans="1:14" x14ac:dyDescent="0.35">
      <c r="A129" s="13">
        <v>46340</v>
      </c>
      <c r="B129" t="s">
        <v>80</v>
      </c>
      <c r="C129" t="s">
        <v>81</v>
      </c>
      <c r="D129" t="s">
        <v>79</v>
      </c>
      <c r="E129" s="14">
        <v>370.8</v>
      </c>
      <c r="F129" s="14">
        <v>348.3</v>
      </c>
      <c r="G129" s="14">
        <v>380</v>
      </c>
      <c r="H129" s="14">
        <v>0</v>
      </c>
      <c r="I129" s="17">
        <f>INDEX('Pool Points'!$J:$J,MATCH(B129,'Pool Points'!$A:$A,0))</f>
        <v>0.78369999999999995</v>
      </c>
      <c r="J129">
        <f t="shared" si="4"/>
        <v>19</v>
      </c>
      <c r="K129">
        <f t="shared" si="5"/>
        <v>19</v>
      </c>
      <c r="L129">
        <f>INDEX('Pool Points'!$I:$I,MATCH(B129,'Pool Points'!$A:$A,0))</f>
        <v>17</v>
      </c>
      <c r="M129">
        <f t="shared" si="6"/>
        <v>2</v>
      </c>
      <c r="N129" t="str">
        <f t="shared" si="7"/>
        <v>Over capacity</v>
      </c>
    </row>
    <row r="130" spans="1:14" x14ac:dyDescent="0.35">
      <c r="A130" s="13">
        <v>46340</v>
      </c>
      <c r="B130" t="s">
        <v>82</v>
      </c>
      <c r="C130" t="s">
        <v>83</v>
      </c>
      <c r="D130" t="s">
        <v>84</v>
      </c>
      <c r="E130" s="14">
        <v>339.2</v>
      </c>
      <c r="F130" s="14">
        <v>318.5</v>
      </c>
      <c r="G130" s="14">
        <v>347.5</v>
      </c>
      <c r="H130" s="14">
        <v>0</v>
      </c>
      <c r="I130" s="17">
        <f>INDEX('Pool Points'!$J:$J,MATCH(B130,'Pool Points'!$A:$A,0))</f>
        <v>0.76890000000000003</v>
      </c>
      <c r="J130">
        <f t="shared" si="4"/>
        <v>17</v>
      </c>
      <c r="K130">
        <f t="shared" si="5"/>
        <v>18</v>
      </c>
      <c r="L130">
        <f>INDEX('Pool Points'!$I:$I,MATCH(B130,'Pool Points'!$A:$A,0))</f>
        <v>17</v>
      </c>
      <c r="M130">
        <f t="shared" si="6"/>
        <v>1</v>
      </c>
      <c r="N130" t="str">
        <f t="shared" si="7"/>
        <v>At risk</v>
      </c>
    </row>
    <row r="131" spans="1:14" x14ac:dyDescent="0.35">
      <c r="A131" s="13">
        <v>46340</v>
      </c>
      <c r="B131" t="s">
        <v>85</v>
      </c>
      <c r="C131" t="s">
        <v>86</v>
      </c>
      <c r="D131" t="s">
        <v>84</v>
      </c>
      <c r="E131" s="14">
        <v>303.60000000000002</v>
      </c>
      <c r="F131" s="14">
        <v>285.2</v>
      </c>
      <c r="G131" s="14">
        <v>311.10000000000002</v>
      </c>
      <c r="H131" s="14">
        <v>14.5</v>
      </c>
      <c r="I131" s="17">
        <f>INDEX('Pool Points'!$J:$J,MATCH(B131,'Pool Points'!$A:$A,0))</f>
        <v>0.75660000000000005</v>
      </c>
      <c r="J131">
        <f t="shared" si="4"/>
        <v>16</v>
      </c>
      <c r="K131">
        <f t="shared" si="5"/>
        <v>16</v>
      </c>
      <c r="L131">
        <f>INDEX('Pool Points'!$I:$I,MATCH(B131,'Pool Points'!$A:$A,0))</f>
        <v>13</v>
      </c>
      <c r="M131">
        <f t="shared" si="6"/>
        <v>3</v>
      </c>
      <c r="N131" t="str">
        <f t="shared" si="7"/>
        <v>Over capacity</v>
      </c>
    </row>
    <row r="132" spans="1:14" x14ac:dyDescent="0.35">
      <c r="A132" s="13">
        <v>46340</v>
      </c>
      <c r="B132" t="s">
        <v>87</v>
      </c>
      <c r="C132" t="s">
        <v>88</v>
      </c>
      <c r="D132" t="s">
        <v>76</v>
      </c>
      <c r="E132" s="14">
        <v>283.5</v>
      </c>
      <c r="F132" s="14">
        <v>266.3</v>
      </c>
      <c r="G132" s="14">
        <v>290.5</v>
      </c>
      <c r="H132" s="14">
        <v>0</v>
      </c>
      <c r="I132" s="17">
        <f>INDEX('Pool Points'!$J:$J,MATCH(B132,'Pool Points'!$A:$A,0))</f>
        <v>0.7006</v>
      </c>
      <c r="J132">
        <f t="shared" si="4"/>
        <v>16</v>
      </c>
      <c r="K132">
        <f t="shared" si="5"/>
        <v>16</v>
      </c>
      <c r="L132">
        <f>INDEX('Pool Points'!$I:$I,MATCH(B132,'Pool Points'!$A:$A,0))</f>
        <v>13</v>
      </c>
      <c r="M132">
        <f t="shared" si="6"/>
        <v>3</v>
      </c>
      <c r="N132" t="str">
        <f t="shared" si="7"/>
        <v>Over capacity</v>
      </c>
    </row>
    <row r="133" spans="1:14" x14ac:dyDescent="0.35">
      <c r="A133" s="13">
        <v>46347</v>
      </c>
      <c r="B133" t="s">
        <v>70</v>
      </c>
      <c r="C133" t="s">
        <v>71</v>
      </c>
      <c r="D133" t="s">
        <v>72</v>
      </c>
      <c r="E133" s="14">
        <v>331.7</v>
      </c>
      <c r="F133" s="14">
        <v>311.5</v>
      </c>
      <c r="G133" s="14">
        <v>339.9</v>
      </c>
      <c r="H133" s="14">
        <v>0</v>
      </c>
      <c r="I133" s="17">
        <f>INDEX('Pool Points'!$J:$J,MATCH(B133,'Pool Points'!$A:$A,0))</f>
        <v>0.73829999999999996</v>
      </c>
      <c r="J133">
        <f t="shared" ref="J133:J196" si="8">ROUNDUP(E133/(PalletsPerTrailer*I133),0)</f>
        <v>18</v>
      </c>
      <c r="K133">
        <f t="shared" ref="K133:K196" si="9">ROUNDUP(G133/(PalletsPerTrailer*I133),0)</f>
        <v>18</v>
      </c>
      <c r="L133">
        <f>INDEX('Pool Points'!$I:$I,MATCH(B133,'Pool Points'!$A:$A,0))</f>
        <v>15</v>
      </c>
      <c r="M133">
        <f t="shared" ref="M133:M196" si="10">MAX(0,K133-L133)</f>
        <v>3</v>
      </c>
      <c r="N133" t="str">
        <f t="shared" ref="N133:N196" si="11">IF(J133&gt;L133,"Over capacity",IF(K133&gt;L133,"At risk","Covered"))</f>
        <v>Over capacity</v>
      </c>
    </row>
    <row r="134" spans="1:14" x14ac:dyDescent="0.35">
      <c r="A134" s="13">
        <v>46347</v>
      </c>
      <c r="B134" t="s">
        <v>73</v>
      </c>
      <c r="C134" t="s">
        <v>74</v>
      </c>
      <c r="D134" t="s">
        <v>72</v>
      </c>
      <c r="E134" s="14">
        <v>318.7</v>
      </c>
      <c r="F134" s="14">
        <v>299.3</v>
      </c>
      <c r="G134" s="14">
        <v>326.5</v>
      </c>
      <c r="H134" s="14">
        <v>0</v>
      </c>
      <c r="I134" s="17">
        <f>INDEX('Pool Points'!$J:$J,MATCH(B134,'Pool Points'!$A:$A,0))</f>
        <v>0.79159999999999997</v>
      </c>
      <c r="J134">
        <f t="shared" si="8"/>
        <v>16</v>
      </c>
      <c r="K134">
        <f t="shared" si="9"/>
        <v>16</v>
      </c>
      <c r="L134">
        <f>INDEX('Pool Points'!$I:$I,MATCH(B134,'Pool Points'!$A:$A,0))</f>
        <v>15</v>
      </c>
      <c r="M134">
        <f t="shared" si="10"/>
        <v>1</v>
      </c>
      <c r="N134" t="str">
        <f t="shared" si="11"/>
        <v>Over capacity</v>
      </c>
    </row>
    <row r="135" spans="1:14" x14ac:dyDescent="0.35">
      <c r="A135" s="13">
        <v>46347</v>
      </c>
      <c r="B135" t="s">
        <v>3</v>
      </c>
      <c r="C135" t="s">
        <v>75</v>
      </c>
      <c r="D135" t="s">
        <v>76</v>
      </c>
      <c r="E135" s="14">
        <v>415.7</v>
      </c>
      <c r="F135" s="14">
        <v>390.4</v>
      </c>
      <c r="G135" s="14">
        <v>426</v>
      </c>
      <c r="H135" s="14">
        <v>0</v>
      </c>
      <c r="I135" s="17">
        <f>INDEX('Pool Points'!$J:$J,MATCH(B135,'Pool Points'!$A:$A,0))</f>
        <v>0.80469999999999997</v>
      </c>
      <c r="J135">
        <f t="shared" si="8"/>
        <v>20</v>
      </c>
      <c r="K135">
        <f t="shared" si="9"/>
        <v>21</v>
      </c>
      <c r="L135">
        <f>INDEX('Pool Points'!$I:$I,MATCH(B135,'Pool Points'!$A:$A,0))</f>
        <v>18</v>
      </c>
      <c r="M135">
        <f t="shared" si="10"/>
        <v>3</v>
      </c>
      <c r="N135" t="str">
        <f t="shared" si="11"/>
        <v>Over capacity</v>
      </c>
    </row>
    <row r="136" spans="1:14" x14ac:dyDescent="0.35">
      <c r="A136" s="13">
        <v>46347</v>
      </c>
      <c r="B136" t="s">
        <v>77</v>
      </c>
      <c r="C136" t="s">
        <v>78</v>
      </c>
      <c r="D136" t="s">
        <v>79</v>
      </c>
      <c r="E136" s="14">
        <v>329.6</v>
      </c>
      <c r="F136" s="14">
        <v>309.60000000000002</v>
      </c>
      <c r="G136" s="14">
        <v>337.7</v>
      </c>
      <c r="H136" s="14">
        <v>19.399999999999999</v>
      </c>
      <c r="I136" s="17">
        <f>INDEX('Pool Points'!$J:$J,MATCH(B136,'Pool Points'!$A:$A,0))</f>
        <v>0.74490000000000001</v>
      </c>
      <c r="J136">
        <f t="shared" si="8"/>
        <v>18</v>
      </c>
      <c r="K136">
        <f t="shared" si="9"/>
        <v>18</v>
      </c>
      <c r="L136">
        <f>INDEX('Pool Points'!$I:$I,MATCH(B136,'Pool Points'!$A:$A,0))</f>
        <v>15</v>
      </c>
      <c r="M136">
        <f t="shared" si="10"/>
        <v>3</v>
      </c>
      <c r="N136" t="str">
        <f t="shared" si="11"/>
        <v>Over capacity</v>
      </c>
    </row>
    <row r="137" spans="1:14" x14ac:dyDescent="0.35">
      <c r="A137" s="13">
        <v>46347</v>
      </c>
      <c r="B137" t="s">
        <v>80</v>
      </c>
      <c r="C137" t="s">
        <v>81</v>
      </c>
      <c r="D137" t="s">
        <v>79</v>
      </c>
      <c r="E137" s="14">
        <v>392.8</v>
      </c>
      <c r="F137" s="14">
        <v>368.9</v>
      </c>
      <c r="G137" s="14">
        <v>402.5</v>
      </c>
      <c r="H137" s="14">
        <v>0</v>
      </c>
      <c r="I137" s="17">
        <f>INDEX('Pool Points'!$J:$J,MATCH(B137,'Pool Points'!$A:$A,0))</f>
        <v>0.78369999999999995</v>
      </c>
      <c r="J137">
        <f t="shared" si="8"/>
        <v>20</v>
      </c>
      <c r="K137">
        <f t="shared" si="9"/>
        <v>20</v>
      </c>
      <c r="L137">
        <f>INDEX('Pool Points'!$I:$I,MATCH(B137,'Pool Points'!$A:$A,0))</f>
        <v>17</v>
      </c>
      <c r="M137">
        <f t="shared" si="10"/>
        <v>3</v>
      </c>
      <c r="N137" t="str">
        <f t="shared" si="11"/>
        <v>Over capacity</v>
      </c>
    </row>
    <row r="138" spans="1:14" x14ac:dyDescent="0.35">
      <c r="A138" s="13">
        <v>46347</v>
      </c>
      <c r="B138" t="s">
        <v>82</v>
      </c>
      <c r="C138" t="s">
        <v>83</v>
      </c>
      <c r="D138" t="s">
        <v>84</v>
      </c>
      <c r="E138" s="14">
        <v>355.8</v>
      </c>
      <c r="F138" s="14">
        <v>334.2</v>
      </c>
      <c r="G138" s="14">
        <v>364.6</v>
      </c>
      <c r="H138" s="14">
        <v>0</v>
      </c>
      <c r="I138" s="17">
        <f>INDEX('Pool Points'!$J:$J,MATCH(B138,'Pool Points'!$A:$A,0))</f>
        <v>0.76890000000000003</v>
      </c>
      <c r="J138">
        <f t="shared" si="8"/>
        <v>18</v>
      </c>
      <c r="K138">
        <f t="shared" si="9"/>
        <v>19</v>
      </c>
      <c r="L138">
        <f>INDEX('Pool Points'!$I:$I,MATCH(B138,'Pool Points'!$A:$A,0))</f>
        <v>17</v>
      </c>
      <c r="M138">
        <f t="shared" si="10"/>
        <v>2</v>
      </c>
      <c r="N138" t="str">
        <f t="shared" si="11"/>
        <v>Over capacity</v>
      </c>
    </row>
    <row r="139" spans="1:14" x14ac:dyDescent="0.35">
      <c r="A139" s="13">
        <v>46347</v>
      </c>
      <c r="B139" t="s">
        <v>85</v>
      </c>
      <c r="C139" t="s">
        <v>86</v>
      </c>
      <c r="D139" t="s">
        <v>84</v>
      </c>
      <c r="E139" s="14">
        <v>324.8</v>
      </c>
      <c r="F139" s="14">
        <v>305.10000000000002</v>
      </c>
      <c r="G139" s="14">
        <v>332.8</v>
      </c>
      <c r="H139" s="14">
        <v>16.2</v>
      </c>
      <c r="I139" s="17">
        <f>INDEX('Pool Points'!$J:$J,MATCH(B139,'Pool Points'!$A:$A,0))</f>
        <v>0.75660000000000005</v>
      </c>
      <c r="J139">
        <f t="shared" si="8"/>
        <v>17</v>
      </c>
      <c r="K139">
        <f t="shared" si="9"/>
        <v>17</v>
      </c>
      <c r="L139">
        <f>INDEX('Pool Points'!$I:$I,MATCH(B139,'Pool Points'!$A:$A,0))</f>
        <v>13</v>
      </c>
      <c r="M139">
        <f t="shared" si="10"/>
        <v>4</v>
      </c>
      <c r="N139" t="str">
        <f t="shared" si="11"/>
        <v>Over capacity</v>
      </c>
    </row>
    <row r="140" spans="1:14" x14ac:dyDescent="0.35">
      <c r="A140" s="13">
        <v>46347</v>
      </c>
      <c r="B140" t="s">
        <v>87</v>
      </c>
      <c r="C140" t="s">
        <v>88</v>
      </c>
      <c r="D140" t="s">
        <v>76</v>
      </c>
      <c r="E140" s="14">
        <v>289.5</v>
      </c>
      <c r="F140" s="14">
        <v>271.89999999999998</v>
      </c>
      <c r="G140" s="14">
        <v>296.60000000000002</v>
      </c>
      <c r="H140" s="14">
        <v>0</v>
      </c>
      <c r="I140" s="17">
        <f>INDEX('Pool Points'!$J:$J,MATCH(B140,'Pool Points'!$A:$A,0))</f>
        <v>0.7006</v>
      </c>
      <c r="J140">
        <f t="shared" si="8"/>
        <v>16</v>
      </c>
      <c r="K140">
        <f t="shared" si="9"/>
        <v>17</v>
      </c>
      <c r="L140">
        <f>INDEX('Pool Points'!$I:$I,MATCH(B140,'Pool Points'!$A:$A,0))</f>
        <v>13</v>
      </c>
      <c r="M140">
        <f t="shared" si="10"/>
        <v>4</v>
      </c>
      <c r="N140" t="str">
        <f t="shared" si="11"/>
        <v>Over capacity</v>
      </c>
    </row>
    <row r="141" spans="1:14" x14ac:dyDescent="0.35">
      <c r="A141" s="13">
        <v>46354</v>
      </c>
      <c r="B141" t="s">
        <v>70</v>
      </c>
      <c r="C141" t="s">
        <v>71</v>
      </c>
      <c r="D141" t="s">
        <v>72</v>
      </c>
      <c r="E141" s="14">
        <v>341.6</v>
      </c>
      <c r="F141" s="14">
        <v>320.89999999999998</v>
      </c>
      <c r="G141" s="14">
        <v>350</v>
      </c>
      <c r="H141" s="14">
        <v>0</v>
      </c>
      <c r="I141" s="17">
        <f>INDEX('Pool Points'!$J:$J,MATCH(B141,'Pool Points'!$A:$A,0))</f>
        <v>0.73829999999999996</v>
      </c>
      <c r="J141">
        <f t="shared" si="8"/>
        <v>18</v>
      </c>
      <c r="K141">
        <f t="shared" si="9"/>
        <v>19</v>
      </c>
      <c r="L141">
        <f>INDEX('Pool Points'!$I:$I,MATCH(B141,'Pool Points'!$A:$A,0))</f>
        <v>15</v>
      </c>
      <c r="M141">
        <f t="shared" si="10"/>
        <v>4</v>
      </c>
      <c r="N141" t="str">
        <f t="shared" si="11"/>
        <v>Over capacity</v>
      </c>
    </row>
    <row r="142" spans="1:14" x14ac:dyDescent="0.35">
      <c r="A142" s="13">
        <v>46354</v>
      </c>
      <c r="B142" t="s">
        <v>73</v>
      </c>
      <c r="C142" t="s">
        <v>74</v>
      </c>
      <c r="D142" t="s">
        <v>72</v>
      </c>
      <c r="E142" s="14">
        <v>343.5</v>
      </c>
      <c r="F142" s="14">
        <v>322.60000000000002</v>
      </c>
      <c r="G142" s="14">
        <v>351.9</v>
      </c>
      <c r="H142" s="14">
        <v>0</v>
      </c>
      <c r="I142" s="17">
        <f>INDEX('Pool Points'!$J:$J,MATCH(B142,'Pool Points'!$A:$A,0))</f>
        <v>0.79159999999999997</v>
      </c>
      <c r="J142">
        <f t="shared" si="8"/>
        <v>17</v>
      </c>
      <c r="K142">
        <f t="shared" si="9"/>
        <v>18</v>
      </c>
      <c r="L142">
        <f>INDEX('Pool Points'!$I:$I,MATCH(B142,'Pool Points'!$A:$A,0))</f>
        <v>15</v>
      </c>
      <c r="M142">
        <f t="shared" si="10"/>
        <v>3</v>
      </c>
      <c r="N142" t="str">
        <f t="shared" si="11"/>
        <v>Over capacity</v>
      </c>
    </row>
    <row r="143" spans="1:14" x14ac:dyDescent="0.35">
      <c r="A143" s="13">
        <v>46354</v>
      </c>
      <c r="B143" t="s">
        <v>3</v>
      </c>
      <c r="C143" t="s">
        <v>75</v>
      </c>
      <c r="D143" t="s">
        <v>76</v>
      </c>
      <c r="E143" s="14">
        <v>445.8</v>
      </c>
      <c r="F143" s="14">
        <v>418.7</v>
      </c>
      <c r="G143" s="14">
        <v>456.7</v>
      </c>
      <c r="H143" s="14">
        <v>0</v>
      </c>
      <c r="I143" s="17">
        <f>INDEX('Pool Points'!$J:$J,MATCH(B143,'Pool Points'!$A:$A,0))</f>
        <v>0.80469999999999997</v>
      </c>
      <c r="J143">
        <f t="shared" si="8"/>
        <v>22</v>
      </c>
      <c r="K143">
        <f t="shared" si="9"/>
        <v>22</v>
      </c>
      <c r="L143">
        <f>INDEX('Pool Points'!$I:$I,MATCH(B143,'Pool Points'!$A:$A,0))</f>
        <v>18</v>
      </c>
      <c r="M143">
        <f t="shared" si="10"/>
        <v>4</v>
      </c>
      <c r="N143" t="str">
        <f t="shared" si="11"/>
        <v>Over capacity</v>
      </c>
    </row>
    <row r="144" spans="1:14" x14ac:dyDescent="0.35">
      <c r="A144" s="13">
        <v>46354</v>
      </c>
      <c r="B144" t="s">
        <v>77</v>
      </c>
      <c r="C144" t="s">
        <v>78</v>
      </c>
      <c r="D144" t="s">
        <v>79</v>
      </c>
      <c r="E144" s="14">
        <v>354.7</v>
      </c>
      <c r="F144" s="14">
        <v>333.1</v>
      </c>
      <c r="G144" s="14">
        <v>363.5</v>
      </c>
      <c r="H144" s="14">
        <v>21.2</v>
      </c>
      <c r="I144" s="17">
        <f>INDEX('Pool Points'!$J:$J,MATCH(B144,'Pool Points'!$A:$A,0))</f>
        <v>0.74490000000000001</v>
      </c>
      <c r="J144">
        <f t="shared" si="8"/>
        <v>19</v>
      </c>
      <c r="K144">
        <f t="shared" si="9"/>
        <v>19</v>
      </c>
      <c r="L144">
        <f>INDEX('Pool Points'!$I:$I,MATCH(B144,'Pool Points'!$A:$A,0))</f>
        <v>15</v>
      </c>
      <c r="M144">
        <f t="shared" si="10"/>
        <v>4</v>
      </c>
      <c r="N144" t="str">
        <f t="shared" si="11"/>
        <v>Over capacity</v>
      </c>
    </row>
    <row r="145" spans="1:14" x14ac:dyDescent="0.35">
      <c r="A145" s="13">
        <v>46354</v>
      </c>
      <c r="B145" t="s">
        <v>80</v>
      </c>
      <c r="C145" t="s">
        <v>81</v>
      </c>
      <c r="D145" t="s">
        <v>79</v>
      </c>
      <c r="E145" s="14">
        <v>425.2</v>
      </c>
      <c r="F145" s="14">
        <v>399.3</v>
      </c>
      <c r="G145" s="14">
        <v>435.7</v>
      </c>
      <c r="H145" s="14">
        <v>0</v>
      </c>
      <c r="I145" s="17">
        <f>INDEX('Pool Points'!$J:$J,MATCH(B145,'Pool Points'!$A:$A,0))</f>
        <v>0.78369999999999995</v>
      </c>
      <c r="J145">
        <f t="shared" si="8"/>
        <v>21</v>
      </c>
      <c r="K145">
        <f t="shared" si="9"/>
        <v>22</v>
      </c>
      <c r="L145">
        <f>INDEX('Pool Points'!$I:$I,MATCH(B145,'Pool Points'!$A:$A,0))</f>
        <v>17</v>
      </c>
      <c r="M145">
        <f t="shared" si="10"/>
        <v>5</v>
      </c>
      <c r="N145" t="str">
        <f t="shared" si="11"/>
        <v>Over capacity</v>
      </c>
    </row>
    <row r="146" spans="1:14" x14ac:dyDescent="0.35">
      <c r="A146" s="13">
        <v>46354</v>
      </c>
      <c r="B146" t="s">
        <v>82</v>
      </c>
      <c r="C146" t="s">
        <v>83</v>
      </c>
      <c r="D146" t="s">
        <v>84</v>
      </c>
      <c r="E146" s="14">
        <v>399.7</v>
      </c>
      <c r="F146" s="14">
        <v>375.4</v>
      </c>
      <c r="G146" s="14">
        <v>409.6</v>
      </c>
      <c r="H146" s="14">
        <v>0</v>
      </c>
      <c r="I146" s="17">
        <f>INDEX('Pool Points'!$J:$J,MATCH(B146,'Pool Points'!$A:$A,0))</f>
        <v>0.76890000000000003</v>
      </c>
      <c r="J146">
        <f t="shared" si="8"/>
        <v>20</v>
      </c>
      <c r="K146">
        <f t="shared" si="9"/>
        <v>21</v>
      </c>
      <c r="L146">
        <f>INDEX('Pool Points'!$I:$I,MATCH(B146,'Pool Points'!$A:$A,0))</f>
        <v>17</v>
      </c>
      <c r="M146">
        <f t="shared" si="10"/>
        <v>4</v>
      </c>
      <c r="N146" t="str">
        <f t="shared" si="11"/>
        <v>Over capacity</v>
      </c>
    </row>
    <row r="147" spans="1:14" x14ac:dyDescent="0.35">
      <c r="A147" s="13">
        <v>46354</v>
      </c>
      <c r="B147" t="s">
        <v>85</v>
      </c>
      <c r="C147" t="s">
        <v>86</v>
      </c>
      <c r="D147" t="s">
        <v>84</v>
      </c>
      <c r="E147" s="14">
        <v>353.7</v>
      </c>
      <c r="F147" s="14">
        <v>332.2</v>
      </c>
      <c r="G147" s="14">
        <v>362.4</v>
      </c>
      <c r="H147" s="14">
        <v>18.899999999999999</v>
      </c>
      <c r="I147" s="17">
        <f>INDEX('Pool Points'!$J:$J,MATCH(B147,'Pool Points'!$A:$A,0))</f>
        <v>0.75660000000000005</v>
      </c>
      <c r="J147">
        <f t="shared" si="8"/>
        <v>18</v>
      </c>
      <c r="K147">
        <f t="shared" si="9"/>
        <v>19</v>
      </c>
      <c r="L147">
        <f>INDEX('Pool Points'!$I:$I,MATCH(B147,'Pool Points'!$A:$A,0))</f>
        <v>13</v>
      </c>
      <c r="M147">
        <f t="shared" si="10"/>
        <v>6</v>
      </c>
      <c r="N147" t="str">
        <f t="shared" si="11"/>
        <v>Over capacity</v>
      </c>
    </row>
    <row r="148" spans="1:14" x14ac:dyDescent="0.35">
      <c r="A148" s="13">
        <v>46354</v>
      </c>
      <c r="B148" t="s">
        <v>87</v>
      </c>
      <c r="C148" t="s">
        <v>88</v>
      </c>
      <c r="D148" t="s">
        <v>76</v>
      </c>
      <c r="E148" s="14">
        <v>323.8</v>
      </c>
      <c r="F148" s="14">
        <v>304.10000000000002</v>
      </c>
      <c r="G148" s="14">
        <v>331.8</v>
      </c>
      <c r="H148" s="14">
        <v>0</v>
      </c>
      <c r="I148" s="17">
        <f>INDEX('Pool Points'!$J:$J,MATCH(B148,'Pool Points'!$A:$A,0))</f>
        <v>0.7006</v>
      </c>
      <c r="J148">
        <f t="shared" si="8"/>
        <v>18</v>
      </c>
      <c r="K148">
        <f t="shared" si="9"/>
        <v>19</v>
      </c>
      <c r="L148">
        <f>INDEX('Pool Points'!$I:$I,MATCH(B148,'Pool Points'!$A:$A,0))</f>
        <v>13</v>
      </c>
      <c r="M148">
        <f t="shared" si="10"/>
        <v>6</v>
      </c>
      <c r="N148" t="str">
        <f t="shared" si="11"/>
        <v>Over capacity</v>
      </c>
    </row>
    <row r="149" spans="1:14" x14ac:dyDescent="0.35">
      <c r="A149" s="13">
        <v>46361</v>
      </c>
      <c r="B149" t="s">
        <v>70</v>
      </c>
      <c r="C149" t="s">
        <v>71</v>
      </c>
      <c r="D149" t="s">
        <v>72</v>
      </c>
      <c r="E149" s="14">
        <v>362.4</v>
      </c>
      <c r="F149" s="14">
        <v>340.4</v>
      </c>
      <c r="G149" s="14">
        <v>371.3</v>
      </c>
      <c r="H149" s="14">
        <v>0</v>
      </c>
      <c r="I149" s="17">
        <f>INDEX('Pool Points'!$J:$J,MATCH(B149,'Pool Points'!$A:$A,0))</f>
        <v>0.73829999999999996</v>
      </c>
      <c r="J149">
        <f t="shared" si="8"/>
        <v>19</v>
      </c>
      <c r="K149">
        <f t="shared" si="9"/>
        <v>20</v>
      </c>
      <c r="L149">
        <f>INDEX('Pool Points'!$I:$I,MATCH(B149,'Pool Points'!$A:$A,0))</f>
        <v>15</v>
      </c>
      <c r="M149">
        <f t="shared" si="10"/>
        <v>5</v>
      </c>
      <c r="N149" t="str">
        <f t="shared" si="11"/>
        <v>Over capacity</v>
      </c>
    </row>
    <row r="150" spans="1:14" x14ac:dyDescent="0.35">
      <c r="A150" s="13">
        <v>46361</v>
      </c>
      <c r="B150" t="s">
        <v>73</v>
      </c>
      <c r="C150" t="s">
        <v>74</v>
      </c>
      <c r="D150" t="s">
        <v>72</v>
      </c>
      <c r="E150" s="14">
        <v>362.7</v>
      </c>
      <c r="F150" s="14">
        <v>340.7</v>
      </c>
      <c r="G150" s="14">
        <v>371.6</v>
      </c>
      <c r="H150" s="14">
        <v>0</v>
      </c>
      <c r="I150" s="17">
        <f>INDEX('Pool Points'!$J:$J,MATCH(B150,'Pool Points'!$A:$A,0))</f>
        <v>0.79159999999999997</v>
      </c>
      <c r="J150">
        <f t="shared" si="8"/>
        <v>18</v>
      </c>
      <c r="K150">
        <f t="shared" si="9"/>
        <v>19</v>
      </c>
      <c r="L150">
        <f>INDEX('Pool Points'!$I:$I,MATCH(B150,'Pool Points'!$A:$A,0))</f>
        <v>15</v>
      </c>
      <c r="M150">
        <f t="shared" si="10"/>
        <v>4</v>
      </c>
      <c r="N150" t="str">
        <f t="shared" si="11"/>
        <v>Over capacity</v>
      </c>
    </row>
    <row r="151" spans="1:14" x14ac:dyDescent="0.35">
      <c r="A151" s="13">
        <v>46361</v>
      </c>
      <c r="B151" t="s">
        <v>3</v>
      </c>
      <c r="C151" t="s">
        <v>75</v>
      </c>
      <c r="D151" t="s">
        <v>76</v>
      </c>
      <c r="E151" s="14">
        <v>479.2</v>
      </c>
      <c r="F151" s="14">
        <v>450.1</v>
      </c>
      <c r="G151" s="14">
        <v>491.1</v>
      </c>
      <c r="H151" s="14">
        <v>0</v>
      </c>
      <c r="I151" s="17">
        <f>INDEX('Pool Points'!$J:$J,MATCH(B151,'Pool Points'!$A:$A,0))</f>
        <v>0.80469999999999997</v>
      </c>
      <c r="J151">
        <f t="shared" si="8"/>
        <v>23</v>
      </c>
      <c r="K151">
        <f t="shared" si="9"/>
        <v>24</v>
      </c>
      <c r="L151">
        <f>INDEX('Pool Points'!$I:$I,MATCH(B151,'Pool Points'!$A:$A,0))</f>
        <v>18</v>
      </c>
      <c r="M151">
        <f t="shared" si="10"/>
        <v>6</v>
      </c>
      <c r="N151" t="str">
        <f t="shared" si="11"/>
        <v>Over capacity</v>
      </c>
    </row>
    <row r="152" spans="1:14" x14ac:dyDescent="0.35">
      <c r="A152" s="13">
        <v>46361</v>
      </c>
      <c r="B152" t="s">
        <v>77</v>
      </c>
      <c r="C152" t="s">
        <v>78</v>
      </c>
      <c r="D152" t="s">
        <v>79</v>
      </c>
      <c r="E152" s="14">
        <v>369.7</v>
      </c>
      <c r="F152" s="14">
        <v>347.2</v>
      </c>
      <c r="G152" s="14">
        <v>378.8</v>
      </c>
      <c r="H152" s="14">
        <v>21.8</v>
      </c>
      <c r="I152" s="17">
        <f>INDEX('Pool Points'!$J:$J,MATCH(B152,'Pool Points'!$A:$A,0))</f>
        <v>0.74490000000000001</v>
      </c>
      <c r="J152">
        <f t="shared" si="8"/>
        <v>20</v>
      </c>
      <c r="K152">
        <f t="shared" si="9"/>
        <v>20</v>
      </c>
      <c r="L152">
        <f>INDEX('Pool Points'!$I:$I,MATCH(B152,'Pool Points'!$A:$A,0))</f>
        <v>15</v>
      </c>
      <c r="M152">
        <f t="shared" si="10"/>
        <v>5</v>
      </c>
      <c r="N152" t="str">
        <f t="shared" si="11"/>
        <v>Over capacity</v>
      </c>
    </row>
    <row r="153" spans="1:14" x14ac:dyDescent="0.35">
      <c r="A153" s="13">
        <v>46361</v>
      </c>
      <c r="B153" t="s">
        <v>80</v>
      </c>
      <c r="C153" t="s">
        <v>81</v>
      </c>
      <c r="D153" t="s">
        <v>79</v>
      </c>
      <c r="E153" s="14">
        <v>455.6</v>
      </c>
      <c r="F153" s="14">
        <v>427.9</v>
      </c>
      <c r="G153" s="14">
        <v>466.8</v>
      </c>
      <c r="H153" s="14">
        <v>0</v>
      </c>
      <c r="I153" s="17">
        <f>INDEX('Pool Points'!$J:$J,MATCH(B153,'Pool Points'!$A:$A,0))</f>
        <v>0.78369999999999995</v>
      </c>
      <c r="J153">
        <f t="shared" si="8"/>
        <v>23</v>
      </c>
      <c r="K153">
        <f t="shared" si="9"/>
        <v>23</v>
      </c>
      <c r="L153">
        <f>INDEX('Pool Points'!$I:$I,MATCH(B153,'Pool Points'!$A:$A,0))</f>
        <v>17</v>
      </c>
      <c r="M153">
        <f t="shared" si="10"/>
        <v>6</v>
      </c>
      <c r="N153" t="str">
        <f t="shared" si="11"/>
        <v>Over capacity</v>
      </c>
    </row>
    <row r="154" spans="1:14" x14ac:dyDescent="0.35">
      <c r="A154" s="13">
        <v>46361</v>
      </c>
      <c r="B154" t="s">
        <v>82</v>
      </c>
      <c r="C154" t="s">
        <v>83</v>
      </c>
      <c r="D154" t="s">
        <v>84</v>
      </c>
      <c r="E154" s="14">
        <v>412.9</v>
      </c>
      <c r="F154" s="14">
        <v>387.8</v>
      </c>
      <c r="G154" s="14">
        <v>423</v>
      </c>
      <c r="H154" s="14">
        <v>0</v>
      </c>
      <c r="I154" s="17">
        <f>INDEX('Pool Points'!$J:$J,MATCH(B154,'Pool Points'!$A:$A,0))</f>
        <v>0.76890000000000003</v>
      </c>
      <c r="J154">
        <f t="shared" si="8"/>
        <v>21</v>
      </c>
      <c r="K154">
        <f t="shared" si="9"/>
        <v>22</v>
      </c>
      <c r="L154">
        <f>INDEX('Pool Points'!$I:$I,MATCH(B154,'Pool Points'!$A:$A,0))</f>
        <v>17</v>
      </c>
      <c r="M154">
        <f t="shared" si="10"/>
        <v>5</v>
      </c>
      <c r="N154" t="str">
        <f t="shared" si="11"/>
        <v>Over capacity</v>
      </c>
    </row>
    <row r="155" spans="1:14" x14ac:dyDescent="0.35">
      <c r="A155" s="13">
        <v>46361</v>
      </c>
      <c r="B155" t="s">
        <v>85</v>
      </c>
      <c r="C155" t="s">
        <v>86</v>
      </c>
      <c r="D155" t="s">
        <v>84</v>
      </c>
      <c r="E155" s="14">
        <v>373.2</v>
      </c>
      <c r="F155" s="14">
        <v>350.5</v>
      </c>
      <c r="G155" s="14">
        <v>382.4</v>
      </c>
      <c r="H155" s="14">
        <v>21.1</v>
      </c>
      <c r="I155" s="17">
        <f>INDEX('Pool Points'!$J:$J,MATCH(B155,'Pool Points'!$A:$A,0))</f>
        <v>0.75660000000000005</v>
      </c>
      <c r="J155">
        <f t="shared" si="8"/>
        <v>19</v>
      </c>
      <c r="K155">
        <f t="shared" si="9"/>
        <v>20</v>
      </c>
      <c r="L155">
        <f>INDEX('Pool Points'!$I:$I,MATCH(B155,'Pool Points'!$A:$A,0))</f>
        <v>13</v>
      </c>
      <c r="M155">
        <f t="shared" si="10"/>
        <v>7</v>
      </c>
      <c r="N155" t="str">
        <f t="shared" si="11"/>
        <v>Over capacity</v>
      </c>
    </row>
    <row r="156" spans="1:14" x14ac:dyDescent="0.35">
      <c r="A156" s="13">
        <v>46361</v>
      </c>
      <c r="B156" t="s">
        <v>87</v>
      </c>
      <c r="C156" t="s">
        <v>88</v>
      </c>
      <c r="D156" t="s">
        <v>76</v>
      </c>
      <c r="E156" s="14">
        <v>336.5</v>
      </c>
      <c r="F156" s="14">
        <v>316</v>
      </c>
      <c r="G156" s="14">
        <v>344.8</v>
      </c>
      <c r="H156" s="14">
        <v>0</v>
      </c>
      <c r="I156" s="17">
        <f>INDEX('Pool Points'!$J:$J,MATCH(B156,'Pool Points'!$A:$A,0))</f>
        <v>0.7006</v>
      </c>
      <c r="J156">
        <f t="shared" si="8"/>
        <v>19</v>
      </c>
      <c r="K156">
        <f t="shared" si="9"/>
        <v>19</v>
      </c>
      <c r="L156">
        <f>INDEX('Pool Points'!$I:$I,MATCH(B156,'Pool Points'!$A:$A,0))</f>
        <v>13</v>
      </c>
      <c r="M156">
        <f t="shared" si="10"/>
        <v>6</v>
      </c>
      <c r="N156" t="str">
        <f t="shared" si="11"/>
        <v>Over capacity</v>
      </c>
    </row>
    <row r="157" spans="1:14" x14ac:dyDescent="0.35">
      <c r="A157" s="13">
        <v>46368</v>
      </c>
      <c r="B157" t="s">
        <v>70</v>
      </c>
      <c r="C157" t="s">
        <v>71</v>
      </c>
      <c r="D157" t="s">
        <v>72</v>
      </c>
      <c r="E157" s="14">
        <v>361.7</v>
      </c>
      <c r="F157" s="14">
        <v>339.7</v>
      </c>
      <c r="G157" s="14">
        <v>370.6</v>
      </c>
      <c r="H157" s="14">
        <v>0</v>
      </c>
      <c r="I157" s="17">
        <f>INDEX('Pool Points'!$J:$J,MATCH(B157,'Pool Points'!$A:$A,0))</f>
        <v>0.73829999999999996</v>
      </c>
      <c r="J157">
        <f t="shared" si="8"/>
        <v>19</v>
      </c>
      <c r="K157">
        <f t="shared" si="9"/>
        <v>20</v>
      </c>
      <c r="L157">
        <f>INDEX('Pool Points'!$I:$I,MATCH(B157,'Pool Points'!$A:$A,0))</f>
        <v>15</v>
      </c>
      <c r="M157">
        <f t="shared" si="10"/>
        <v>5</v>
      </c>
      <c r="N157" t="str">
        <f t="shared" si="11"/>
        <v>Over capacity</v>
      </c>
    </row>
    <row r="158" spans="1:14" x14ac:dyDescent="0.35">
      <c r="A158" s="13">
        <v>46368</v>
      </c>
      <c r="B158" t="s">
        <v>73</v>
      </c>
      <c r="C158" t="s">
        <v>74</v>
      </c>
      <c r="D158" t="s">
        <v>72</v>
      </c>
      <c r="E158" s="14">
        <v>355.5</v>
      </c>
      <c r="F158" s="14">
        <v>333.9</v>
      </c>
      <c r="G158" s="14">
        <v>364.3</v>
      </c>
      <c r="H158" s="14">
        <v>0</v>
      </c>
      <c r="I158" s="17">
        <f>INDEX('Pool Points'!$J:$J,MATCH(B158,'Pool Points'!$A:$A,0))</f>
        <v>0.79159999999999997</v>
      </c>
      <c r="J158">
        <f t="shared" si="8"/>
        <v>18</v>
      </c>
      <c r="K158">
        <f t="shared" si="9"/>
        <v>18</v>
      </c>
      <c r="L158">
        <f>INDEX('Pool Points'!$I:$I,MATCH(B158,'Pool Points'!$A:$A,0))</f>
        <v>15</v>
      </c>
      <c r="M158">
        <f t="shared" si="10"/>
        <v>3</v>
      </c>
      <c r="N158" t="str">
        <f t="shared" si="11"/>
        <v>Over capacity</v>
      </c>
    </row>
    <row r="159" spans="1:14" x14ac:dyDescent="0.35">
      <c r="A159" s="13">
        <v>46368</v>
      </c>
      <c r="B159" t="s">
        <v>3</v>
      </c>
      <c r="C159" t="s">
        <v>75</v>
      </c>
      <c r="D159" t="s">
        <v>76</v>
      </c>
      <c r="E159" s="14">
        <v>479.6</v>
      </c>
      <c r="F159" s="14">
        <v>450.5</v>
      </c>
      <c r="G159" s="14">
        <v>491.5</v>
      </c>
      <c r="H159" s="14">
        <v>0</v>
      </c>
      <c r="I159" s="17">
        <f>INDEX('Pool Points'!$J:$J,MATCH(B159,'Pool Points'!$A:$A,0))</f>
        <v>0.80469999999999997</v>
      </c>
      <c r="J159">
        <f t="shared" si="8"/>
        <v>23</v>
      </c>
      <c r="K159">
        <f t="shared" si="9"/>
        <v>24</v>
      </c>
      <c r="L159">
        <f>INDEX('Pool Points'!$I:$I,MATCH(B159,'Pool Points'!$A:$A,0))</f>
        <v>18</v>
      </c>
      <c r="M159">
        <f t="shared" si="10"/>
        <v>6</v>
      </c>
      <c r="N159" t="str">
        <f t="shared" si="11"/>
        <v>Over capacity</v>
      </c>
    </row>
    <row r="160" spans="1:14" x14ac:dyDescent="0.35">
      <c r="A160" s="13">
        <v>46368</v>
      </c>
      <c r="B160" t="s">
        <v>77</v>
      </c>
      <c r="C160" t="s">
        <v>78</v>
      </c>
      <c r="D160" t="s">
        <v>79</v>
      </c>
      <c r="E160" s="14">
        <v>376.5</v>
      </c>
      <c r="F160" s="14">
        <v>353.6</v>
      </c>
      <c r="G160" s="14">
        <v>385.7</v>
      </c>
      <c r="H160" s="14">
        <v>22.6</v>
      </c>
      <c r="I160" s="17">
        <f>INDEX('Pool Points'!$J:$J,MATCH(B160,'Pool Points'!$A:$A,0))</f>
        <v>0.74490000000000001</v>
      </c>
      <c r="J160">
        <f t="shared" si="8"/>
        <v>20</v>
      </c>
      <c r="K160">
        <f t="shared" si="9"/>
        <v>20</v>
      </c>
      <c r="L160">
        <f>INDEX('Pool Points'!$I:$I,MATCH(B160,'Pool Points'!$A:$A,0))</f>
        <v>15</v>
      </c>
      <c r="M160">
        <f t="shared" si="10"/>
        <v>5</v>
      </c>
      <c r="N160" t="str">
        <f t="shared" si="11"/>
        <v>Over capacity</v>
      </c>
    </row>
    <row r="161" spans="1:14" x14ac:dyDescent="0.35">
      <c r="A161" s="13">
        <v>46368</v>
      </c>
      <c r="B161" t="s">
        <v>80</v>
      </c>
      <c r="C161" t="s">
        <v>81</v>
      </c>
      <c r="D161" t="s">
        <v>79</v>
      </c>
      <c r="E161" s="14">
        <v>452.8</v>
      </c>
      <c r="F161" s="14">
        <v>425.2</v>
      </c>
      <c r="G161" s="14">
        <v>463.9</v>
      </c>
      <c r="H161" s="14">
        <v>0</v>
      </c>
      <c r="I161" s="17">
        <f>INDEX('Pool Points'!$J:$J,MATCH(B161,'Pool Points'!$A:$A,0))</f>
        <v>0.78369999999999995</v>
      </c>
      <c r="J161">
        <f t="shared" si="8"/>
        <v>23</v>
      </c>
      <c r="K161">
        <f t="shared" si="9"/>
        <v>23</v>
      </c>
      <c r="L161">
        <f>INDEX('Pool Points'!$I:$I,MATCH(B161,'Pool Points'!$A:$A,0))</f>
        <v>17</v>
      </c>
      <c r="M161">
        <f t="shared" si="10"/>
        <v>6</v>
      </c>
      <c r="N161" t="str">
        <f t="shared" si="11"/>
        <v>Over capacity</v>
      </c>
    </row>
    <row r="162" spans="1:14" x14ac:dyDescent="0.35">
      <c r="A162" s="13">
        <v>46368</v>
      </c>
      <c r="B162" t="s">
        <v>82</v>
      </c>
      <c r="C162" t="s">
        <v>83</v>
      </c>
      <c r="D162" t="s">
        <v>84</v>
      </c>
      <c r="E162" s="14">
        <v>411.2</v>
      </c>
      <c r="F162" s="14">
        <v>386.2</v>
      </c>
      <c r="G162" s="14">
        <v>421.3</v>
      </c>
      <c r="H162" s="14">
        <v>0</v>
      </c>
      <c r="I162" s="17">
        <f>INDEX('Pool Points'!$J:$J,MATCH(B162,'Pool Points'!$A:$A,0))</f>
        <v>0.76890000000000003</v>
      </c>
      <c r="J162">
        <f t="shared" si="8"/>
        <v>21</v>
      </c>
      <c r="K162">
        <f t="shared" si="9"/>
        <v>22</v>
      </c>
      <c r="L162">
        <f>INDEX('Pool Points'!$I:$I,MATCH(B162,'Pool Points'!$A:$A,0))</f>
        <v>17</v>
      </c>
      <c r="M162">
        <f t="shared" si="10"/>
        <v>5</v>
      </c>
      <c r="N162" t="str">
        <f t="shared" si="11"/>
        <v>Over capacity</v>
      </c>
    </row>
    <row r="163" spans="1:14" x14ac:dyDescent="0.35">
      <c r="A163" s="13">
        <v>46368</v>
      </c>
      <c r="B163" t="s">
        <v>85</v>
      </c>
      <c r="C163" t="s">
        <v>86</v>
      </c>
      <c r="D163" t="s">
        <v>84</v>
      </c>
      <c r="E163" s="14">
        <v>370.7</v>
      </c>
      <c r="F163" s="14">
        <v>348.2</v>
      </c>
      <c r="G163" s="14">
        <v>379.8</v>
      </c>
      <c r="H163" s="14">
        <v>22.4</v>
      </c>
      <c r="I163" s="17">
        <f>INDEX('Pool Points'!$J:$J,MATCH(B163,'Pool Points'!$A:$A,0))</f>
        <v>0.75660000000000005</v>
      </c>
      <c r="J163">
        <f t="shared" si="8"/>
        <v>19</v>
      </c>
      <c r="K163">
        <f t="shared" si="9"/>
        <v>20</v>
      </c>
      <c r="L163">
        <f>INDEX('Pool Points'!$I:$I,MATCH(B163,'Pool Points'!$A:$A,0))</f>
        <v>13</v>
      </c>
      <c r="M163">
        <f t="shared" si="10"/>
        <v>7</v>
      </c>
      <c r="N163" t="str">
        <f t="shared" si="11"/>
        <v>Over capacity</v>
      </c>
    </row>
    <row r="164" spans="1:14" x14ac:dyDescent="0.35">
      <c r="A164" s="13">
        <v>46368</v>
      </c>
      <c r="B164" t="s">
        <v>87</v>
      </c>
      <c r="C164" t="s">
        <v>88</v>
      </c>
      <c r="D164" t="s">
        <v>76</v>
      </c>
      <c r="E164" s="14">
        <v>330.3</v>
      </c>
      <c r="F164" s="14">
        <v>310.2</v>
      </c>
      <c r="G164" s="14">
        <v>338.4</v>
      </c>
      <c r="H164" s="14">
        <v>0</v>
      </c>
      <c r="I164" s="17">
        <f>INDEX('Pool Points'!$J:$J,MATCH(B164,'Pool Points'!$A:$A,0))</f>
        <v>0.7006</v>
      </c>
      <c r="J164">
        <f t="shared" si="8"/>
        <v>19</v>
      </c>
      <c r="K164">
        <f t="shared" si="9"/>
        <v>19</v>
      </c>
      <c r="L164">
        <f>INDEX('Pool Points'!$I:$I,MATCH(B164,'Pool Points'!$A:$A,0))</f>
        <v>13</v>
      </c>
      <c r="M164">
        <f t="shared" si="10"/>
        <v>6</v>
      </c>
      <c r="N164" t="str">
        <f t="shared" si="11"/>
        <v>Over capacity</v>
      </c>
    </row>
    <row r="165" spans="1:14" x14ac:dyDescent="0.35">
      <c r="A165" s="13">
        <v>46375</v>
      </c>
      <c r="B165" t="s">
        <v>70</v>
      </c>
      <c r="C165" t="s">
        <v>71</v>
      </c>
      <c r="D165" t="s">
        <v>72</v>
      </c>
      <c r="E165" s="14">
        <v>314.3</v>
      </c>
      <c r="F165" s="14">
        <v>295.2</v>
      </c>
      <c r="G165" s="14">
        <v>322.10000000000002</v>
      </c>
      <c r="H165" s="14">
        <v>0</v>
      </c>
      <c r="I165" s="17">
        <f>INDEX('Pool Points'!$J:$J,MATCH(B165,'Pool Points'!$A:$A,0))</f>
        <v>0.73829999999999996</v>
      </c>
      <c r="J165">
        <f t="shared" si="8"/>
        <v>17</v>
      </c>
      <c r="K165">
        <f t="shared" si="9"/>
        <v>17</v>
      </c>
      <c r="L165">
        <f>INDEX('Pool Points'!$I:$I,MATCH(B165,'Pool Points'!$A:$A,0))</f>
        <v>15</v>
      </c>
      <c r="M165">
        <f t="shared" si="10"/>
        <v>2</v>
      </c>
      <c r="N165" t="str">
        <f t="shared" si="11"/>
        <v>Over capacity</v>
      </c>
    </row>
    <row r="166" spans="1:14" x14ac:dyDescent="0.35">
      <c r="A166" s="13">
        <v>46375</v>
      </c>
      <c r="B166" t="s">
        <v>73</v>
      </c>
      <c r="C166" t="s">
        <v>74</v>
      </c>
      <c r="D166" t="s">
        <v>72</v>
      </c>
      <c r="E166" s="14">
        <v>312.39999999999998</v>
      </c>
      <c r="F166" s="14">
        <v>293.39999999999998</v>
      </c>
      <c r="G166" s="14">
        <v>320.10000000000002</v>
      </c>
      <c r="H166" s="14">
        <v>0</v>
      </c>
      <c r="I166" s="17">
        <f>INDEX('Pool Points'!$J:$J,MATCH(B166,'Pool Points'!$A:$A,0))</f>
        <v>0.79159999999999997</v>
      </c>
      <c r="J166">
        <f t="shared" si="8"/>
        <v>16</v>
      </c>
      <c r="K166">
        <f t="shared" si="9"/>
        <v>16</v>
      </c>
      <c r="L166">
        <f>INDEX('Pool Points'!$I:$I,MATCH(B166,'Pool Points'!$A:$A,0))</f>
        <v>15</v>
      </c>
      <c r="M166">
        <f t="shared" si="10"/>
        <v>1</v>
      </c>
      <c r="N166" t="str">
        <f t="shared" si="11"/>
        <v>Over capacity</v>
      </c>
    </row>
    <row r="167" spans="1:14" x14ac:dyDescent="0.35">
      <c r="A167" s="13">
        <v>46375</v>
      </c>
      <c r="B167" t="s">
        <v>3</v>
      </c>
      <c r="C167" t="s">
        <v>75</v>
      </c>
      <c r="D167" t="s">
        <v>76</v>
      </c>
      <c r="E167" s="14">
        <v>422.1</v>
      </c>
      <c r="F167" s="14">
        <v>396.4</v>
      </c>
      <c r="G167" s="14">
        <v>432.5</v>
      </c>
      <c r="H167" s="14">
        <v>0</v>
      </c>
      <c r="I167" s="17">
        <f>INDEX('Pool Points'!$J:$J,MATCH(B167,'Pool Points'!$A:$A,0))</f>
        <v>0.80469999999999997</v>
      </c>
      <c r="J167">
        <f t="shared" si="8"/>
        <v>21</v>
      </c>
      <c r="K167">
        <f t="shared" si="9"/>
        <v>21</v>
      </c>
      <c r="L167">
        <f>INDEX('Pool Points'!$I:$I,MATCH(B167,'Pool Points'!$A:$A,0))</f>
        <v>18</v>
      </c>
      <c r="M167">
        <f t="shared" si="10"/>
        <v>3</v>
      </c>
      <c r="N167" t="str">
        <f t="shared" si="11"/>
        <v>Over capacity</v>
      </c>
    </row>
    <row r="168" spans="1:14" x14ac:dyDescent="0.35">
      <c r="A168" s="13">
        <v>46375</v>
      </c>
      <c r="B168" t="s">
        <v>77</v>
      </c>
      <c r="C168" t="s">
        <v>78</v>
      </c>
      <c r="D168" t="s">
        <v>79</v>
      </c>
      <c r="E168" s="14">
        <v>320</v>
      </c>
      <c r="F168" s="14">
        <v>300.60000000000002</v>
      </c>
      <c r="G168" s="14">
        <v>327.9</v>
      </c>
      <c r="H168" s="14">
        <v>19.100000000000001</v>
      </c>
      <c r="I168" s="17">
        <f>INDEX('Pool Points'!$J:$J,MATCH(B168,'Pool Points'!$A:$A,0))</f>
        <v>0.74490000000000001</v>
      </c>
      <c r="J168">
        <f t="shared" si="8"/>
        <v>17</v>
      </c>
      <c r="K168">
        <f t="shared" si="9"/>
        <v>17</v>
      </c>
      <c r="L168">
        <f>INDEX('Pool Points'!$I:$I,MATCH(B168,'Pool Points'!$A:$A,0))</f>
        <v>15</v>
      </c>
      <c r="M168">
        <f t="shared" si="10"/>
        <v>2</v>
      </c>
      <c r="N168" t="str">
        <f t="shared" si="11"/>
        <v>Over capacity</v>
      </c>
    </row>
    <row r="169" spans="1:14" x14ac:dyDescent="0.35">
      <c r="A169" s="13">
        <v>46375</v>
      </c>
      <c r="B169" t="s">
        <v>80</v>
      </c>
      <c r="C169" t="s">
        <v>81</v>
      </c>
      <c r="D169" t="s">
        <v>79</v>
      </c>
      <c r="E169" s="14">
        <v>398.8</v>
      </c>
      <c r="F169" s="14">
        <v>374.6</v>
      </c>
      <c r="G169" s="14">
        <v>408.7</v>
      </c>
      <c r="H169" s="14">
        <v>0</v>
      </c>
      <c r="I169" s="17">
        <f>INDEX('Pool Points'!$J:$J,MATCH(B169,'Pool Points'!$A:$A,0))</f>
        <v>0.78369999999999995</v>
      </c>
      <c r="J169">
        <f t="shared" si="8"/>
        <v>20</v>
      </c>
      <c r="K169">
        <f t="shared" si="9"/>
        <v>21</v>
      </c>
      <c r="L169">
        <f>INDEX('Pool Points'!$I:$I,MATCH(B169,'Pool Points'!$A:$A,0))</f>
        <v>17</v>
      </c>
      <c r="M169">
        <f t="shared" si="10"/>
        <v>4</v>
      </c>
      <c r="N169" t="str">
        <f t="shared" si="11"/>
        <v>Over capacity</v>
      </c>
    </row>
    <row r="170" spans="1:14" x14ac:dyDescent="0.35">
      <c r="A170" s="13">
        <v>46375</v>
      </c>
      <c r="B170" t="s">
        <v>82</v>
      </c>
      <c r="C170" t="s">
        <v>83</v>
      </c>
      <c r="D170" t="s">
        <v>84</v>
      </c>
      <c r="E170" s="14">
        <v>369.1</v>
      </c>
      <c r="F170" s="14">
        <v>346.6</v>
      </c>
      <c r="G170" s="14">
        <v>378.2</v>
      </c>
      <c r="H170" s="14">
        <v>0</v>
      </c>
      <c r="I170" s="17">
        <f>INDEX('Pool Points'!$J:$J,MATCH(B170,'Pool Points'!$A:$A,0))</f>
        <v>0.76890000000000003</v>
      </c>
      <c r="J170">
        <f t="shared" si="8"/>
        <v>19</v>
      </c>
      <c r="K170">
        <f t="shared" si="9"/>
        <v>19</v>
      </c>
      <c r="L170">
        <f>INDEX('Pool Points'!$I:$I,MATCH(B170,'Pool Points'!$A:$A,0))</f>
        <v>17</v>
      </c>
      <c r="M170">
        <f t="shared" si="10"/>
        <v>2</v>
      </c>
      <c r="N170" t="str">
        <f t="shared" si="11"/>
        <v>Over capacity</v>
      </c>
    </row>
    <row r="171" spans="1:14" x14ac:dyDescent="0.35">
      <c r="A171" s="13">
        <v>46375</v>
      </c>
      <c r="B171" t="s">
        <v>85</v>
      </c>
      <c r="C171" t="s">
        <v>86</v>
      </c>
      <c r="D171" t="s">
        <v>84</v>
      </c>
      <c r="E171" s="14">
        <v>332.5</v>
      </c>
      <c r="F171" s="14">
        <v>312.3</v>
      </c>
      <c r="G171" s="14">
        <v>340.7</v>
      </c>
      <c r="H171" s="14">
        <v>20.3</v>
      </c>
      <c r="I171" s="17">
        <f>INDEX('Pool Points'!$J:$J,MATCH(B171,'Pool Points'!$A:$A,0))</f>
        <v>0.75660000000000005</v>
      </c>
      <c r="J171">
        <f t="shared" si="8"/>
        <v>17</v>
      </c>
      <c r="K171">
        <f t="shared" si="9"/>
        <v>18</v>
      </c>
      <c r="L171">
        <f>INDEX('Pool Points'!$I:$I,MATCH(B171,'Pool Points'!$A:$A,0))</f>
        <v>13</v>
      </c>
      <c r="M171">
        <f t="shared" si="10"/>
        <v>5</v>
      </c>
      <c r="N171" t="str">
        <f t="shared" si="11"/>
        <v>Over capacity</v>
      </c>
    </row>
    <row r="172" spans="1:14" x14ac:dyDescent="0.35">
      <c r="A172" s="13">
        <v>46375</v>
      </c>
      <c r="B172" t="s">
        <v>87</v>
      </c>
      <c r="C172" t="s">
        <v>88</v>
      </c>
      <c r="D172" t="s">
        <v>76</v>
      </c>
      <c r="E172" s="14">
        <v>291.89999999999998</v>
      </c>
      <c r="F172" s="14">
        <v>274.10000000000002</v>
      </c>
      <c r="G172" s="14">
        <v>299.10000000000002</v>
      </c>
      <c r="H172" s="14">
        <v>0</v>
      </c>
      <c r="I172" s="17">
        <f>INDEX('Pool Points'!$J:$J,MATCH(B172,'Pool Points'!$A:$A,0))</f>
        <v>0.7006</v>
      </c>
      <c r="J172">
        <f t="shared" si="8"/>
        <v>17</v>
      </c>
      <c r="K172">
        <f t="shared" si="9"/>
        <v>17</v>
      </c>
      <c r="L172">
        <f>INDEX('Pool Points'!$I:$I,MATCH(B172,'Pool Points'!$A:$A,0))</f>
        <v>13</v>
      </c>
      <c r="M172">
        <f t="shared" si="10"/>
        <v>4</v>
      </c>
      <c r="N172" t="str">
        <f t="shared" si="11"/>
        <v>Over capacity</v>
      </c>
    </row>
    <row r="173" spans="1:14" x14ac:dyDescent="0.35">
      <c r="A173" s="13">
        <v>46382</v>
      </c>
      <c r="B173" t="s">
        <v>70</v>
      </c>
      <c r="C173" t="s">
        <v>71</v>
      </c>
      <c r="D173" t="s">
        <v>72</v>
      </c>
      <c r="E173" s="14">
        <v>268.39999999999998</v>
      </c>
      <c r="F173" s="14">
        <v>252.1</v>
      </c>
      <c r="G173" s="14">
        <v>275</v>
      </c>
      <c r="H173" s="14">
        <v>0</v>
      </c>
      <c r="I173" s="17">
        <f>INDEX('Pool Points'!$J:$J,MATCH(B173,'Pool Points'!$A:$A,0))</f>
        <v>0.73829999999999996</v>
      </c>
      <c r="J173">
        <f t="shared" si="8"/>
        <v>14</v>
      </c>
      <c r="K173">
        <f t="shared" si="9"/>
        <v>15</v>
      </c>
      <c r="L173">
        <f>INDEX('Pool Points'!$I:$I,MATCH(B173,'Pool Points'!$A:$A,0))</f>
        <v>15</v>
      </c>
      <c r="M173">
        <f t="shared" si="10"/>
        <v>0</v>
      </c>
      <c r="N173" t="str">
        <f t="shared" si="11"/>
        <v>Covered</v>
      </c>
    </row>
    <row r="174" spans="1:14" x14ac:dyDescent="0.35">
      <c r="A174" s="13">
        <v>46382</v>
      </c>
      <c r="B174" t="s">
        <v>73</v>
      </c>
      <c r="C174" t="s">
        <v>74</v>
      </c>
      <c r="D174" t="s">
        <v>72</v>
      </c>
      <c r="E174" s="14">
        <v>262.7</v>
      </c>
      <c r="F174" s="14">
        <v>246.7</v>
      </c>
      <c r="G174" s="14">
        <v>269.10000000000002</v>
      </c>
      <c r="H174" s="14">
        <v>0</v>
      </c>
      <c r="I174" s="17">
        <f>INDEX('Pool Points'!$J:$J,MATCH(B174,'Pool Points'!$A:$A,0))</f>
        <v>0.79159999999999997</v>
      </c>
      <c r="J174">
        <f t="shared" si="8"/>
        <v>13</v>
      </c>
      <c r="K174">
        <f t="shared" si="9"/>
        <v>14</v>
      </c>
      <c r="L174">
        <f>INDEX('Pool Points'!$I:$I,MATCH(B174,'Pool Points'!$A:$A,0))</f>
        <v>15</v>
      </c>
      <c r="M174">
        <f t="shared" si="10"/>
        <v>0</v>
      </c>
      <c r="N174" t="str">
        <f t="shared" si="11"/>
        <v>Covered</v>
      </c>
    </row>
    <row r="175" spans="1:14" x14ac:dyDescent="0.35">
      <c r="A175" s="13">
        <v>46382</v>
      </c>
      <c r="B175" t="s">
        <v>3</v>
      </c>
      <c r="C175" t="s">
        <v>75</v>
      </c>
      <c r="D175" t="s">
        <v>76</v>
      </c>
      <c r="E175" s="14">
        <v>366.6</v>
      </c>
      <c r="F175" s="14">
        <v>344.3</v>
      </c>
      <c r="G175" s="14">
        <v>375.6</v>
      </c>
      <c r="H175" s="14">
        <v>0</v>
      </c>
      <c r="I175" s="17">
        <f>INDEX('Pool Points'!$J:$J,MATCH(B175,'Pool Points'!$A:$A,0))</f>
        <v>0.80469999999999997</v>
      </c>
      <c r="J175">
        <f t="shared" si="8"/>
        <v>18</v>
      </c>
      <c r="K175">
        <f t="shared" si="9"/>
        <v>18</v>
      </c>
      <c r="L175">
        <f>INDEX('Pool Points'!$I:$I,MATCH(B175,'Pool Points'!$A:$A,0))</f>
        <v>18</v>
      </c>
      <c r="M175">
        <f t="shared" si="10"/>
        <v>0</v>
      </c>
      <c r="N175" t="str">
        <f t="shared" si="11"/>
        <v>Covered</v>
      </c>
    </row>
    <row r="176" spans="1:14" x14ac:dyDescent="0.35">
      <c r="A176" s="13">
        <v>46382</v>
      </c>
      <c r="B176" t="s">
        <v>77</v>
      </c>
      <c r="C176" t="s">
        <v>78</v>
      </c>
      <c r="D176" t="s">
        <v>79</v>
      </c>
      <c r="E176" s="14">
        <v>278.3</v>
      </c>
      <c r="F176" s="14">
        <v>261.39999999999998</v>
      </c>
      <c r="G176" s="14">
        <v>285.10000000000002</v>
      </c>
      <c r="H176" s="14">
        <v>16.8</v>
      </c>
      <c r="I176" s="17">
        <f>INDEX('Pool Points'!$J:$J,MATCH(B176,'Pool Points'!$A:$A,0))</f>
        <v>0.74490000000000001</v>
      </c>
      <c r="J176">
        <f t="shared" si="8"/>
        <v>15</v>
      </c>
      <c r="K176">
        <f t="shared" si="9"/>
        <v>15</v>
      </c>
      <c r="L176">
        <f>INDEX('Pool Points'!$I:$I,MATCH(B176,'Pool Points'!$A:$A,0))</f>
        <v>15</v>
      </c>
      <c r="M176">
        <f t="shared" si="10"/>
        <v>0</v>
      </c>
      <c r="N176" t="str">
        <f t="shared" si="11"/>
        <v>Covered</v>
      </c>
    </row>
    <row r="177" spans="1:14" x14ac:dyDescent="0.35">
      <c r="A177" s="13">
        <v>46382</v>
      </c>
      <c r="B177" t="s">
        <v>80</v>
      </c>
      <c r="C177" t="s">
        <v>81</v>
      </c>
      <c r="D177" t="s">
        <v>79</v>
      </c>
      <c r="E177" s="14">
        <v>338.9</v>
      </c>
      <c r="F177" s="14">
        <v>318.3</v>
      </c>
      <c r="G177" s="14">
        <v>347.2</v>
      </c>
      <c r="H177" s="14">
        <v>0</v>
      </c>
      <c r="I177" s="17">
        <f>INDEX('Pool Points'!$J:$J,MATCH(B177,'Pool Points'!$A:$A,0))</f>
        <v>0.78369999999999995</v>
      </c>
      <c r="J177">
        <f t="shared" si="8"/>
        <v>17</v>
      </c>
      <c r="K177">
        <f t="shared" si="9"/>
        <v>18</v>
      </c>
      <c r="L177">
        <f>INDEX('Pool Points'!$I:$I,MATCH(B177,'Pool Points'!$A:$A,0))</f>
        <v>17</v>
      </c>
      <c r="M177">
        <f t="shared" si="10"/>
        <v>1</v>
      </c>
      <c r="N177" t="str">
        <f t="shared" si="11"/>
        <v>At risk</v>
      </c>
    </row>
    <row r="178" spans="1:14" x14ac:dyDescent="0.35">
      <c r="A178" s="13">
        <v>46382</v>
      </c>
      <c r="B178" t="s">
        <v>82</v>
      </c>
      <c r="C178" t="s">
        <v>83</v>
      </c>
      <c r="D178" t="s">
        <v>84</v>
      </c>
      <c r="E178" s="14">
        <v>312.60000000000002</v>
      </c>
      <c r="F178" s="14">
        <v>293.60000000000002</v>
      </c>
      <c r="G178" s="14">
        <v>320.3</v>
      </c>
      <c r="H178" s="14">
        <v>0</v>
      </c>
      <c r="I178" s="17">
        <f>INDEX('Pool Points'!$J:$J,MATCH(B178,'Pool Points'!$A:$A,0))</f>
        <v>0.76890000000000003</v>
      </c>
      <c r="J178">
        <f t="shared" si="8"/>
        <v>16</v>
      </c>
      <c r="K178">
        <f t="shared" si="9"/>
        <v>17</v>
      </c>
      <c r="L178">
        <f>INDEX('Pool Points'!$I:$I,MATCH(B178,'Pool Points'!$A:$A,0))</f>
        <v>17</v>
      </c>
      <c r="M178">
        <f t="shared" si="10"/>
        <v>0</v>
      </c>
      <c r="N178" t="str">
        <f t="shared" si="11"/>
        <v>Covered</v>
      </c>
    </row>
    <row r="179" spans="1:14" x14ac:dyDescent="0.35">
      <c r="A179" s="13">
        <v>46382</v>
      </c>
      <c r="B179" t="s">
        <v>85</v>
      </c>
      <c r="C179" t="s">
        <v>86</v>
      </c>
      <c r="D179" t="s">
        <v>84</v>
      </c>
      <c r="E179" s="14">
        <v>284.39999999999998</v>
      </c>
      <c r="F179" s="14">
        <v>267.10000000000002</v>
      </c>
      <c r="G179" s="14">
        <v>291.39999999999998</v>
      </c>
      <c r="H179" s="14">
        <v>17.399999999999999</v>
      </c>
      <c r="I179" s="17">
        <f>INDEX('Pool Points'!$J:$J,MATCH(B179,'Pool Points'!$A:$A,0))</f>
        <v>0.75660000000000005</v>
      </c>
      <c r="J179">
        <f t="shared" si="8"/>
        <v>15</v>
      </c>
      <c r="K179">
        <f t="shared" si="9"/>
        <v>15</v>
      </c>
      <c r="L179">
        <f>INDEX('Pool Points'!$I:$I,MATCH(B179,'Pool Points'!$A:$A,0))</f>
        <v>13</v>
      </c>
      <c r="M179">
        <f t="shared" si="10"/>
        <v>2</v>
      </c>
      <c r="N179" t="str">
        <f t="shared" si="11"/>
        <v>Over capacity</v>
      </c>
    </row>
    <row r="180" spans="1:14" x14ac:dyDescent="0.35">
      <c r="A180" s="13">
        <v>46382</v>
      </c>
      <c r="B180" t="s">
        <v>87</v>
      </c>
      <c r="C180" t="s">
        <v>88</v>
      </c>
      <c r="D180" t="s">
        <v>76</v>
      </c>
      <c r="E180" s="14">
        <v>246.4</v>
      </c>
      <c r="F180" s="14">
        <v>231.4</v>
      </c>
      <c r="G180" s="14">
        <v>252.4</v>
      </c>
      <c r="H180" s="14">
        <v>0</v>
      </c>
      <c r="I180" s="17">
        <f>INDEX('Pool Points'!$J:$J,MATCH(B180,'Pool Points'!$A:$A,0))</f>
        <v>0.7006</v>
      </c>
      <c r="J180">
        <f t="shared" si="8"/>
        <v>14</v>
      </c>
      <c r="K180">
        <f t="shared" si="9"/>
        <v>14</v>
      </c>
      <c r="L180">
        <f>INDEX('Pool Points'!$I:$I,MATCH(B180,'Pool Points'!$A:$A,0))</f>
        <v>13</v>
      </c>
      <c r="M180">
        <f t="shared" si="10"/>
        <v>1</v>
      </c>
      <c r="N180" t="str">
        <f t="shared" si="11"/>
        <v>Over capacity</v>
      </c>
    </row>
    <row r="181" spans="1:14" x14ac:dyDescent="0.35">
      <c r="A181" s="13">
        <v>46389</v>
      </c>
      <c r="B181" t="s">
        <v>70</v>
      </c>
      <c r="C181" t="s">
        <v>71</v>
      </c>
      <c r="D181" t="s">
        <v>72</v>
      </c>
      <c r="E181" s="14">
        <v>228.3</v>
      </c>
      <c r="F181" s="14">
        <v>214.4</v>
      </c>
      <c r="G181" s="14">
        <v>233.9</v>
      </c>
      <c r="H181" s="14">
        <v>0</v>
      </c>
      <c r="I181" s="17">
        <f>INDEX('Pool Points'!$J:$J,MATCH(B181,'Pool Points'!$A:$A,0))</f>
        <v>0.73829999999999996</v>
      </c>
      <c r="J181">
        <f t="shared" si="8"/>
        <v>12</v>
      </c>
      <c r="K181">
        <f t="shared" si="9"/>
        <v>13</v>
      </c>
      <c r="L181">
        <f>INDEX('Pool Points'!$I:$I,MATCH(B181,'Pool Points'!$A:$A,0))</f>
        <v>15</v>
      </c>
      <c r="M181">
        <f t="shared" si="10"/>
        <v>0</v>
      </c>
      <c r="N181" t="str">
        <f t="shared" si="11"/>
        <v>Covered</v>
      </c>
    </row>
    <row r="182" spans="1:14" x14ac:dyDescent="0.35">
      <c r="A182" s="13">
        <v>46389</v>
      </c>
      <c r="B182" t="s">
        <v>73</v>
      </c>
      <c r="C182" t="s">
        <v>74</v>
      </c>
      <c r="D182" t="s">
        <v>72</v>
      </c>
      <c r="E182" s="14">
        <v>226.5</v>
      </c>
      <c r="F182" s="14">
        <v>212.7</v>
      </c>
      <c r="G182" s="14">
        <v>232.1</v>
      </c>
      <c r="H182" s="14">
        <v>0</v>
      </c>
      <c r="I182" s="17">
        <f>INDEX('Pool Points'!$J:$J,MATCH(B182,'Pool Points'!$A:$A,0))</f>
        <v>0.79159999999999997</v>
      </c>
      <c r="J182">
        <f t="shared" si="8"/>
        <v>12</v>
      </c>
      <c r="K182">
        <f t="shared" si="9"/>
        <v>12</v>
      </c>
      <c r="L182">
        <f>INDEX('Pool Points'!$I:$I,MATCH(B182,'Pool Points'!$A:$A,0))</f>
        <v>15</v>
      </c>
      <c r="M182">
        <f t="shared" si="10"/>
        <v>0</v>
      </c>
      <c r="N182" t="str">
        <f t="shared" si="11"/>
        <v>Covered</v>
      </c>
    </row>
    <row r="183" spans="1:14" x14ac:dyDescent="0.35">
      <c r="A183" s="13">
        <v>46389</v>
      </c>
      <c r="B183" t="s">
        <v>3</v>
      </c>
      <c r="C183" t="s">
        <v>75</v>
      </c>
      <c r="D183" t="s">
        <v>76</v>
      </c>
      <c r="E183" s="14">
        <v>310.60000000000002</v>
      </c>
      <c r="F183" s="14">
        <v>291.7</v>
      </c>
      <c r="G183" s="14">
        <v>318.2</v>
      </c>
      <c r="H183" s="14">
        <v>0</v>
      </c>
      <c r="I183" s="17">
        <f>INDEX('Pool Points'!$J:$J,MATCH(B183,'Pool Points'!$A:$A,0))</f>
        <v>0.80469999999999997</v>
      </c>
      <c r="J183">
        <f t="shared" si="8"/>
        <v>15</v>
      </c>
      <c r="K183">
        <f t="shared" si="9"/>
        <v>16</v>
      </c>
      <c r="L183">
        <f>INDEX('Pool Points'!$I:$I,MATCH(B183,'Pool Points'!$A:$A,0))</f>
        <v>18</v>
      </c>
      <c r="M183">
        <f t="shared" si="10"/>
        <v>0</v>
      </c>
      <c r="N183" t="str">
        <f t="shared" si="11"/>
        <v>Covered</v>
      </c>
    </row>
    <row r="184" spans="1:14" x14ac:dyDescent="0.35">
      <c r="A184" s="13">
        <v>46389</v>
      </c>
      <c r="B184" t="s">
        <v>77</v>
      </c>
      <c r="C184" t="s">
        <v>78</v>
      </c>
      <c r="D184" t="s">
        <v>79</v>
      </c>
      <c r="E184" s="14">
        <v>234.8</v>
      </c>
      <c r="F184" s="14">
        <v>220.6</v>
      </c>
      <c r="G184" s="14">
        <v>240.6</v>
      </c>
      <c r="H184" s="14">
        <v>14.1</v>
      </c>
      <c r="I184" s="17">
        <f>INDEX('Pool Points'!$J:$J,MATCH(B184,'Pool Points'!$A:$A,0))</f>
        <v>0.74490000000000001</v>
      </c>
      <c r="J184">
        <f t="shared" si="8"/>
        <v>13</v>
      </c>
      <c r="K184">
        <f t="shared" si="9"/>
        <v>13</v>
      </c>
      <c r="L184">
        <f>INDEX('Pool Points'!$I:$I,MATCH(B184,'Pool Points'!$A:$A,0))</f>
        <v>15</v>
      </c>
      <c r="M184">
        <f t="shared" si="10"/>
        <v>0</v>
      </c>
      <c r="N184" t="str">
        <f t="shared" si="11"/>
        <v>Covered</v>
      </c>
    </row>
    <row r="185" spans="1:14" x14ac:dyDescent="0.35">
      <c r="A185" s="13">
        <v>46389</v>
      </c>
      <c r="B185" t="s">
        <v>80</v>
      </c>
      <c r="C185" t="s">
        <v>81</v>
      </c>
      <c r="D185" t="s">
        <v>79</v>
      </c>
      <c r="E185" s="14">
        <v>277.8</v>
      </c>
      <c r="F185" s="14">
        <v>260.89999999999998</v>
      </c>
      <c r="G185" s="14">
        <v>284.60000000000002</v>
      </c>
      <c r="H185" s="14">
        <v>0</v>
      </c>
      <c r="I185" s="17">
        <f>INDEX('Pool Points'!$J:$J,MATCH(B185,'Pool Points'!$A:$A,0))</f>
        <v>0.78369999999999995</v>
      </c>
      <c r="J185">
        <f t="shared" si="8"/>
        <v>14</v>
      </c>
      <c r="K185">
        <f t="shared" si="9"/>
        <v>14</v>
      </c>
      <c r="L185">
        <f>INDEX('Pool Points'!$I:$I,MATCH(B185,'Pool Points'!$A:$A,0))</f>
        <v>17</v>
      </c>
      <c r="M185">
        <f t="shared" si="10"/>
        <v>0</v>
      </c>
      <c r="N185" t="str">
        <f t="shared" si="11"/>
        <v>Covered</v>
      </c>
    </row>
    <row r="186" spans="1:14" x14ac:dyDescent="0.35">
      <c r="A186" s="13">
        <v>46389</v>
      </c>
      <c r="B186" t="s">
        <v>82</v>
      </c>
      <c r="C186" t="s">
        <v>83</v>
      </c>
      <c r="D186" t="s">
        <v>84</v>
      </c>
      <c r="E186" s="14">
        <v>265</v>
      </c>
      <c r="F186" s="14">
        <v>248.9</v>
      </c>
      <c r="G186" s="14">
        <v>271.60000000000002</v>
      </c>
      <c r="H186" s="14">
        <v>0</v>
      </c>
      <c r="I186" s="17">
        <f>INDEX('Pool Points'!$J:$J,MATCH(B186,'Pool Points'!$A:$A,0))</f>
        <v>0.76890000000000003</v>
      </c>
      <c r="J186">
        <f t="shared" si="8"/>
        <v>14</v>
      </c>
      <c r="K186">
        <f t="shared" si="9"/>
        <v>14</v>
      </c>
      <c r="L186">
        <f>INDEX('Pool Points'!$I:$I,MATCH(B186,'Pool Points'!$A:$A,0))</f>
        <v>17</v>
      </c>
      <c r="M186">
        <f t="shared" si="10"/>
        <v>0</v>
      </c>
      <c r="N186" t="str">
        <f t="shared" si="11"/>
        <v>Covered</v>
      </c>
    </row>
    <row r="187" spans="1:14" x14ac:dyDescent="0.35">
      <c r="A187" s="13">
        <v>46389</v>
      </c>
      <c r="B187" t="s">
        <v>85</v>
      </c>
      <c r="C187" t="s">
        <v>86</v>
      </c>
      <c r="D187" t="s">
        <v>84</v>
      </c>
      <c r="E187" s="14">
        <v>231.3</v>
      </c>
      <c r="F187" s="14">
        <v>217.2</v>
      </c>
      <c r="G187" s="14">
        <v>237</v>
      </c>
      <c r="H187" s="14">
        <v>13.9</v>
      </c>
      <c r="I187" s="17">
        <f>INDEX('Pool Points'!$J:$J,MATCH(B187,'Pool Points'!$A:$A,0))</f>
        <v>0.75660000000000005</v>
      </c>
      <c r="J187">
        <f t="shared" si="8"/>
        <v>12</v>
      </c>
      <c r="K187">
        <f t="shared" si="9"/>
        <v>13</v>
      </c>
      <c r="L187">
        <f>INDEX('Pool Points'!$I:$I,MATCH(B187,'Pool Points'!$A:$A,0))</f>
        <v>13</v>
      </c>
      <c r="M187">
        <f t="shared" si="10"/>
        <v>0</v>
      </c>
      <c r="N187" t="str">
        <f t="shared" si="11"/>
        <v>Covered</v>
      </c>
    </row>
    <row r="188" spans="1:14" x14ac:dyDescent="0.35">
      <c r="A188" s="13">
        <v>46389</v>
      </c>
      <c r="B188" t="s">
        <v>87</v>
      </c>
      <c r="C188" t="s">
        <v>88</v>
      </c>
      <c r="D188" t="s">
        <v>76</v>
      </c>
      <c r="E188" s="14">
        <v>204.4</v>
      </c>
      <c r="F188" s="14">
        <v>192</v>
      </c>
      <c r="G188" s="14">
        <v>209.5</v>
      </c>
      <c r="H188" s="14">
        <v>0</v>
      </c>
      <c r="I188" s="17">
        <f>INDEX('Pool Points'!$J:$J,MATCH(B188,'Pool Points'!$A:$A,0))</f>
        <v>0.7006</v>
      </c>
      <c r="J188">
        <f t="shared" si="8"/>
        <v>12</v>
      </c>
      <c r="K188">
        <f t="shared" si="9"/>
        <v>12</v>
      </c>
      <c r="L188">
        <f>INDEX('Pool Points'!$I:$I,MATCH(B188,'Pool Points'!$A:$A,0))</f>
        <v>13</v>
      </c>
      <c r="M188">
        <f t="shared" si="10"/>
        <v>0</v>
      </c>
      <c r="N188" t="str">
        <f t="shared" si="11"/>
        <v>Covered</v>
      </c>
    </row>
    <row r="189" spans="1:14" x14ac:dyDescent="0.35">
      <c r="A189" s="13">
        <v>46396</v>
      </c>
      <c r="B189" t="s">
        <v>70</v>
      </c>
      <c r="C189" t="s">
        <v>71</v>
      </c>
      <c r="D189" t="s">
        <v>72</v>
      </c>
      <c r="E189" s="14">
        <v>194</v>
      </c>
      <c r="F189" s="14">
        <v>182.2</v>
      </c>
      <c r="G189" s="14">
        <v>198.8</v>
      </c>
      <c r="H189" s="14">
        <v>0</v>
      </c>
      <c r="I189" s="17">
        <f>INDEX('Pool Points'!$J:$J,MATCH(B189,'Pool Points'!$A:$A,0))</f>
        <v>0.73829999999999996</v>
      </c>
      <c r="J189">
        <f t="shared" si="8"/>
        <v>11</v>
      </c>
      <c r="K189">
        <f t="shared" si="9"/>
        <v>11</v>
      </c>
      <c r="L189">
        <f>INDEX('Pool Points'!$I:$I,MATCH(B189,'Pool Points'!$A:$A,0))</f>
        <v>15</v>
      </c>
      <c r="M189">
        <f t="shared" si="10"/>
        <v>0</v>
      </c>
      <c r="N189" t="str">
        <f t="shared" si="11"/>
        <v>Covered</v>
      </c>
    </row>
    <row r="190" spans="1:14" x14ac:dyDescent="0.35">
      <c r="A190" s="13">
        <v>46396</v>
      </c>
      <c r="B190" t="s">
        <v>73</v>
      </c>
      <c r="C190" t="s">
        <v>74</v>
      </c>
      <c r="D190" t="s">
        <v>72</v>
      </c>
      <c r="E190" s="14">
        <v>182.1</v>
      </c>
      <c r="F190" s="14">
        <v>171</v>
      </c>
      <c r="G190" s="14">
        <v>186.6</v>
      </c>
      <c r="H190" s="14">
        <v>0</v>
      </c>
      <c r="I190" s="17">
        <f>INDEX('Pool Points'!$J:$J,MATCH(B190,'Pool Points'!$A:$A,0))</f>
        <v>0.79159999999999997</v>
      </c>
      <c r="J190">
        <f t="shared" si="8"/>
        <v>9</v>
      </c>
      <c r="K190">
        <f t="shared" si="9"/>
        <v>10</v>
      </c>
      <c r="L190">
        <f>INDEX('Pool Points'!$I:$I,MATCH(B190,'Pool Points'!$A:$A,0))</f>
        <v>15</v>
      </c>
      <c r="M190">
        <f t="shared" si="10"/>
        <v>0</v>
      </c>
      <c r="N190" t="str">
        <f t="shared" si="11"/>
        <v>Covered</v>
      </c>
    </row>
    <row r="191" spans="1:14" x14ac:dyDescent="0.35">
      <c r="A191" s="13">
        <v>46396</v>
      </c>
      <c r="B191" t="s">
        <v>3</v>
      </c>
      <c r="C191" t="s">
        <v>75</v>
      </c>
      <c r="D191" t="s">
        <v>76</v>
      </c>
      <c r="E191" s="14">
        <v>250.6</v>
      </c>
      <c r="F191" s="14">
        <v>235.4</v>
      </c>
      <c r="G191" s="14">
        <v>256.8</v>
      </c>
      <c r="H191" s="14">
        <v>0</v>
      </c>
      <c r="I191" s="17">
        <f>INDEX('Pool Points'!$J:$J,MATCH(B191,'Pool Points'!$A:$A,0))</f>
        <v>0.80469999999999997</v>
      </c>
      <c r="J191">
        <f t="shared" si="8"/>
        <v>12</v>
      </c>
      <c r="K191">
        <f t="shared" si="9"/>
        <v>13</v>
      </c>
      <c r="L191">
        <f>INDEX('Pool Points'!$I:$I,MATCH(B191,'Pool Points'!$A:$A,0))</f>
        <v>18</v>
      </c>
      <c r="M191">
        <f t="shared" si="10"/>
        <v>0</v>
      </c>
      <c r="N191" t="str">
        <f t="shared" si="11"/>
        <v>Covered</v>
      </c>
    </row>
    <row r="192" spans="1:14" x14ac:dyDescent="0.35">
      <c r="A192" s="13">
        <v>46396</v>
      </c>
      <c r="B192" t="s">
        <v>77</v>
      </c>
      <c r="C192" t="s">
        <v>78</v>
      </c>
      <c r="D192" t="s">
        <v>79</v>
      </c>
      <c r="E192" s="14">
        <v>197.7</v>
      </c>
      <c r="F192" s="14">
        <v>185.6</v>
      </c>
      <c r="G192" s="14">
        <v>202.5</v>
      </c>
      <c r="H192" s="14">
        <v>11.6</v>
      </c>
      <c r="I192" s="17">
        <f>INDEX('Pool Points'!$J:$J,MATCH(B192,'Pool Points'!$A:$A,0))</f>
        <v>0.74490000000000001</v>
      </c>
      <c r="J192">
        <f t="shared" si="8"/>
        <v>11</v>
      </c>
      <c r="K192">
        <f t="shared" si="9"/>
        <v>11</v>
      </c>
      <c r="L192">
        <f>INDEX('Pool Points'!$I:$I,MATCH(B192,'Pool Points'!$A:$A,0))</f>
        <v>15</v>
      </c>
      <c r="M192">
        <f t="shared" si="10"/>
        <v>0</v>
      </c>
      <c r="N192" t="str">
        <f t="shared" si="11"/>
        <v>Covered</v>
      </c>
    </row>
    <row r="193" spans="1:14" x14ac:dyDescent="0.35">
      <c r="A193" s="13">
        <v>46396</v>
      </c>
      <c r="B193" t="s">
        <v>80</v>
      </c>
      <c r="C193" t="s">
        <v>81</v>
      </c>
      <c r="D193" t="s">
        <v>79</v>
      </c>
      <c r="E193" s="14">
        <v>234.5</v>
      </c>
      <c r="F193" s="14">
        <v>220.3</v>
      </c>
      <c r="G193" s="14">
        <v>240.3</v>
      </c>
      <c r="H193" s="14">
        <v>0</v>
      </c>
      <c r="I193" s="17">
        <f>INDEX('Pool Points'!$J:$J,MATCH(B193,'Pool Points'!$A:$A,0))</f>
        <v>0.78369999999999995</v>
      </c>
      <c r="J193">
        <f t="shared" si="8"/>
        <v>12</v>
      </c>
      <c r="K193">
        <f t="shared" si="9"/>
        <v>12</v>
      </c>
      <c r="L193">
        <f>INDEX('Pool Points'!$I:$I,MATCH(B193,'Pool Points'!$A:$A,0))</f>
        <v>17</v>
      </c>
      <c r="M193">
        <f t="shared" si="10"/>
        <v>0</v>
      </c>
      <c r="N193" t="str">
        <f t="shared" si="11"/>
        <v>Covered</v>
      </c>
    </row>
    <row r="194" spans="1:14" x14ac:dyDescent="0.35">
      <c r="A194" s="13">
        <v>46396</v>
      </c>
      <c r="B194" t="s">
        <v>82</v>
      </c>
      <c r="C194" t="s">
        <v>83</v>
      </c>
      <c r="D194" t="s">
        <v>84</v>
      </c>
      <c r="E194" s="14">
        <v>214.2</v>
      </c>
      <c r="F194" s="14">
        <v>201.1</v>
      </c>
      <c r="G194" s="14">
        <v>219.4</v>
      </c>
      <c r="H194" s="14">
        <v>0</v>
      </c>
      <c r="I194" s="17">
        <f>INDEX('Pool Points'!$J:$J,MATCH(B194,'Pool Points'!$A:$A,0))</f>
        <v>0.76890000000000003</v>
      </c>
      <c r="J194">
        <f t="shared" si="8"/>
        <v>11</v>
      </c>
      <c r="K194">
        <f t="shared" si="9"/>
        <v>11</v>
      </c>
      <c r="L194">
        <f>INDEX('Pool Points'!$I:$I,MATCH(B194,'Pool Points'!$A:$A,0))</f>
        <v>17</v>
      </c>
      <c r="M194">
        <f t="shared" si="10"/>
        <v>0</v>
      </c>
      <c r="N194" t="str">
        <f t="shared" si="11"/>
        <v>Covered</v>
      </c>
    </row>
    <row r="195" spans="1:14" x14ac:dyDescent="0.35">
      <c r="A195" s="13">
        <v>46396</v>
      </c>
      <c r="B195" t="s">
        <v>85</v>
      </c>
      <c r="C195" t="s">
        <v>86</v>
      </c>
      <c r="D195" t="s">
        <v>84</v>
      </c>
      <c r="E195" s="14">
        <v>188.7</v>
      </c>
      <c r="F195" s="14">
        <v>177.2</v>
      </c>
      <c r="G195" s="14">
        <v>193.4</v>
      </c>
      <c r="H195" s="14">
        <v>11.3</v>
      </c>
      <c r="I195" s="17">
        <f>INDEX('Pool Points'!$J:$J,MATCH(B195,'Pool Points'!$A:$A,0))</f>
        <v>0.75660000000000005</v>
      </c>
      <c r="J195">
        <f t="shared" si="8"/>
        <v>10</v>
      </c>
      <c r="K195">
        <f t="shared" si="9"/>
        <v>10</v>
      </c>
      <c r="L195">
        <f>INDEX('Pool Points'!$I:$I,MATCH(B195,'Pool Points'!$A:$A,0))</f>
        <v>13</v>
      </c>
      <c r="M195">
        <f t="shared" si="10"/>
        <v>0</v>
      </c>
      <c r="N195" t="str">
        <f t="shared" si="11"/>
        <v>Covered</v>
      </c>
    </row>
    <row r="196" spans="1:14" x14ac:dyDescent="0.35">
      <c r="A196" s="13">
        <v>46396</v>
      </c>
      <c r="B196" t="s">
        <v>87</v>
      </c>
      <c r="C196" t="s">
        <v>88</v>
      </c>
      <c r="D196" t="s">
        <v>76</v>
      </c>
      <c r="E196" s="14">
        <v>172.2</v>
      </c>
      <c r="F196" s="14">
        <v>161.69999999999999</v>
      </c>
      <c r="G196" s="14">
        <v>176.4</v>
      </c>
      <c r="H196" s="14">
        <v>0</v>
      </c>
      <c r="I196" s="17">
        <f>INDEX('Pool Points'!$J:$J,MATCH(B196,'Pool Points'!$A:$A,0))</f>
        <v>0.7006</v>
      </c>
      <c r="J196">
        <f t="shared" si="8"/>
        <v>10</v>
      </c>
      <c r="K196">
        <f t="shared" si="9"/>
        <v>10</v>
      </c>
      <c r="L196">
        <f>INDEX('Pool Points'!$I:$I,MATCH(B196,'Pool Points'!$A:$A,0))</f>
        <v>13</v>
      </c>
      <c r="M196">
        <f t="shared" si="10"/>
        <v>0</v>
      </c>
      <c r="N196" t="str">
        <f t="shared" si="11"/>
        <v>Covered</v>
      </c>
    </row>
    <row r="197" spans="1:14" x14ac:dyDescent="0.35">
      <c r="A197" s="13">
        <v>46403</v>
      </c>
      <c r="B197" t="s">
        <v>70</v>
      </c>
      <c r="C197" t="s">
        <v>71</v>
      </c>
      <c r="D197" t="s">
        <v>72</v>
      </c>
      <c r="E197" s="14">
        <v>187.5</v>
      </c>
      <c r="F197" s="14">
        <v>176.1</v>
      </c>
      <c r="G197" s="14">
        <v>192.1</v>
      </c>
      <c r="H197" s="14">
        <v>0</v>
      </c>
      <c r="I197" s="17">
        <f>INDEX('Pool Points'!$J:$J,MATCH(B197,'Pool Points'!$A:$A,0))</f>
        <v>0.73829999999999996</v>
      </c>
      <c r="J197">
        <f t="shared" ref="J197:J260" si="12">ROUNDUP(E197/(PalletsPerTrailer*I197),0)</f>
        <v>10</v>
      </c>
      <c r="K197">
        <f t="shared" ref="K197:K212" si="13">ROUNDUP(G197/(PalletsPerTrailer*I197),0)</f>
        <v>11</v>
      </c>
      <c r="L197">
        <f>INDEX('Pool Points'!$I:$I,MATCH(B197,'Pool Points'!$A:$A,0))</f>
        <v>15</v>
      </c>
      <c r="M197">
        <f t="shared" ref="M197:M260" si="14">MAX(0,K197-L197)</f>
        <v>0</v>
      </c>
      <c r="N197" t="str">
        <f t="shared" ref="N197:N212" si="15">IF(J197&gt;L197,"Over capacity",IF(K197&gt;L197,"At risk","Covered"))</f>
        <v>Covered</v>
      </c>
    </row>
    <row r="198" spans="1:14" x14ac:dyDescent="0.35">
      <c r="A198" s="13">
        <v>46403</v>
      </c>
      <c r="B198" t="s">
        <v>73</v>
      </c>
      <c r="C198" t="s">
        <v>74</v>
      </c>
      <c r="D198" t="s">
        <v>72</v>
      </c>
      <c r="E198" s="14">
        <v>184.7</v>
      </c>
      <c r="F198" s="14">
        <v>173.5</v>
      </c>
      <c r="G198" s="14">
        <v>189.3</v>
      </c>
      <c r="H198" s="14">
        <v>0</v>
      </c>
      <c r="I198" s="17">
        <f>INDEX('Pool Points'!$J:$J,MATCH(B198,'Pool Points'!$A:$A,0))</f>
        <v>0.79159999999999997</v>
      </c>
      <c r="J198">
        <f t="shared" si="12"/>
        <v>9</v>
      </c>
      <c r="K198">
        <f t="shared" si="13"/>
        <v>10</v>
      </c>
      <c r="L198">
        <f>INDEX('Pool Points'!$I:$I,MATCH(B198,'Pool Points'!$A:$A,0))</f>
        <v>15</v>
      </c>
      <c r="M198">
        <f t="shared" si="14"/>
        <v>0</v>
      </c>
      <c r="N198" t="str">
        <f t="shared" si="15"/>
        <v>Covered</v>
      </c>
    </row>
    <row r="199" spans="1:14" x14ac:dyDescent="0.35">
      <c r="A199" s="13">
        <v>46403</v>
      </c>
      <c r="B199" t="s">
        <v>3</v>
      </c>
      <c r="C199" t="s">
        <v>75</v>
      </c>
      <c r="D199" t="s">
        <v>76</v>
      </c>
      <c r="E199" s="14">
        <v>250.6</v>
      </c>
      <c r="F199" s="14">
        <v>235.4</v>
      </c>
      <c r="G199" s="14">
        <v>256.8</v>
      </c>
      <c r="H199" s="14">
        <v>0</v>
      </c>
      <c r="I199" s="17">
        <f>INDEX('Pool Points'!$J:$J,MATCH(B199,'Pool Points'!$A:$A,0))</f>
        <v>0.80469999999999997</v>
      </c>
      <c r="J199">
        <f t="shared" si="12"/>
        <v>12</v>
      </c>
      <c r="K199">
        <f t="shared" si="13"/>
        <v>13</v>
      </c>
      <c r="L199">
        <f>INDEX('Pool Points'!$I:$I,MATCH(B199,'Pool Points'!$A:$A,0))</f>
        <v>18</v>
      </c>
      <c r="M199">
        <f t="shared" si="14"/>
        <v>0</v>
      </c>
      <c r="N199" t="str">
        <f t="shared" si="15"/>
        <v>Covered</v>
      </c>
    </row>
    <row r="200" spans="1:14" x14ac:dyDescent="0.35">
      <c r="A200" s="13">
        <v>46403</v>
      </c>
      <c r="B200" t="s">
        <v>77</v>
      </c>
      <c r="C200" t="s">
        <v>78</v>
      </c>
      <c r="D200" t="s">
        <v>79</v>
      </c>
      <c r="E200" s="14">
        <v>192.6</v>
      </c>
      <c r="F200" s="14">
        <v>180.9</v>
      </c>
      <c r="G200" s="14">
        <v>197.3</v>
      </c>
      <c r="H200" s="14">
        <v>11.4</v>
      </c>
      <c r="I200" s="17">
        <f>INDEX('Pool Points'!$J:$J,MATCH(B200,'Pool Points'!$A:$A,0))</f>
        <v>0.74490000000000001</v>
      </c>
      <c r="J200">
        <f t="shared" si="12"/>
        <v>10</v>
      </c>
      <c r="K200">
        <f t="shared" si="13"/>
        <v>11</v>
      </c>
      <c r="L200">
        <f>INDEX('Pool Points'!$I:$I,MATCH(B200,'Pool Points'!$A:$A,0))</f>
        <v>15</v>
      </c>
      <c r="M200">
        <f t="shared" si="14"/>
        <v>0</v>
      </c>
      <c r="N200" t="str">
        <f t="shared" si="15"/>
        <v>Covered</v>
      </c>
    </row>
    <row r="201" spans="1:14" x14ac:dyDescent="0.35">
      <c r="A201" s="13">
        <v>46403</v>
      </c>
      <c r="B201" t="s">
        <v>80</v>
      </c>
      <c r="C201" t="s">
        <v>81</v>
      </c>
      <c r="D201" t="s">
        <v>79</v>
      </c>
      <c r="E201" s="14">
        <v>237.7</v>
      </c>
      <c r="F201" s="14">
        <v>223.3</v>
      </c>
      <c r="G201" s="14">
        <v>243.6</v>
      </c>
      <c r="H201" s="14">
        <v>0</v>
      </c>
      <c r="I201" s="17">
        <f>INDEX('Pool Points'!$J:$J,MATCH(B201,'Pool Points'!$A:$A,0))</f>
        <v>0.78369999999999995</v>
      </c>
      <c r="J201">
        <f t="shared" si="12"/>
        <v>12</v>
      </c>
      <c r="K201">
        <f t="shared" si="13"/>
        <v>12</v>
      </c>
      <c r="L201">
        <f>INDEX('Pool Points'!$I:$I,MATCH(B201,'Pool Points'!$A:$A,0))</f>
        <v>17</v>
      </c>
      <c r="M201">
        <f t="shared" si="14"/>
        <v>0</v>
      </c>
      <c r="N201" t="str">
        <f t="shared" si="15"/>
        <v>Covered</v>
      </c>
    </row>
    <row r="202" spans="1:14" x14ac:dyDescent="0.35">
      <c r="A202" s="13">
        <v>46403</v>
      </c>
      <c r="B202" t="s">
        <v>82</v>
      </c>
      <c r="C202" t="s">
        <v>83</v>
      </c>
      <c r="D202" t="s">
        <v>84</v>
      </c>
      <c r="E202" s="14">
        <v>220.3</v>
      </c>
      <c r="F202" s="14">
        <v>206.9</v>
      </c>
      <c r="G202" s="14">
        <v>225.7</v>
      </c>
      <c r="H202" s="14">
        <v>0</v>
      </c>
      <c r="I202" s="17">
        <f>INDEX('Pool Points'!$J:$J,MATCH(B202,'Pool Points'!$A:$A,0))</f>
        <v>0.76890000000000003</v>
      </c>
      <c r="J202">
        <f t="shared" si="12"/>
        <v>12</v>
      </c>
      <c r="K202">
        <f t="shared" si="13"/>
        <v>12</v>
      </c>
      <c r="L202">
        <f>INDEX('Pool Points'!$I:$I,MATCH(B202,'Pool Points'!$A:$A,0))</f>
        <v>17</v>
      </c>
      <c r="M202">
        <f t="shared" si="14"/>
        <v>0</v>
      </c>
      <c r="N202" t="str">
        <f t="shared" si="15"/>
        <v>Covered</v>
      </c>
    </row>
    <row r="203" spans="1:14" x14ac:dyDescent="0.35">
      <c r="A203" s="13">
        <v>46403</v>
      </c>
      <c r="B203" t="s">
        <v>85</v>
      </c>
      <c r="C203" t="s">
        <v>86</v>
      </c>
      <c r="D203" t="s">
        <v>84</v>
      </c>
      <c r="E203" s="14">
        <v>195.3</v>
      </c>
      <c r="F203" s="14">
        <v>183.5</v>
      </c>
      <c r="G203" s="14">
        <v>200.1</v>
      </c>
      <c r="H203" s="14">
        <v>11.5</v>
      </c>
      <c r="I203" s="17">
        <f>INDEX('Pool Points'!$J:$J,MATCH(B203,'Pool Points'!$A:$A,0))</f>
        <v>0.75660000000000005</v>
      </c>
      <c r="J203">
        <f t="shared" si="12"/>
        <v>10</v>
      </c>
      <c r="K203">
        <f t="shared" si="13"/>
        <v>11</v>
      </c>
      <c r="L203">
        <f>INDEX('Pool Points'!$I:$I,MATCH(B203,'Pool Points'!$A:$A,0))</f>
        <v>13</v>
      </c>
      <c r="M203">
        <f t="shared" si="14"/>
        <v>0</v>
      </c>
      <c r="N203" t="str">
        <f t="shared" si="15"/>
        <v>Covered</v>
      </c>
    </row>
    <row r="204" spans="1:14" x14ac:dyDescent="0.35">
      <c r="A204" s="13">
        <v>46403</v>
      </c>
      <c r="B204" t="s">
        <v>87</v>
      </c>
      <c r="C204" t="s">
        <v>88</v>
      </c>
      <c r="D204" t="s">
        <v>76</v>
      </c>
      <c r="E204" s="14">
        <v>176.7</v>
      </c>
      <c r="F204" s="14">
        <v>166</v>
      </c>
      <c r="G204" s="14">
        <v>181.1</v>
      </c>
      <c r="H204" s="14">
        <v>0</v>
      </c>
      <c r="I204" s="17">
        <f>INDEX('Pool Points'!$J:$J,MATCH(B204,'Pool Points'!$A:$A,0))</f>
        <v>0.7006</v>
      </c>
      <c r="J204">
        <f t="shared" si="12"/>
        <v>10</v>
      </c>
      <c r="K204">
        <f t="shared" si="13"/>
        <v>10</v>
      </c>
      <c r="L204">
        <f>INDEX('Pool Points'!$I:$I,MATCH(B204,'Pool Points'!$A:$A,0))</f>
        <v>13</v>
      </c>
      <c r="M204">
        <f t="shared" si="14"/>
        <v>0</v>
      </c>
      <c r="N204" t="str">
        <f t="shared" si="15"/>
        <v>Covered</v>
      </c>
    </row>
    <row r="205" spans="1:14" x14ac:dyDescent="0.35">
      <c r="A205" s="13">
        <v>46410</v>
      </c>
      <c r="B205" t="s">
        <v>70</v>
      </c>
      <c r="C205" t="s">
        <v>71</v>
      </c>
      <c r="D205" t="s">
        <v>72</v>
      </c>
      <c r="E205" s="14">
        <v>197</v>
      </c>
      <c r="F205" s="14">
        <v>185</v>
      </c>
      <c r="G205" s="14">
        <v>201.9</v>
      </c>
      <c r="H205" s="14">
        <v>0</v>
      </c>
      <c r="I205" s="17">
        <f>INDEX('Pool Points'!$J:$J,MATCH(B205,'Pool Points'!$A:$A,0))</f>
        <v>0.73829999999999996</v>
      </c>
      <c r="J205">
        <f t="shared" si="12"/>
        <v>11</v>
      </c>
      <c r="K205">
        <f t="shared" si="13"/>
        <v>11</v>
      </c>
      <c r="L205">
        <f>INDEX('Pool Points'!$I:$I,MATCH(B205,'Pool Points'!$A:$A,0))</f>
        <v>15</v>
      </c>
      <c r="M205">
        <f t="shared" si="14"/>
        <v>0</v>
      </c>
      <c r="N205" t="str">
        <f t="shared" si="15"/>
        <v>Covered</v>
      </c>
    </row>
    <row r="206" spans="1:14" x14ac:dyDescent="0.35">
      <c r="A206" s="13">
        <v>46410</v>
      </c>
      <c r="B206" t="s">
        <v>73</v>
      </c>
      <c r="C206" t="s">
        <v>74</v>
      </c>
      <c r="D206" t="s">
        <v>72</v>
      </c>
      <c r="E206" s="14">
        <v>196.7</v>
      </c>
      <c r="F206" s="14">
        <v>184.7</v>
      </c>
      <c r="G206" s="14">
        <v>201.5</v>
      </c>
      <c r="H206" s="14">
        <v>0</v>
      </c>
      <c r="I206" s="17">
        <f>INDEX('Pool Points'!$J:$J,MATCH(B206,'Pool Points'!$A:$A,0))</f>
        <v>0.79159999999999997</v>
      </c>
      <c r="J206">
        <f t="shared" si="12"/>
        <v>10</v>
      </c>
      <c r="K206">
        <f t="shared" si="13"/>
        <v>10</v>
      </c>
      <c r="L206">
        <f>INDEX('Pool Points'!$I:$I,MATCH(B206,'Pool Points'!$A:$A,0))</f>
        <v>15</v>
      </c>
      <c r="M206">
        <f t="shared" si="14"/>
        <v>0</v>
      </c>
      <c r="N206" t="str">
        <f t="shared" si="15"/>
        <v>Covered</v>
      </c>
    </row>
    <row r="207" spans="1:14" x14ac:dyDescent="0.35">
      <c r="A207" s="13">
        <v>46410</v>
      </c>
      <c r="B207" t="s">
        <v>3</v>
      </c>
      <c r="C207" t="s">
        <v>75</v>
      </c>
      <c r="D207" t="s">
        <v>76</v>
      </c>
      <c r="E207" s="14">
        <v>262.3</v>
      </c>
      <c r="F207" s="14">
        <v>246.4</v>
      </c>
      <c r="G207" s="14">
        <v>268.8</v>
      </c>
      <c r="H207" s="14">
        <v>0</v>
      </c>
      <c r="I207" s="17">
        <f>INDEX('Pool Points'!$J:$J,MATCH(B207,'Pool Points'!$A:$A,0))</f>
        <v>0.80469999999999997</v>
      </c>
      <c r="J207">
        <f t="shared" si="12"/>
        <v>13</v>
      </c>
      <c r="K207">
        <f t="shared" si="13"/>
        <v>13</v>
      </c>
      <c r="L207">
        <f>INDEX('Pool Points'!$I:$I,MATCH(B207,'Pool Points'!$A:$A,0))</f>
        <v>18</v>
      </c>
      <c r="M207">
        <f t="shared" si="14"/>
        <v>0</v>
      </c>
      <c r="N207" t="str">
        <f t="shared" si="15"/>
        <v>Covered</v>
      </c>
    </row>
    <row r="208" spans="1:14" x14ac:dyDescent="0.35">
      <c r="A208" s="13">
        <v>46410</v>
      </c>
      <c r="B208" t="s">
        <v>77</v>
      </c>
      <c r="C208" t="s">
        <v>78</v>
      </c>
      <c r="D208" t="s">
        <v>79</v>
      </c>
      <c r="E208" s="14">
        <v>203.5</v>
      </c>
      <c r="F208" s="14">
        <v>191.1</v>
      </c>
      <c r="G208" s="14">
        <v>208.5</v>
      </c>
      <c r="H208" s="14">
        <v>12.1</v>
      </c>
      <c r="I208" s="17">
        <f>INDEX('Pool Points'!$J:$J,MATCH(B208,'Pool Points'!$A:$A,0))</f>
        <v>0.74490000000000001</v>
      </c>
      <c r="J208">
        <f t="shared" si="12"/>
        <v>11</v>
      </c>
      <c r="K208">
        <f t="shared" si="13"/>
        <v>11</v>
      </c>
      <c r="L208">
        <f>INDEX('Pool Points'!$I:$I,MATCH(B208,'Pool Points'!$A:$A,0))</f>
        <v>15</v>
      </c>
      <c r="M208">
        <f t="shared" si="14"/>
        <v>0</v>
      </c>
      <c r="N208" t="str">
        <f t="shared" si="15"/>
        <v>Covered</v>
      </c>
    </row>
    <row r="209" spans="1:14" x14ac:dyDescent="0.35">
      <c r="A209" s="13">
        <v>46410</v>
      </c>
      <c r="B209" t="s">
        <v>80</v>
      </c>
      <c r="C209" t="s">
        <v>81</v>
      </c>
      <c r="D209" t="s">
        <v>79</v>
      </c>
      <c r="E209" s="14">
        <v>251.5</v>
      </c>
      <c r="F209" s="14">
        <v>236.2</v>
      </c>
      <c r="G209" s="14">
        <v>257.7</v>
      </c>
      <c r="H209" s="14">
        <v>0</v>
      </c>
      <c r="I209" s="17">
        <f>INDEX('Pool Points'!$J:$J,MATCH(B209,'Pool Points'!$A:$A,0))</f>
        <v>0.78369999999999995</v>
      </c>
      <c r="J209">
        <f t="shared" si="12"/>
        <v>13</v>
      </c>
      <c r="K209">
        <f t="shared" si="13"/>
        <v>13</v>
      </c>
      <c r="L209">
        <f>INDEX('Pool Points'!$I:$I,MATCH(B209,'Pool Points'!$A:$A,0))</f>
        <v>17</v>
      </c>
      <c r="M209">
        <f t="shared" si="14"/>
        <v>0</v>
      </c>
      <c r="N209" t="str">
        <f t="shared" si="15"/>
        <v>Covered</v>
      </c>
    </row>
    <row r="210" spans="1:14" x14ac:dyDescent="0.35">
      <c r="A210" s="13">
        <v>46410</v>
      </c>
      <c r="B210" t="s">
        <v>82</v>
      </c>
      <c r="C210" t="s">
        <v>83</v>
      </c>
      <c r="D210" t="s">
        <v>84</v>
      </c>
      <c r="E210" s="14">
        <v>229.9</v>
      </c>
      <c r="F210" s="14">
        <v>216</v>
      </c>
      <c r="G210" s="14">
        <v>235.6</v>
      </c>
      <c r="H210" s="14">
        <v>0</v>
      </c>
      <c r="I210" s="17">
        <f>INDEX('Pool Points'!$J:$J,MATCH(B210,'Pool Points'!$A:$A,0))</f>
        <v>0.76890000000000003</v>
      </c>
      <c r="J210">
        <f t="shared" si="12"/>
        <v>12</v>
      </c>
      <c r="K210">
        <f t="shared" si="13"/>
        <v>12</v>
      </c>
      <c r="L210">
        <f>INDEX('Pool Points'!$I:$I,MATCH(B210,'Pool Points'!$A:$A,0))</f>
        <v>17</v>
      </c>
      <c r="M210">
        <f t="shared" si="14"/>
        <v>0</v>
      </c>
      <c r="N210" t="str">
        <f t="shared" si="15"/>
        <v>Covered</v>
      </c>
    </row>
    <row r="211" spans="1:14" x14ac:dyDescent="0.35">
      <c r="A211" s="13">
        <v>46410</v>
      </c>
      <c r="B211" t="s">
        <v>85</v>
      </c>
      <c r="C211" t="s">
        <v>86</v>
      </c>
      <c r="D211" t="s">
        <v>84</v>
      </c>
      <c r="E211" s="14">
        <v>207.9</v>
      </c>
      <c r="F211" s="14">
        <v>195.3</v>
      </c>
      <c r="G211" s="14">
        <v>213.1</v>
      </c>
      <c r="H211" s="14">
        <v>12.4</v>
      </c>
      <c r="I211" s="17">
        <f>INDEX('Pool Points'!$J:$J,MATCH(B211,'Pool Points'!$A:$A,0))</f>
        <v>0.75660000000000005</v>
      </c>
      <c r="J211">
        <f t="shared" si="12"/>
        <v>11</v>
      </c>
      <c r="K211">
        <f t="shared" si="13"/>
        <v>11</v>
      </c>
      <c r="L211">
        <f>INDEX('Pool Points'!$I:$I,MATCH(B211,'Pool Points'!$A:$A,0))</f>
        <v>13</v>
      </c>
      <c r="M211">
        <f t="shared" si="14"/>
        <v>0</v>
      </c>
      <c r="N211" t="str">
        <f t="shared" si="15"/>
        <v>Covered</v>
      </c>
    </row>
    <row r="212" spans="1:14" x14ac:dyDescent="0.35">
      <c r="A212" s="13">
        <v>46410</v>
      </c>
      <c r="B212" t="s">
        <v>87</v>
      </c>
      <c r="C212" t="s">
        <v>88</v>
      </c>
      <c r="D212" t="s">
        <v>76</v>
      </c>
      <c r="E212" s="14">
        <v>184.9</v>
      </c>
      <c r="F212" s="14">
        <v>173.7</v>
      </c>
      <c r="G212" s="14">
        <v>189.5</v>
      </c>
      <c r="H212" s="14">
        <v>0</v>
      </c>
      <c r="I212" s="17">
        <f>INDEX('Pool Points'!$J:$J,MATCH(B212,'Pool Points'!$A:$A,0))</f>
        <v>0.7006</v>
      </c>
      <c r="J212">
        <f t="shared" si="12"/>
        <v>11</v>
      </c>
      <c r="K212">
        <f t="shared" si="13"/>
        <v>11</v>
      </c>
      <c r="L212">
        <f>INDEX('Pool Points'!$I:$I,MATCH(B212,'Pool Points'!$A:$A,0))</f>
        <v>13</v>
      </c>
      <c r="M212">
        <f t="shared" si="14"/>
        <v>0</v>
      </c>
      <c r="N212" t="str">
        <f t="shared" si="15"/>
        <v>Covered</v>
      </c>
    </row>
  </sheetData>
  <conditionalFormatting sqref="N5:N212">
    <cfRule type="cellIs" dxfId="8" priority="1" operator="equal">
      <formula>"Over capacity"</formula>
    </cfRule>
    <cfRule type="cellIs" dxfId="7" priority="2" operator="equal">
      <formula>"At risk"</formula>
    </cfRule>
    <cfRule type="cellIs" dxfId="6" priority="3" operator="equal">
      <formula>"Covered"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12" customWidth="1"/>
    <col min="3" max="28" width="8" customWidth="1"/>
  </cols>
  <sheetData>
    <row r="1" spans="1:28" ht="21" x14ac:dyDescent="0.5">
      <c r="A1" s="1" t="s">
        <v>44</v>
      </c>
    </row>
    <row r="2" spans="1:28" x14ac:dyDescent="0.35">
      <c r="A2" s="2" t="s">
        <v>105</v>
      </c>
    </row>
    <row r="4" spans="1:28" ht="30" customHeight="1" x14ac:dyDescent="0.35">
      <c r="A4" s="12" t="s">
        <v>2</v>
      </c>
      <c r="B4" s="12" t="s">
        <v>4</v>
      </c>
      <c r="C4" s="20">
        <v>46235</v>
      </c>
      <c r="D4" s="20">
        <v>46242</v>
      </c>
      <c r="E4" s="20">
        <v>46249</v>
      </c>
      <c r="F4" s="20">
        <v>46256</v>
      </c>
      <c r="G4" s="20">
        <v>46263</v>
      </c>
      <c r="H4" s="20">
        <v>46270</v>
      </c>
      <c r="I4" s="20">
        <v>46277</v>
      </c>
      <c r="J4" s="20">
        <v>46284</v>
      </c>
      <c r="K4" s="20">
        <v>46291</v>
      </c>
      <c r="L4" s="20">
        <v>46298</v>
      </c>
      <c r="M4" s="20">
        <v>46305</v>
      </c>
      <c r="N4" s="20">
        <v>46312</v>
      </c>
      <c r="O4" s="20">
        <v>46319</v>
      </c>
      <c r="P4" s="20">
        <v>46326</v>
      </c>
      <c r="Q4" s="20">
        <v>46333</v>
      </c>
      <c r="R4" s="20">
        <v>46340</v>
      </c>
      <c r="S4" s="20">
        <v>46347</v>
      </c>
      <c r="T4" s="20">
        <v>46354</v>
      </c>
      <c r="U4" s="20">
        <v>46361</v>
      </c>
      <c r="V4" s="20">
        <v>46368</v>
      </c>
      <c r="W4" s="20">
        <v>46375</v>
      </c>
      <c r="X4" s="20">
        <v>46382</v>
      </c>
      <c r="Y4" s="20">
        <v>46389</v>
      </c>
      <c r="Z4" s="20">
        <v>46396</v>
      </c>
      <c r="AA4" s="20">
        <v>46403</v>
      </c>
      <c r="AB4" s="20">
        <v>46410</v>
      </c>
    </row>
    <row r="5" spans="1:28" x14ac:dyDescent="0.35">
      <c r="A5" t="s">
        <v>70</v>
      </c>
      <c r="B5" t="s">
        <v>71</v>
      </c>
      <c r="C5" s="15">
        <f>SUMIFS('Volume Forecast'!$E$5:$E$212,'Volume Forecast'!$B$5:$B$212,$A5,'Volume Forecast'!$A$5:$A$212,C$4)</f>
        <v>240.5</v>
      </c>
      <c r="D5" s="15">
        <f>SUMIFS('Volume Forecast'!$E$5:$E$212,'Volume Forecast'!$B$5:$B$212,$A5,'Volume Forecast'!$A$5:$A$212,D$4)</f>
        <v>253.3</v>
      </c>
      <c r="E5" s="15">
        <f>SUMIFS('Volume Forecast'!$E$5:$E$212,'Volume Forecast'!$B$5:$B$212,$A5,'Volume Forecast'!$A$5:$A$212,E$4)</f>
        <v>236.6</v>
      </c>
      <c r="F5" s="15">
        <f>SUMIFS('Volume Forecast'!$E$5:$E$212,'Volume Forecast'!$B$5:$B$212,$A5,'Volume Forecast'!$A$5:$A$212,F$4)</f>
        <v>236</v>
      </c>
      <c r="G5" s="15">
        <f>SUMIFS('Volume Forecast'!$E$5:$E$212,'Volume Forecast'!$B$5:$B$212,$A5,'Volume Forecast'!$A$5:$A$212,G$4)</f>
        <v>230.6</v>
      </c>
      <c r="H5" s="15">
        <f>SUMIFS('Volume Forecast'!$E$5:$E$212,'Volume Forecast'!$B$5:$B$212,$A5,'Volume Forecast'!$A$5:$A$212,H$4)</f>
        <v>228.7</v>
      </c>
      <c r="I5" s="15">
        <f>SUMIFS('Volume Forecast'!$E$5:$E$212,'Volume Forecast'!$B$5:$B$212,$A5,'Volume Forecast'!$A$5:$A$212,I$4)</f>
        <v>226.8</v>
      </c>
      <c r="J5" s="15">
        <f>SUMIFS('Volume Forecast'!$E$5:$E$212,'Volume Forecast'!$B$5:$B$212,$A5,'Volume Forecast'!$A$5:$A$212,J$4)</f>
        <v>228.4</v>
      </c>
      <c r="K5" s="15">
        <f>SUMIFS('Volume Forecast'!$E$5:$E$212,'Volume Forecast'!$B$5:$B$212,$A5,'Volume Forecast'!$A$5:$A$212,K$4)</f>
        <v>230.1</v>
      </c>
      <c r="L5" s="15">
        <f>SUMIFS('Volume Forecast'!$E$5:$E$212,'Volume Forecast'!$B$5:$B$212,$A5,'Volume Forecast'!$A$5:$A$212,L$4)</f>
        <v>224.8</v>
      </c>
      <c r="M5" s="15">
        <f>SUMIFS('Volume Forecast'!$E$5:$E$212,'Volume Forecast'!$B$5:$B$212,$A5,'Volume Forecast'!$A$5:$A$212,M$4)</f>
        <v>236.6</v>
      </c>
      <c r="N5" s="15">
        <f>SUMIFS('Volume Forecast'!$E$5:$E$212,'Volume Forecast'!$B$5:$B$212,$A5,'Volume Forecast'!$A$5:$A$212,N$4)</f>
        <v>243.6</v>
      </c>
      <c r="O5" s="15">
        <f>SUMIFS('Volume Forecast'!$E$5:$E$212,'Volume Forecast'!$B$5:$B$212,$A5,'Volume Forecast'!$A$5:$A$212,O$4)</f>
        <v>255.8</v>
      </c>
      <c r="P5" s="15">
        <f>SUMIFS('Volume Forecast'!$E$5:$E$212,'Volume Forecast'!$B$5:$B$212,$A5,'Volume Forecast'!$A$5:$A$212,P$4)</f>
        <v>264.60000000000002</v>
      </c>
      <c r="Q5" s="15">
        <f>SUMIFS('Volume Forecast'!$E$5:$E$212,'Volume Forecast'!$B$5:$B$212,$A5,'Volume Forecast'!$A$5:$A$212,Q$4)</f>
        <v>276.8</v>
      </c>
      <c r="R5" s="15">
        <f>SUMIFS('Volume Forecast'!$E$5:$E$212,'Volume Forecast'!$B$5:$B$212,$A5,'Volume Forecast'!$A$5:$A$212,R$4)</f>
        <v>306.60000000000002</v>
      </c>
      <c r="S5" s="15">
        <f>SUMIFS('Volume Forecast'!$E$5:$E$212,'Volume Forecast'!$B$5:$B$212,$A5,'Volume Forecast'!$A$5:$A$212,S$4)</f>
        <v>331.7</v>
      </c>
      <c r="T5" s="15">
        <f>SUMIFS('Volume Forecast'!$E$5:$E$212,'Volume Forecast'!$B$5:$B$212,$A5,'Volume Forecast'!$A$5:$A$212,T$4)</f>
        <v>341.6</v>
      </c>
      <c r="U5" s="15">
        <f>SUMIFS('Volume Forecast'!$E$5:$E$212,'Volume Forecast'!$B$5:$B$212,$A5,'Volume Forecast'!$A$5:$A$212,U$4)</f>
        <v>362.4</v>
      </c>
      <c r="V5" s="15">
        <f>SUMIFS('Volume Forecast'!$E$5:$E$212,'Volume Forecast'!$B$5:$B$212,$A5,'Volume Forecast'!$A$5:$A$212,V$4)</f>
        <v>361.7</v>
      </c>
      <c r="W5" s="15">
        <f>SUMIFS('Volume Forecast'!$E$5:$E$212,'Volume Forecast'!$B$5:$B$212,$A5,'Volume Forecast'!$A$5:$A$212,W$4)</f>
        <v>314.3</v>
      </c>
      <c r="X5" s="15">
        <f>SUMIFS('Volume Forecast'!$E$5:$E$212,'Volume Forecast'!$B$5:$B$212,$A5,'Volume Forecast'!$A$5:$A$212,X$4)</f>
        <v>268.39999999999998</v>
      </c>
      <c r="Y5" s="15">
        <f>SUMIFS('Volume Forecast'!$E$5:$E$212,'Volume Forecast'!$B$5:$B$212,$A5,'Volume Forecast'!$A$5:$A$212,Y$4)</f>
        <v>228.3</v>
      </c>
      <c r="Z5" s="15">
        <f>SUMIFS('Volume Forecast'!$E$5:$E$212,'Volume Forecast'!$B$5:$B$212,$A5,'Volume Forecast'!$A$5:$A$212,Z$4)</f>
        <v>194</v>
      </c>
      <c r="AA5" s="15">
        <f>SUMIFS('Volume Forecast'!$E$5:$E$212,'Volume Forecast'!$B$5:$B$212,$A5,'Volume Forecast'!$A$5:$A$212,AA$4)</f>
        <v>187.5</v>
      </c>
      <c r="AB5" s="15">
        <f>SUMIFS('Volume Forecast'!$E$5:$E$212,'Volume Forecast'!$B$5:$B$212,$A5,'Volume Forecast'!$A$5:$A$212,AB$4)</f>
        <v>197</v>
      </c>
    </row>
    <row r="6" spans="1:28" x14ac:dyDescent="0.35">
      <c r="A6" t="s">
        <v>73</v>
      </c>
      <c r="B6" t="s">
        <v>74</v>
      </c>
      <c r="C6" s="15">
        <f>SUMIFS('Volume Forecast'!$E$5:$E$212,'Volume Forecast'!$B$5:$B$212,$A6,'Volume Forecast'!$A$5:$A$212,C$4)</f>
        <v>249.5</v>
      </c>
      <c r="D6" s="15">
        <f>SUMIFS('Volume Forecast'!$E$5:$E$212,'Volume Forecast'!$B$5:$B$212,$A6,'Volume Forecast'!$A$5:$A$212,D$4)</f>
        <v>248.2</v>
      </c>
      <c r="E6" s="15">
        <f>SUMIFS('Volume Forecast'!$E$5:$E$212,'Volume Forecast'!$B$5:$B$212,$A6,'Volume Forecast'!$A$5:$A$212,E$4)</f>
        <v>246.4</v>
      </c>
      <c r="F6" s="15">
        <f>SUMIFS('Volume Forecast'!$E$5:$E$212,'Volume Forecast'!$B$5:$B$212,$A6,'Volume Forecast'!$A$5:$A$212,F$4)</f>
        <v>241.8</v>
      </c>
      <c r="G6" s="15">
        <f>SUMIFS('Volume Forecast'!$E$5:$E$212,'Volume Forecast'!$B$5:$B$212,$A6,'Volume Forecast'!$A$5:$A$212,G$4)</f>
        <v>232.7</v>
      </c>
      <c r="H6" s="15">
        <f>SUMIFS('Volume Forecast'!$E$5:$E$212,'Volume Forecast'!$B$5:$B$212,$A6,'Volume Forecast'!$A$5:$A$212,H$4)</f>
        <v>231.8</v>
      </c>
      <c r="I6" s="15">
        <f>SUMIFS('Volume Forecast'!$E$5:$E$212,'Volume Forecast'!$B$5:$B$212,$A6,'Volume Forecast'!$A$5:$A$212,I$4)</f>
        <v>220.8</v>
      </c>
      <c r="J6" s="15">
        <f>SUMIFS('Volume Forecast'!$E$5:$E$212,'Volume Forecast'!$B$5:$B$212,$A6,'Volume Forecast'!$A$5:$A$212,J$4)</f>
        <v>221</v>
      </c>
      <c r="K6" s="15">
        <f>SUMIFS('Volume Forecast'!$E$5:$E$212,'Volume Forecast'!$B$5:$B$212,$A6,'Volume Forecast'!$A$5:$A$212,K$4)</f>
        <v>222.1</v>
      </c>
      <c r="L6" s="15">
        <f>SUMIFS('Volume Forecast'!$E$5:$E$212,'Volume Forecast'!$B$5:$B$212,$A6,'Volume Forecast'!$A$5:$A$212,L$4)</f>
        <v>227.6</v>
      </c>
      <c r="M6" s="15">
        <f>SUMIFS('Volume Forecast'!$E$5:$E$212,'Volume Forecast'!$B$5:$B$212,$A6,'Volume Forecast'!$A$5:$A$212,M$4)</f>
        <v>230.1</v>
      </c>
      <c r="N6" s="15">
        <f>SUMIFS('Volume Forecast'!$E$5:$E$212,'Volume Forecast'!$B$5:$B$212,$A6,'Volume Forecast'!$A$5:$A$212,N$4)</f>
        <v>242.3</v>
      </c>
      <c r="O6" s="15">
        <f>SUMIFS('Volume Forecast'!$E$5:$E$212,'Volume Forecast'!$B$5:$B$212,$A6,'Volume Forecast'!$A$5:$A$212,O$4)</f>
        <v>252.5</v>
      </c>
      <c r="P6" s="15">
        <f>SUMIFS('Volume Forecast'!$E$5:$E$212,'Volume Forecast'!$B$5:$B$212,$A6,'Volume Forecast'!$A$5:$A$212,P$4)</f>
        <v>257.60000000000002</v>
      </c>
      <c r="Q6" s="15">
        <f>SUMIFS('Volume Forecast'!$E$5:$E$212,'Volume Forecast'!$B$5:$B$212,$A6,'Volume Forecast'!$A$5:$A$212,Q$4)</f>
        <v>279.7</v>
      </c>
      <c r="R6" s="15">
        <f>SUMIFS('Volume Forecast'!$E$5:$E$212,'Volume Forecast'!$B$5:$B$212,$A6,'Volume Forecast'!$A$5:$A$212,R$4)</f>
        <v>299.2</v>
      </c>
      <c r="S6" s="15">
        <f>SUMIFS('Volume Forecast'!$E$5:$E$212,'Volume Forecast'!$B$5:$B$212,$A6,'Volume Forecast'!$A$5:$A$212,S$4)</f>
        <v>318.7</v>
      </c>
      <c r="T6" s="15">
        <f>SUMIFS('Volume Forecast'!$E$5:$E$212,'Volume Forecast'!$B$5:$B$212,$A6,'Volume Forecast'!$A$5:$A$212,T$4)</f>
        <v>343.5</v>
      </c>
      <c r="U6" s="15">
        <f>SUMIFS('Volume Forecast'!$E$5:$E$212,'Volume Forecast'!$B$5:$B$212,$A6,'Volume Forecast'!$A$5:$A$212,U$4)</f>
        <v>362.7</v>
      </c>
      <c r="V6" s="15">
        <f>SUMIFS('Volume Forecast'!$E$5:$E$212,'Volume Forecast'!$B$5:$B$212,$A6,'Volume Forecast'!$A$5:$A$212,V$4)</f>
        <v>355.5</v>
      </c>
      <c r="W6" s="15">
        <f>SUMIFS('Volume Forecast'!$E$5:$E$212,'Volume Forecast'!$B$5:$B$212,$A6,'Volume Forecast'!$A$5:$A$212,W$4)</f>
        <v>312.39999999999998</v>
      </c>
      <c r="X6" s="15">
        <f>SUMIFS('Volume Forecast'!$E$5:$E$212,'Volume Forecast'!$B$5:$B$212,$A6,'Volume Forecast'!$A$5:$A$212,X$4)</f>
        <v>262.7</v>
      </c>
      <c r="Y6" s="15">
        <f>SUMIFS('Volume Forecast'!$E$5:$E$212,'Volume Forecast'!$B$5:$B$212,$A6,'Volume Forecast'!$A$5:$A$212,Y$4)</f>
        <v>226.5</v>
      </c>
      <c r="Z6" s="15">
        <f>SUMIFS('Volume Forecast'!$E$5:$E$212,'Volume Forecast'!$B$5:$B$212,$A6,'Volume Forecast'!$A$5:$A$212,Z$4)</f>
        <v>182.1</v>
      </c>
      <c r="AA6" s="15">
        <f>SUMIFS('Volume Forecast'!$E$5:$E$212,'Volume Forecast'!$B$5:$B$212,$A6,'Volume Forecast'!$A$5:$A$212,AA$4)</f>
        <v>184.7</v>
      </c>
      <c r="AB6" s="15">
        <f>SUMIFS('Volume Forecast'!$E$5:$E$212,'Volume Forecast'!$B$5:$B$212,$A6,'Volume Forecast'!$A$5:$A$212,AB$4)</f>
        <v>196.7</v>
      </c>
    </row>
    <row r="7" spans="1:28" x14ac:dyDescent="0.35">
      <c r="A7" t="s">
        <v>3</v>
      </c>
      <c r="B7" t="s">
        <v>75</v>
      </c>
      <c r="C7" s="15">
        <f>SUMIFS('Volume Forecast'!$E$5:$E$212,'Volume Forecast'!$B$5:$B$212,$A7,'Volume Forecast'!$A$5:$A$212,C$4)</f>
        <v>329.3</v>
      </c>
      <c r="D7" s="15">
        <f>SUMIFS('Volume Forecast'!$E$5:$E$212,'Volume Forecast'!$B$5:$B$212,$A7,'Volume Forecast'!$A$5:$A$212,D$4)</f>
        <v>331.1</v>
      </c>
      <c r="E7" s="15">
        <f>SUMIFS('Volume Forecast'!$E$5:$E$212,'Volume Forecast'!$B$5:$B$212,$A7,'Volume Forecast'!$A$5:$A$212,E$4)</f>
        <v>328.7</v>
      </c>
      <c r="F7" s="15">
        <f>SUMIFS('Volume Forecast'!$E$5:$E$212,'Volume Forecast'!$B$5:$B$212,$A7,'Volume Forecast'!$A$5:$A$212,F$4)</f>
        <v>321.2</v>
      </c>
      <c r="G7" s="15">
        <f>SUMIFS('Volume Forecast'!$E$5:$E$212,'Volume Forecast'!$B$5:$B$212,$A7,'Volume Forecast'!$A$5:$A$212,G$4)</f>
        <v>313.60000000000002</v>
      </c>
      <c r="H7" s="15">
        <f>SUMIFS('Volume Forecast'!$E$5:$E$212,'Volume Forecast'!$B$5:$B$212,$A7,'Volume Forecast'!$A$5:$A$212,H$4)</f>
        <v>296</v>
      </c>
      <c r="I7" s="15">
        <f>SUMIFS('Volume Forecast'!$E$5:$E$212,'Volume Forecast'!$B$5:$B$212,$A7,'Volume Forecast'!$A$5:$A$212,I$4)</f>
        <v>287.89999999999998</v>
      </c>
      <c r="J7" s="15">
        <f>SUMIFS('Volume Forecast'!$E$5:$E$212,'Volume Forecast'!$B$5:$B$212,$A7,'Volume Forecast'!$A$5:$A$212,J$4)</f>
        <v>305.39999999999998</v>
      </c>
      <c r="K7" s="15">
        <f>SUMIFS('Volume Forecast'!$E$5:$E$212,'Volume Forecast'!$B$5:$B$212,$A7,'Volume Forecast'!$A$5:$A$212,K$4)</f>
        <v>303.5</v>
      </c>
      <c r="L7" s="15">
        <f>SUMIFS('Volume Forecast'!$E$5:$E$212,'Volume Forecast'!$B$5:$B$212,$A7,'Volume Forecast'!$A$5:$A$212,L$4)</f>
        <v>298.5</v>
      </c>
      <c r="M7" s="15">
        <f>SUMIFS('Volume Forecast'!$E$5:$E$212,'Volume Forecast'!$B$5:$B$212,$A7,'Volume Forecast'!$A$5:$A$212,M$4)</f>
        <v>311.10000000000002</v>
      </c>
      <c r="N7" s="15">
        <f>SUMIFS('Volume Forecast'!$E$5:$E$212,'Volume Forecast'!$B$5:$B$212,$A7,'Volume Forecast'!$A$5:$A$212,N$4)</f>
        <v>319.3</v>
      </c>
      <c r="O7" s="15">
        <f>SUMIFS('Volume Forecast'!$E$5:$E$212,'Volume Forecast'!$B$5:$B$212,$A7,'Volume Forecast'!$A$5:$A$212,O$4)</f>
        <v>340.9</v>
      </c>
      <c r="P7" s="15">
        <f>SUMIFS('Volume Forecast'!$E$5:$E$212,'Volume Forecast'!$B$5:$B$212,$A7,'Volume Forecast'!$A$5:$A$212,P$4)</f>
        <v>358.1</v>
      </c>
      <c r="Q7" s="15">
        <f>SUMIFS('Volume Forecast'!$E$5:$E$212,'Volume Forecast'!$B$5:$B$212,$A7,'Volume Forecast'!$A$5:$A$212,Q$4)</f>
        <v>364.1</v>
      </c>
      <c r="R7" s="15">
        <f>SUMIFS('Volume Forecast'!$E$5:$E$212,'Volume Forecast'!$B$5:$B$212,$A7,'Volume Forecast'!$A$5:$A$212,R$4)</f>
        <v>398.8</v>
      </c>
      <c r="S7" s="15">
        <f>SUMIFS('Volume Forecast'!$E$5:$E$212,'Volume Forecast'!$B$5:$B$212,$A7,'Volume Forecast'!$A$5:$A$212,S$4)</f>
        <v>415.7</v>
      </c>
      <c r="T7" s="15">
        <f>SUMIFS('Volume Forecast'!$E$5:$E$212,'Volume Forecast'!$B$5:$B$212,$A7,'Volume Forecast'!$A$5:$A$212,T$4)</f>
        <v>445.8</v>
      </c>
      <c r="U7" s="15">
        <f>SUMIFS('Volume Forecast'!$E$5:$E$212,'Volume Forecast'!$B$5:$B$212,$A7,'Volume Forecast'!$A$5:$A$212,U$4)</f>
        <v>479.2</v>
      </c>
      <c r="V7" s="15">
        <f>SUMIFS('Volume Forecast'!$E$5:$E$212,'Volume Forecast'!$B$5:$B$212,$A7,'Volume Forecast'!$A$5:$A$212,V$4)</f>
        <v>479.6</v>
      </c>
      <c r="W7" s="15">
        <f>SUMIFS('Volume Forecast'!$E$5:$E$212,'Volume Forecast'!$B$5:$B$212,$A7,'Volume Forecast'!$A$5:$A$212,W$4)</f>
        <v>422.1</v>
      </c>
      <c r="X7" s="15">
        <f>SUMIFS('Volume Forecast'!$E$5:$E$212,'Volume Forecast'!$B$5:$B$212,$A7,'Volume Forecast'!$A$5:$A$212,X$4)</f>
        <v>366.6</v>
      </c>
      <c r="Y7" s="15">
        <f>SUMIFS('Volume Forecast'!$E$5:$E$212,'Volume Forecast'!$B$5:$B$212,$A7,'Volume Forecast'!$A$5:$A$212,Y$4)</f>
        <v>310.60000000000002</v>
      </c>
      <c r="Z7" s="15">
        <f>SUMIFS('Volume Forecast'!$E$5:$E$212,'Volume Forecast'!$B$5:$B$212,$A7,'Volume Forecast'!$A$5:$A$212,Z$4)</f>
        <v>250.6</v>
      </c>
      <c r="AA7" s="15">
        <f>SUMIFS('Volume Forecast'!$E$5:$E$212,'Volume Forecast'!$B$5:$B$212,$A7,'Volume Forecast'!$A$5:$A$212,AA$4)</f>
        <v>250.6</v>
      </c>
      <c r="AB7" s="15">
        <f>SUMIFS('Volume Forecast'!$E$5:$E$212,'Volume Forecast'!$B$5:$B$212,$A7,'Volume Forecast'!$A$5:$A$212,AB$4)</f>
        <v>262.3</v>
      </c>
    </row>
    <row r="8" spans="1:28" x14ac:dyDescent="0.35">
      <c r="A8" t="s">
        <v>77</v>
      </c>
      <c r="B8" t="s">
        <v>78</v>
      </c>
      <c r="C8" s="15">
        <f>SUMIFS('Volume Forecast'!$E$5:$E$212,'Volume Forecast'!$B$5:$B$212,$A8,'Volume Forecast'!$A$5:$A$212,C$4)</f>
        <v>236.1</v>
      </c>
      <c r="D8" s="15">
        <f>SUMIFS('Volume Forecast'!$E$5:$E$212,'Volume Forecast'!$B$5:$B$212,$A8,'Volume Forecast'!$A$5:$A$212,D$4)</f>
        <v>239.1</v>
      </c>
      <c r="E8" s="15">
        <f>SUMIFS('Volume Forecast'!$E$5:$E$212,'Volume Forecast'!$B$5:$B$212,$A8,'Volume Forecast'!$A$5:$A$212,E$4)</f>
        <v>236.5</v>
      </c>
      <c r="F8" s="15">
        <f>SUMIFS('Volume Forecast'!$E$5:$E$212,'Volume Forecast'!$B$5:$B$212,$A8,'Volume Forecast'!$A$5:$A$212,F$4)</f>
        <v>231.2</v>
      </c>
      <c r="G8" s="15">
        <f>SUMIFS('Volume Forecast'!$E$5:$E$212,'Volume Forecast'!$B$5:$B$212,$A8,'Volume Forecast'!$A$5:$A$212,G$4)</f>
        <v>224.4</v>
      </c>
      <c r="H8" s="15">
        <f>SUMIFS('Volume Forecast'!$E$5:$E$212,'Volume Forecast'!$B$5:$B$212,$A8,'Volume Forecast'!$A$5:$A$212,H$4)</f>
        <v>217.1</v>
      </c>
      <c r="I8" s="15">
        <f>SUMIFS('Volume Forecast'!$E$5:$E$212,'Volume Forecast'!$B$5:$B$212,$A8,'Volume Forecast'!$A$5:$A$212,I$4)</f>
        <v>221.1</v>
      </c>
      <c r="J8" s="15">
        <f>SUMIFS('Volume Forecast'!$E$5:$E$212,'Volume Forecast'!$B$5:$B$212,$A8,'Volume Forecast'!$A$5:$A$212,J$4)</f>
        <v>220.4</v>
      </c>
      <c r="K8" s="15">
        <f>SUMIFS('Volume Forecast'!$E$5:$E$212,'Volume Forecast'!$B$5:$B$212,$A8,'Volume Forecast'!$A$5:$A$212,K$4)</f>
        <v>226.4</v>
      </c>
      <c r="L8" s="15">
        <f>SUMIFS('Volume Forecast'!$E$5:$E$212,'Volume Forecast'!$B$5:$B$212,$A8,'Volume Forecast'!$A$5:$A$212,L$4)</f>
        <v>232.3</v>
      </c>
      <c r="M8" s="15">
        <f>SUMIFS('Volume Forecast'!$E$5:$E$212,'Volume Forecast'!$B$5:$B$212,$A8,'Volume Forecast'!$A$5:$A$212,M$4)</f>
        <v>231.4</v>
      </c>
      <c r="N8" s="15">
        <f>SUMIFS('Volume Forecast'!$E$5:$E$212,'Volume Forecast'!$B$5:$B$212,$A8,'Volume Forecast'!$A$5:$A$212,N$4)</f>
        <v>251.9</v>
      </c>
      <c r="O8" s="15">
        <f>SUMIFS('Volume Forecast'!$E$5:$E$212,'Volume Forecast'!$B$5:$B$212,$A8,'Volume Forecast'!$A$5:$A$212,O$4)</f>
        <v>256.10000000000002</v>
      </c>
      <c r="P8" s="15">
        <f>SUMIFS('Volume Forecast'!$E$5:$E$212,'Volume Forecast'!$B$5:$B$212,$A8,'Volume Forecast'!$A$5:$A$212,P$4)</f>
        <v>267.8</v>
      </c>
      <c r="Q8" s="15">
        <f>SUMIFS('Volume Forecast'!$E$5:$E$212,'Volume Forecast'!$B$5:$B$212,$A8,'Volume Forecast'!$A$5:$A$212,Q$4)</f>
        <v>277.10000000000002</v>
      </c>
      <c r="R8" s="15">
        <f>SUMIFS('Volume Forecast'!$E$5:$E$212,'Volume Forecast'!$B$5:$B$212,$A8,'Volume Forecast'!$A$5:$A$212,R$4)</f>
        <v>300.10000000000002</v>
      </c>
      <c r="S8" s="15">
        <f>SUMIFS('Volume Forecast'!$E$5:$E$212,'Volume Forecast'!$B$5:$B$212,$A8,'Volume Forecast'!$A$5:$A$212,S$4)</f>
        <v>329.6</v>
      </c>
      <c r="T8" s="15">
        <f>SUMIFS('Volume Forecast'!$E$5:$E$212,'Volume Forecast'!$B$5:$B$212,$A8,'Volume Forecast'!$A$5:$A$212,T$4)</f>
        <v>354.7</v>
      </c>
      <c r="U8" s="15">
        <f>SUMIFS('Volume Forecast'!$E$5:$E$212,'Volume Forecast'!$B$5:$B$212,$A8,'Volume Forecast'!$A$5:$A$212,U$4)</f>
        <v>369.7</v>
      </c>
      <c r="V8" s="15">
        <f>SUMIFS('Volume Forecast'!$E$5:$E$212,'Volume Forecast'!$B$5:$B$212,$A8,'Volume Forecast'!$A$5:$A$212,V$4)</f>
        <v>376.5</v>
      </c>
      <c r="W8" s="15">
        <f>SUMIFS('Volume Forecast'!$E$5:$E$212,'Volume Forecast'!$B$5:$B$212,$A8,'Volume Forecast'!$A$5:$A$212,W$4)</f>
        <v>320</v>
      </c>
      <c r="X8" s="15">
        <f>SUMIFS('Volume Forecast'!$E$5:$E$212,'Volume Forecast'!$B$5:$B$212,$A8,'Volume Forecast'!$A$5:$A$212,X$4)</f>
        <v>278.3</v>
      </c>
      <c r="Y8" s="15">
        <f>SUMIFS('Volume Forecast'!$E$5:$E$212,'Volume Forecast'!$B$5:$B$212,$A8,'Volume Forecast'!$A$5:$A$212,Y$4)</f>
        <v>234.8</v>
      </c>
      <c r="Z8" s="15">
        <f>SUMIFS('Volume Forecast'!$E$5:$E$212,'Volume Forecast'!$B$5:$B$212,$A8,'Volume Forecast'!$A$5:$A$212,Z$4)</f>
        <v>197.7</v>
      </c>
      <c r="AA8" s="15">
        <f>SUMIFS('Volume Forecast'!$E$5:$E$212,'Volume Forecast'!$B$5:$B$212,$A8,'Volume Forecast'!$A$5:$A$212,AA$4)</f>
        <v>192.6</v>
      </c>
      <c r="AB8" s="15">
        <f>SUMIFS('Volume Forecast'!$E$5:$E$212,'Volume Forecast'!$B$5:$B$212,$A8,'Volume Forecast'!$A$5:$A$212,AB$4)</f>
        <v>203.5</v>
      </c>
    </row>
    <row r="9" spans="1:28" x14ac:dyDescent="0.35">
      <c r="A9" t="s">
        <v>80</v>
      </c>
      <c r="B9" t="s">
        <v>81</v>
      </c>
      <c r="C9" s="15">
        <f>SUMIFS('Volume Forecast'!$E$5:$E$212,'Volume Forecast'!$B$5:$B$212,$A9,'Volume Forecast'!$A$5:$A$212,C$4)</f>
        <v>314.89999999999998</v>
      </c>
      <c r="D9" s="15">
        <f>SUMIFS('Volume Forecast'!$E$5:$E$212,'Volume Forecast'!$B$5:$B$212,$A9,'Volume Forecast'!$A$5:$A$212,D$4)</f>
        <v>306.7</v>
      </c>
      <c r="E9" s="15">
        <f>SUMIFS('Volume Forecast'!$E$5:$E$212,'Volume Forecast'!$B$5:$B$212,$A9,'Volume Forecast'!$A$5:$A$212,E$4)</f>
        <v>306.2</v>
      </c>
      <c r="F9" s="15">
        <f>SUMIFS('Volume Forecast'!$E$5:$E$212,'Volume Forecast'!$B$5:$B$212,$A9,'Volume Forecast'!$A$5:$A$212,F$4)</f>
        <v>296.8</v>
      </c>
      <c r="G9" s="15">
        <f>SUMIFS('Volume Forecast'!$E$5:$E$212,'Volume Forecast'!$B$5:$B$212,$A9,'Volume Forecast'!$A$5:$A$212,G$4)</f>
        <v>281.5</v>
      </c>
      <c r="H9" s="15">
        <f>SUMIFS('Volume Forecast'!$E$5:$E$212,'Volume Forecast'!$B$5:$B$212,$A9,'Volume Forecast'!$A$5:$A$212,H$4)</f>
        <v>280.8</v>
      </c>
      <c r="I9" s="15">
        <f>SUMIFS('Volume Forecast'!$E$5:$E$212,'Volume Forecast'!$B$5:$B$212,$A9,'Volume Forecast'!$A$5:$A$212,I$4)</f>
        <v>277.60000000000002</v>
      </c>
      <c r="J9" s="15">
        <f>SUMIFS('Volume Forecast'!$E$5:$E$212,'Volume Forecast'!$B$5:$B$212,$A9,'Volume Forecast'!$A$5:$A$212,J$4)</f>
        <v>279.8</v>
      </c>
      <c r="K9" s="15">
        <f>SUMIFS('Volume Forecast'!$E$5:$E$212,'Volume Forecast'!$B$5:$B$212,$A9,'Volume Forecast'!$A$5:$A$212,K$4)</f>
        <v>280</v>
      </c>
      <c r="L9" s="15">
        <f>SUMIFS('Volume Forecast'!$E$5:$E$212,'Volume Forecast'!$B$5:$B$212,$A9,'Volume Forecast'!$A$5:$A$212,L$4)</f>
        <v>283</v>
      </c>
      <c r="M9" s="15">
        <f>SUMIFS('Volume Forecast'!$E$5:$E$212,'Volume Forecast'!$B$5:$B$212,$A9,'Volume Forecast'!$A$5:$A$212,M$4)</f>
        <v>291.8</v>
      </c>
      <c r="N9" s="15">
        <f>SUMIFS('Volume Forecast'!$E$5:$E$212,'Volume Forecast'!$B$5:$B$212,$A9,'Volume Forecast'!$A$5:$A$212,N$4)</f>
        <v>305.60000000000002</v>
      </c>
      <c r="O9" s="15">
        <f>SUMIFS('Volume Forecast'!$E$5:$E$212,'Volume Forecast'!$B$5:$B$212,$A9,'Volume Forecast'!$A$5:$A$212,O$4)</f>
        <v>326.10000000000002</v>
      </c>
      <c r="P9" s="15">
        <f>SUMIFS('Volume Forecast'!$E$5:$E$212,'Volume Forecast'!$B$5:$B$212,$A9,'Volume Forecast'!$A$5:$A$212,P$4)</f>
        <v>327.39999999999998</v>
      </c>
      <c r="Q9" s="15">
        <f>SUMIFS('Volume Forecast'!$E$5:$E$212,'Volume Forecast'!$B$5:$B$212,$A9,'Volume Forecast'!$A$5:$A$212,Q$4)</f>
        <v>344.1</v>
      </c>
      <c r="R9" s="15">
        <f>SUMIFS('Volume Forecast'!$E$5:$E$212,'Volume Forecast'!$B$5:$B$212,$A9,'Volume Forecast'!$A$5:$A$212,R$4)</f>
        <v>370.8</v>
      </c>
      <c r="S9" s="15">
        <f>SUMIFS('Volume Forecast'!$E$5:$E$212,'Volume Forecast'!$B$5:$B$212,$A9,'Volume Forecast'!$A$5:$A$212,S$4)</f>
        <v>392.8</v>
      </c>
      <c r="T9" s="15">
        <f>SUMIFS('Volume Forecast'!$E$5:$E$212,'Volume Forecast'!$B$5:$B$212,$A9,'Volume Forecast'!$A$5:$A$212,T$4)</f>
        <v>425.2</v>
      </c>
      <c r="U9" s="15">
        <f>SUMIFS('Volume Forecast'!$E$5:$E$212,'Volume Forecast'!$B$5:$B$212,$A9,'Volume Forecast'!$A$5:$A$212,U$4)</f>
        <v>455.6</v>
      </c>
      <c r="V9" s="15">
        <f>SUMIFS('Volume Forecast'!$E$5:$E$212,'Volume Forecast'!$B$5:$B$212,$A9,'Volume Forecast'!$A$5:$A$212,V$4)</f>
        <v>452.8</v>
      </c>
      <c r="W9" s="15">
        <f>SUMIFS('Volume Forecast'!$E$5:$E$212,'Volume Forecast'!$B$5:$B$212,$A9,'Volume Forecast'!$A$5:$A$212,W$4)</f>
        <v>398.8</v>
      </c>
      <c r="X9" s="15">
        <f>SUMIFS('Volume Forecast'!$E$5:$E$212,'Volume Forecast'!$B$5:$B$212,$A9,'Volume Forecast'!$A$5:$A$212,X$4)</f>
        <v>338.9</v>
      </c>
      <c r="Y9" s="15">
        <f>SUMIFS('Volume Forecast'!$E$5:$E$212,'Volume Forecast'!$B$5:$B$212,$A9,'Volume Forecast'!$A$5:$A$212,Y$4)</f>
        <v>277.8</v>
      </c>
      <c r="Z9" s="15">
        <f>SUMIFS('Volume Forecast'!$E$5:$E$212,'Volume Forecast'!$B$5:$B$212,$A9,'Volume Forecast'!$A$5:$A$212,Z$4)</f>
        <v>234.5</v>
      </c>
      <c r="AA9" s="15">
        <f>SUMIFS('Volume Forecast'!$E$5:$E$212,'Volume Forecast'!$B$5:$B$212,$A9,'Volume Forecast'!$A$5:$A$212,AA$4)</f>
        <v>237.7</v>
      </c>
      <c r="AB9" s="15">
        <f>SUMIFS('Volume Forecast'!$E$5:$E$212,'Volume Forecast'!$B$5:$B$212,$A9,'Volume Forecast'!$A$5:$A$212,AB$4)</f>
        <v>251.5</v>
      </c>
    </row>
    <row r="10" spans="1:28" x14ac:dyDescent="0.35">
      <c r="A10" t="s">
        <v>82</v>
      </c>
      <c r="B10" t="s">
        <v>83</v>
      </c>
      <c r="C10" s="15">
        <f>SUMIFS('Volume Forecast'!$E$5:$E$212,'Volume Forecast'!$B$5:$B$212,$A10,'Volume Forecast'!$A$5:$A$212,C$4)</f>
        <v>281.10000000000002</v>
      </c>
      <c r="D10" s="15">
        <f>SUMIFS('Volume Forecast'!$E$5:$E$212,'Volume Forecast'!$B$5:$B$212,$A10,'Volume Forecast'!$A$5:$A$212,D$4)</f>
        <v>288.3</v>
      </c>
      <c r="E10" s="15">
        <f>SUMIFS('Volume Forecast'!$E$5:$E$212,'Volume Forecast'!$B$5:$B$212,$A10,'Volume Forecast'!$A$5:$A$212,E$4)</f>
        <v>289.8</v>
      </c>
      <c r="F10" s="15">
        <f>SUMIFS('Volume Forecast'!$E$5:$E$212,'Volume Forecast'!$B$5:$B$212,$A10,'Volume Forecast'!$A$5:$A$212,F$4)</f>
        <v>274.7</v>
      </c>
      <c r="G10" s="15">
        <f>SUMIFS('Volume Forecast'!$E$5:$E$212,'Volume Forecast'!$B$5:$B$212,$A10,'Volume Forecast'!$A$5:$A$212,G$4)</f>
        <v>271.8</v>
      </c>
      <c r="H10" s="15">
        <f>SUMIFS('Volume Forecast'!$E$5:$E$212,'Volume Forecast'!$B$5:$B$212,$A10,'Volume Forecast'!$A$5:$A$212,H$4)</f>
        <v>261.8</v>
      </c>
      <c r="I10" s="15">
        <f>SUMIFS('Volume Forecast'!$E$5:$E$212,'Volume Forecast'!$B$5:$B$212,$A10,'Volume Forecast'!$A$5:$A$212,I$4)</f>
        <v>255.7</v>
      </c>
      <c r="J10" s="15">
        <f>SUMIFS('Volume Forecast'!$E$5:$E$212,'Volume Forecast'!$B$5:$B$212,$A10,'Volume Forecast'!$A$5:$A$212,J$4)</f>
        <v>266.7</v>
      </c>
      <c r="K10" s="15">
        <f>SUMIFS('Volume Forecast'!$E$5:$E$212,'Volume Forecast'!$B$5:$B$212,$A10,'Volume Forecast'!$A$5:$A$212,K$4)</f>
        <v>263.2</v>
      </c>
      <c r="L10" s="15">
        <f>SUMIFS('Volume Forecast'!$E$5:$E$212,'Volume Forecast'!$B$5:$B$212,$A10,'Volume Forecast'!$A$5:$A$212,L$4)</f>
        <v>266.8</v>
      </c>
      <c r="M10" s="15">
        <f>SUMIFS('Volume Forecast'!$E$5:$E$212,'Volume Forecast'!$B$5:$B$212,$A10,'Volume Forecast'!$A$5:$A$212,M$4)</f>
        <v>267.39999999999998</v>
      </c>
      <c r="N10" s="15">
        <f>SUMIFS('Volume Forecast'!$E$5:$E$212,'Volume Forecast'!$B$5:$B$212,$A10,'Volume Forecast'!$A$5:$A$212,N$4)</f>
        <v>283.39999999999998</v>
      </c>
      <c r="O10" s="15">
        <f>SUMIFS('Volume Forecast'!$E$5:$E$212,'Volume Forecast'!$B$5:$B$212,$A10,'Volume Forecast'!$A$5:$A$212,O$4)</f>
        <v>290</v>
      </c>
      <c r="P10" s="15">
        <f>SUMIFS('Volume Forecast'!$E$5:$E$212,'Volume Forecast'!$B$5:$B$212,$A10,'Volume Forecast'!$A$5:$A$212,P$4)</f>
        <v>308.10000000000002</v>
      </c>
      <c r="Q10" s="15">
        <f>SUMIFS('Volume Forecast'!$E$5:$E$212,'Volume Forecast'!$B$5:$B$212,$A10,'Volume Forecast'!$A$5:$A$212,Q$4)</f>
        <v>321.5</v>
      </c>
      <c r="R10" s="15">
        <f>SUMIFS('Volume Forecast'!$E$5:$E$212,'Volume Forecast'!$B$5:$B$212,$A10,'Volume Forecast'!$A$5:$A$212,R$4)</f>
        <v>339.2</v>
      </c>
      <c r="S10" s="15">
        <f>SUMIFS('Volume Forecast'!$E$5:$E$212,'Volume Forecast'!$B$5:$B$212,$A10,'Volume Forecast'!$A$5:$A$212,S$4)</f>
        <v>355.8</v>
      </c>
      <c r="T10" s="15">
        <f>SUMIFS('Volume Forecast'!$E$5:$E$212,'Volume Forecast'!$B$5:$B$212,$A10,'Volume Forecast'!$A$5:$A$212,T$4)</f>
        <v>399.7</v>
      </c>
      <c r="U10" s="15">
        <f>SUMIFS('Volume Forecast'!$E$5:$E$212,'Volume Forecast'!$B$5:$B$212,$A10,'Volume Forecast'!$A$5:$A$212,U$4)</f>
        <v>412.9</v>
      </c>
      <c r="V10" s="15">
        <f>SUMIFS('Volume Forecast'!$E$5:$E$212,'Volume Forecast'!$B$5:$B$212,$A10,'Volume Forecast'!$A$5:$A$212,V$4)</f>
        <v>411.2</v>
      </c>
      <c r="W10" s="15">
        <f>SUMIFS('Volume Forecast'!$E$5:$E$212,'Volume Forecast'!$B$5:$B$212,$A10,'Volume Forecast'!$A$5:$A$212,W$4)</f>
        <v>369.1</v>
      </c>
      <c r="X10" s="15">
        <f>SUMIFS('Volume Forecast'!$E$5:$E$212,'Volume Forecast'!$B$5:$B$212,$A10,'Volume Forecast'!$A$5:$A$212,X$4)</f>
        <v>312.60000000000002</v>
      </c>
      <c r="Y10" s="15">
        <f>SUMIFS('Volume Forecast'!$E$5:$E$212,'Volume Forecast'!$B$5:$B$212,$A10,'Volume Forecast'!$A$5:$A$212,Y$4)</f>
        <v>265</v>
      </c>
      <c r="Z10" s="15">
        <f>SUMIFS('Volume Forecast'!$E$5:$E$212,'Volume Forecast'!$B$5:$B$212,$A10,'Volume Forecast'!$A$5:$A$212,Z$4)</f>
        <v>214.2</v>
      </c>
      <c r="AA10" s="15">
        <f>SUMIFS('Volume Forecast'!$E$5:$E$212,'Volume Forecast'!$B$5:$B$212,$A10,'Volume Forecast'!$A$5:$A$212,AA$4)</f>
        <v>220.3</v>
      </c>
      <c r="AB10" s="15">
        <f>SUMIFS('Volume Forecast'!$E$5:$E$212,'Volume Forecast'!$B$5:$B$212,$A10,'Volume Forecast'!$A$5:$A$212,AB$4)</f>
        <v>229.9</v>
      </c>
    </row>
    <row r="11" spans="1:28" x14ac:dyDescent="0.35">
      <c r="A11" t="s">
        <v>85</v>
      </c>
      <c r="B11" t="s">
        <v>86</v>
      </c>
      <c r="C11" s="15">
        <f>SUMIFS('Volume Forecast'!$E$5:$E$212,'Volume Forecast'!$B$5:$B$212,$A11,'Volume Forecast'!$A$5:$A$212,C$4)</f>
        <v>237.9</v>
      </c>
      <c r="D11" s="15">
        <f>SUMIFS('Volume Forecast'!$E$5:$E$212,'Volume Forecast'!$B$5:$B$212,$A11,'Volume Forecast'!$A$5:$A$212,D$4)</f>
        <v>241.6</v>
      </c>
      <c r="E11" s="15">
        <f>SUMIFS('Volume Forecast'!$E$5:$E$212,'Volume Forecast'!$B$5:$B$212,$A11,'Volume Forecast'!$A$5:$A$212,E$4)</f>
        <v>237.3</v>
      </c>
      <c r="F11" s="15">
        <f>SUMIFS('Volume Forecast'!$E$5:$E$212,'Volume Forecast'!$B$5:$B$212,$A11,'Volume Forecast'!$A$5:$A$212,F$4)</f>
        <v>230.6</v>
      </c>
      <c r="G11" s="15">
        <f>SUMIFS('Volume Forecast'!$E$5:$E$212,'Volume Forecast'!$B$5:$B$212,$A11,'Volume Forecast'!$A$5:$A$212,G$4)</f>
        <v>222.1</v>
      </c>
      <c r="H11" s="15">
        <f>SUMIFS('Volume Forecast'!$E$5:$E$212,'Volume Forecast'!$B$5:$B$212,$A11,'Volume Forecast'!$A$5:$A$212,H$4)</f>
        <v>220.9</v>
      </c>
      <c r="I11" s="15">
        <f>SUMIFS('Volume Forecast'!$E$5:$E$212,'Volume Forecast'!$B$5:$B$212,$A11,'Volume Forecast'!$A$5:$A$212,I$4)</f>
        <v>219.8</v>
      </c>
      <c r="J11" s="15">
        <f>SUMIFS('Volume Forecast'!$E$5:$E$212,'Volume Forecast'!$B$5:$B$212,$A11,'Volume Forecast'!$A$5:$A$212,J$4)</f>
        <v>220</v>
      </c>
      <c r="K11" s="15">
        <f>SUMIFS('Volume Forecast'!$E$5:$E$212,'Volume Forecast'!$B$5:$B$212,$A11,'Volume Forecast'!$A$5:$A$212,K$4)</f>
        <v>221.2</v>
      </c>
      <c r="L11" s="15">
        <f>SUMIFS('Volume Forecast'!$E$5:$E$212,'Volume Forecast'!$B$5:$B$212,$A11,'Volume Forecast'!$A$5:$A$212,L$4)</f>
        <v>219.8</v>
      </c>
      <c r="M11" s="15">
        <f>SUMIFS('Volume Forecast'!$E$5:$E$212,'Volume Forecast'!$B$5:$B$212,$A11,'Volume Forecast'!$A$5:$A$212,M$4)</f>
        <v>228.6</v>
      </c>
      <c r="N11" s="15">
        <f>SUMIFS('Volume Forecast'!$E$5:$E$212,'Volume Forecast'!$B$5:$B$212,$A11,'Volume Forecast'!$A$5:$A$212,N$4)</f>
        <v>243</v>
      </c>
      <c r="O11" s="15">
        <f>SUMIFS('Volume Forecast'!$E$5:$E$212,'Volume Forecast'!$B$5:$B$212,$A11,'Volume Forecast'!$A$5:$A$212,O$4)</f>
        <v>256.60000000000002</v>
      </c>
      <c r="P11" s="15">
        <f>SUMIFS('Volume Forecast'!$E$5:$E$212,'Volume Forecast'!$B$5:$B$212,$A11,'Volume Forecast'!$A$5:$A$212,P$4)</f>
        <v>259.89999999999998</v>
      </c>
      <c r="Q11" s="15">
        <f>SUMIFS('Volume Forecast'!$E$5:$E$212,'Volume Forecast'!$B$5:$B$212,$A11,'Volume Forecast'!$A$5:$A$212,Q$4)</f>
        <v>281.10000000000002</v>
      </c>
      <c r="R11" s="15">
        <f>SUMIFS('Volume Forecast'!$E$5:$E$212,'Volume Forecast'!$B$5:$B$212,$A11,'Volume Forecast'!$A$5:$A$212,R$4)</f>
        <v>303.60000000000002</v>
      </c>
      <c r="S11" s="15">
        <f>SUMIFS('Volume Forecast'!$E$5:$E$212,'Volume Forecast'!$B$5:$B$212,$A11,'Volume Forecast'!$A$5:$A$212,S$4)</f>
        <v>324.8</v>
      </c>
      <c r="T11" s="15">
        <f>SUMIFS('Volume Forecast'!$E$5:$E$212,'Volume Forecast'!$B$5:$B$212,$A11,'Volume Forecast'!$A$5:$A$212,T$4)</f>
        <v>353.7</v>
      </c>
      <c r="U11" s="15">
        <f>SUMIFS('Volume Forecast'!$E$5:$E$212,'Volume Forecast'!$B$5:$B$212,$A11,'Volume Forecast'!$A$5:$A$212,U$4)</f>
        <v>373.2</v>
      </c>
      <c r="V11" s="15">
        <f>SUMIFS('Volume Forecast'!$E$5:$E$212,'Volume Forecast'!$B$5:$B$212,$A11,'Volume Forecast'!$A$5:$A$212,V$4)</f>
        <v>370.7</v>
      </c>
      <c r="W11" s="15">
        <f>SUMIFS('Volume Forecast'!$E$5:$E$212,'Volume Forecast'!$B$5:$B$212,$A11,'Volume Forecast'!$A$5:$A$212,W$4)</f>
        <v>332.5</v>
      </c>
      <c r="X11" s="15">
        <f>SUMIFS('Volume Forecast'!$E$5:$E$212,'Volume Forecast'!$B$5:$B$212,$A11,'Volume Forecast'!$A$5:$A$212,X$4)</f>
        <v>284.39999999999998</v>
      </c>
      <c r="Y11" s="15">
        <f>SUMIFS('Volume Forecast'!$E$5:$E$212,'Volume Forecast'!$B$5:$B$212,$A11,'Volume Forecast'!$A$5:$A$212,Y$4)</f>
        <v>231.3</v>
      </c>
      <c r="Z11" s="15">
        <f>SUMIFS('Volume Forecast'!$E$5:$E$212,'Volume Forecast'!$B$5:$B$212,$A11,'Volume Forecast'!$A$5:$A$212,Z$4)</f>
        <v>188.7</v>
      </c>
      <c r="AA11" s="15">
        <f>SUMIFS('Volume Forecast'!$E$5:$E$212,'Volume Forecast'!$B$5:$B$212,$A11,'Volume Forecast'!$A$5:$A$212,AA$4)</f>
        <v>195.3</v>
      </c>
      <c r="AB11" s="15">
        <f>SUMIFS('Volume Forecast'!$E$5:$E$212,'Volume Forecast'!$B$5:$B$212,$A11,'Volume Forecast'!$A$5:$A$212,AB$4)</f>
        <v>207.9</v>
      </c>
    </row>
    <row r="12" spans="1:28" x14ac:dyDescent="0.35">
      <c r="A12" t="s">
        <v>87</v>
      </c>
      <c r="B12" t="s">
        <v>88</v>
      </c>
      <c r="C12" s="15">
        <f>SUMIFS('Volume Forecast'!$E$5:$E$212,'Volume Forecast'!$B$5:$B$212,$A12,'Volume Forecast'!$A$5:$A$212,C$4)</f>
        <v>228.8</v>
      </c>
      <c r="D12" s="15">
        <f>SUMIFS('Volume Forecast'!$E$5:$E$212,'Volume Forecast'!$B$5:$B$212,$A12,'Volume Forecast'!$A$5:$A$212,D$4)</f>
        <v>226.1</v>
      </c>
      <c r="E12" s="15">
        <f>SUMIFS('Volume Forecast'!$E$5:$E$212,'Volume Forecast'!$B$5:$B$212,$A12,'Volume Forecast'!$A$5:$A$212,E$4)</f>
        <v>218.8</v>
      </c>
      <c r="F12" s="15">
        <f>SUMIFS('Volume Forecast'!$E$5:$E$212,'Volume Forecast'!$B$5:$B$212,$A12,'Volume Forecast'!$A$5:$A$212,F$4)</f>
        <v>221.8</v>
      </c>
      <c r="G12" s="15">
        <f>SUMIFS('Volume Forecast'!$E$5:$E$212,'Volume Forecast'!$B$5:$B$212,$A12,'Volume Forecast'!$A$5:$A$212,G$4)</f>
        <v>211.7</v>
      </c>
      <c r="H12" s="15">
        <f>SUMIFS('Volume Forecast'!$E$5:$E$212,'Volume Forecast'!$B$5:$B$212,$A12,'Volume Forecast'!$A$5:$A$212,H$4)</f>
        <v>206.3</v>
      </c>
      <c r="I12" s="15">
        <f>SUMIFS('Volume Forecast'!$E$5:$E$212,'Volume Forecast'!$B$5:$B$212,$A12,'Volume Forecast'!$A$5:$A$212,I$4)</f>
        <v>202.3</v>
      </c>
      <c r="J12" s="15">
        <f>SUMIFS('Volume Forecast'!$E$5:$E$212,'Volume Forecast'!$B$5:$B$212,$A12,'Volume Forecast'!$A$5:$A$212,J$4)</f>
        <v>204.6</v>
      </c>
      <c r="K12" s="15">
        <f>SUMIFS('Volume Forecast'!$E$5:$E$212,'Volume Forecast'!$B$5:$B$212,$A12,'Volume Forecast'!$A$5:$A$212,K$4)</f>
        <v>206</v>
      </c>
      <c r="L12" s="15">
        <f>SUMIFS('Volume Forecast'!$E$5:$E$212,'Volume Forecast'!$B$5:$B$212,$A12,'Volume Forecast'!$A$5:$A$212,L$4)</f>
        <v>209.8</v>
      </c>
      <c r="M12" s="15">
        <f>SUMIFS('Volume Forecast'!$E$5:$E$212,'Volume Forecast'!$B$5:$B$212,$A12,'Volume Forecast'!$A$5:$A$212,M$4)</f>
        <v>209.3</v>
      </c>
      <c r="N12" s="15">
        <f>SUMIFS('Volume Forecast'!$E$5:$E$212,'Volume Forecast'!$B$5:$B$212,$A12,'Volume Forecast'!$A$5:$A$212,N$4)</f>
        <v>221.8</v>
      </c>
      <c r="O12" s="15">
        <f>SUMIFS('Volume Forecast'!$E$5:$E$212,'Volume Forecast'!$B$5:$B$212,$A12,'Volume Forecast'!$A$5:$A$212,O$4)</f>
        <v>231.9</v>
      </c>
      <c r="P12" s="15">
        <f>SUMIFS('Volume Forecast'!$E$5:$E$212,'Volume Forecast'!$B$5:$B$212,$A12,'Volume Forecast'!$A$5:$A$212,P$4)</f>
        <v>237.7</v>
      </c>
      <c r="Q12" s="15">
        <f>SUMIFS('Volume Forecast'!$E$5:$E$212,'Volume Forecast'!$B$5:$B$212,$A12,'Volume Forecast'!$A$5:$A$212,Q$4)</f>
        <v>254.1</v>
      </c>
      <c r="R12" s="15">
        <f>SUMIFS('Volume Forecast'!$E$5:$E$212,'Volume Forecast'!$B$5:$B$212,$A12,'Volume Forecast'!$A$5:$A$212,R$4)</f>
        <v>283.5</v>
      </c>
      <c r="S12" s="15">
        <f>SUMIFS('Volume Forecast'!$E$5:$E$212,'Volume Forecast'!$B$5:$B$212,$A12,'Volume Forecast'!$A$5:$A$212,S$4)</f>
        <v>289.5</v>
      </c>
      <c r="T12" s="15">
        <f>SUMIFS('Volume Forecast'!$E$5:$E$212,'Volume Forecast'!$B$5:$B$212,$A12,'Volume Forecast'!$A$5:$A$212,T$4)</f>
        <v>323.8</v>
      </c>
      <c r="U12" s="15">
        <f>SUMIFS('Volume Forecast'!$E$5:$E$212,'Volume Forecast'!$B$5:$B$212,$A12,'Volume Forecast'!$A$5:$A$212,U$4)</f>
        <v>336.5</v>
      </c>
      <c r="V12" s="15">
        <f>SUMIFS('Volume Forecast'!$E$5:$E$212,'Volume Forecast'!$B$5:$B$212,$A12,'Volume Forecast'!$A$5:$A$212,V$4)</f>
        <v>330.3</v>
      </c>
      <c r="W12" s="15">
        <f>SUMIFS('Volume Forecast'!$E$5:$E$212,'Volume Forecast'!$B$5:$B$212,$A12,'Volume Forecast'!$A$5:$A$212,W$4)</f>
        <v>291.89999999999998</v>
      </c>
      <c r="X12" s="15">
        <f>SUMIFS('Volume Forecast'!$E$5:$E$212,'Volume Forecast'!$B$5:$B$212,$A12,'Volume Forecast'!$A$5:$A$212,X$4)</f>
        <v>246.4</v>
      </c>
      <c r="Y12" s="15">
        <f>SUMIFS('Volume Forecast'!$E$5:$E$212,'Volume Forecast'!$B$5:$B$212,$A12,'Volume Forecast'!$A$5:$A$212,Y$4)</f>
        <v>204.4</v>
      </c>
      <c r="Z12" s="15">
        <f>SUMIFS('Volume Forecast'!$E$5:$E$212,'Volume Forecast'!$B$5:$B$212,$A12,'Volume Forecast'!$A$5:$A$212,Z$4)</f>
        <v>172.2</v>
      </c>
      <c r="AA12" s="15">
        <f>SUMIFS('Volume Forecast'!$E$5:$E$212,'Volume Forecast'!$B$5:$B$212,$A12,'Volume Forecast'!$A$5:$A$212,AA$4)</f>
        <v>176.7</v>
      </c>
      <c r="AB12" s="15">
        <f>SUMIFS('Volume Forecast'!$E$5:$E$212,'Volume Forecast'!$B$5:$B$212,$A12,'Volume Forecast'!$A$5:$A$212,AB$4)</f>
        <v>184.9</v>
      </c>
    </row>
    <row r="13" spans="1:28" x14ac:dyDescent="0.35">
      <c r="A13" s="3" t="s">
        <v>106</v>
      </c>
      <c r="C13" s="21">
        <f t="shared" ref="C13:AB13" si="0">SUM(C5:C12)</f>
        <v>2118.1</v>
      </c>
      <c r="D13" s="21">
        <f t="shared" si="0"/>
        <v>2134.4</v>
      </c>
      <c r="E13" s="21">
        <f t="shared" si="0"/>
        <v>2100.3000000000002</v>
      </c>
      <c r="F13" s="21">
        <f t="shared" si="0"/>
        <v>2054.1</v>
      </c>
      <c r="G13" s="21">
        <f t="shared" si="0"/>
        <v>1988.3999999999999</v>
      </c>
      <c r="H13" s="21">
        <f t="shared" si="0"/>
        <v>1943.4</v>
      </c>
      <c r="I13" s="21">
        <f t="shared" si="0"/>
        <v>1912</v>
      </c>
      <c r="J13" s="21">
        <f t="shared" si="0"/>
        <v>1946.3</v>
      </c>
      <c r="K13" s="21">
        <f t="shared" si="0"/>
        <v>1952.5</v>
      </c>
      <c r="L13" s="21">
        <f t="shared" si="0"/>
        <v>1962.6</v>
      </c>
      <c r="M13" s="21">
        <f t="shared" si="0"/>
        <v>2006.3</v>
      </c>
      <c r="N13" s="21">
        <f t="shared" si="0"/>
        <v>2110.9000000000005</v>
      </c>
      <c r="O13" s="21">
        <f t="shared" si="0"/>
        <v>2209.9</v>
      </c>
      <c r="P13" s="21">
        <f t="shared" si="0"/>
        <v>2281.1999999999998</v>
      </c>
      <c r="Q13" s="21">
        <f t="shared" si="0"/>
        <v>2398.5</v>
      </c>
      <c r="R13" s="21">
        <f t="shared" si="0"/>
        <v>2601.7999999999997</v>
      </c>
      <c r="S13" s="21">
        <f t="shared" si="0"/>
        <v>2758.6</v>
      </c>
      <c r="T13" s="21">
        <f t="shared" si="0"/>
        <v>2988</v>
      </c>
      <c r="U13" s="21">
        <f t="shared" si="0"/>
        <v>3152.2</v>
      </c>
      <c r="V13" s="21">
        <f t="shared" si="0"/>
        <v>3138.3</v>
      </c>
      <c r="W13" s="21">
        <f t="shared" si="0"/>
        <v>2761.1000000000004</v>
      </c>
      <c r="X13" s="21">
        <f t="shared" si="0"/>
        <v>2358.3000000000002</v>
      </c>
      <c r="Y13" s="21">
        <f t="shared" si="0"/>
        <v>1978.7</v>
      </c>
      <c r="Z13" s="21">
        <f t="shared" si="0"/>
        <v>1634.0000000000002</v>
      </c>
      <c r="AA13" s="21">
        <f t="shared" si="0"/>
        <v>1645.3999999999999</v>
      </c>
      <c r="AB13" s="21">
        <f t="shared" si="0"/>
        <v>1733.7000000000003</v>
      </c>
    </row>
  </sheetData>
  <conditionalFormatting sqref="C5:AB12">
    <cfRule type="colorScale" priority="1">
      <colorScale>
        <cfvo type="min"/>
        <cfvo type="max"/>
        <color rgb="FFFCFCFB"/>
        <color rgb="FF3987E5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0"/>
  <sheetViews>
    <sheetView workbookViewId="0"/>
  </sheetViews>
  <sheetFormatPr defaultRowHeight="14.5" x14ac:dyDescent="0.35"/>
  <cols>
    <col min="1" max="1" width="12" customWidth="1"/>
    <col min="2" max="2" width="14" customWidth="1"/>
    <col min="3" max="3" width="9" customWidth="1"/>
    <col min="4" max="9" width="12" customWidth="1"/>
    <col min="10" max="28" width="9" customWidth="1"/>
  </cols>
  <sheetData>
    <row r="1" spans="1:28" ht="21" x14ac:dyDescent="0.5">
      <c r="A1" s="1" t="s">
        <v>46</v>
      </c>
    </row>
    <row r="2" spans="1:28" x14ac:dyDescent="0.35">
      <c r="A2" s="2" t="s">
        <v>107</v>
      </c>
    </row>
    <row r="4" spans="1:28" ht="15.5" x14ac:dyDescent="0.35">
      <c r="A4" s="11" t="s">
        <v>108</v>
      </c>
    </row>
    <row r="5" spans="1:28" ht="30" customHeight="1" x14ac:dyDescent="0.35">
      <c r="A5" s="12" t="s">
        <v>109</v>
      </c>
      <c r="B5" s="12" t="s">
        <v>110</v>
      </c>
      <c r="C5" s="12" t="s">
        <v>91</v>
      </c>
      <c r="D5" s="12" t="s">
        <v>103</v>
      </c>
      <c r="E5" s="12" t="s">
        <v>111</v>
      </c>
      <c r="F5" s="12" t="s">
        <v>112</v>
      </c>
      <c r="G5" s="12" t="s">
        <v>113</v>
      </c>
      <c r="H5" s="12" t="s">
        <v>114</v>
      </c>
      <c r="I5" s="12" t="s">
        <v>115</v>
      </c>
    </row>
    <row r="6" spans="1:28" x14ac:dyDescent="0.35">
      <c r="A6" t="s">
        <v>72</v>
      </c>
      <c r="B6" t="s">
        <v>92</v>
      </c>
      <c r="C6">
        <v>2</v>
      </c>
      <c r="D6">
        <v>30</v>
      </c>
      <c r="E6" s="14">
        <v>26.76923076923077</v>
      </c>
      <c r="F6">
        <v>39</v>
      </c>
      <c r="G6">
        <v>6</v>
      </c>
      <c r="H6">
        <v>9</v>
      </c>
      <c r="I6" s="13">
        <v>46361</v>
      </c>
    </row>
    <row r="7" spans="1:28" x14ac:dyDescent="0.35">
      <c r="A7" t="s">
        <v>76</v>
      </c>
      <c r="B7" t="s">
        <v>93</v>
      </c>
      <c r="C7">
        <v>2</v>
      </c>
      <c r="D7">
        <v>31</v>
      </c>
      <c r="E7" s="14">
        <v>30.30769230769231</v>
      </c>
      <c r="F7">
        <v>43</v>
      </c>
      <c r="G7">
        <v>10</v>
      </c>
      <c r="H7">
        <v>12</v>
      </c>
      <c r="I7" s="13">
        <v>46361</v>
      </c>
    </row>
    <row r="8" spans="1:28" x14ac:dyDescent="0.35">
      <c r="A8" t="s">
        <v>79</v>
      </c>
      <c r="B8" t="s">
        <v>94</v>
      </c>
      <c r="C8">
        <v>2</v>
      </c>
      <c r="D8">
        <v>32</v>
      </c>
      <c r="E8" s="14">
        <v>30.15384615384615</v>
      </c>
      <c r="F8">
        <v>43</v>
      </c>
      <c r="G8">
        <v>8</v>
      </c>
      <c r="H8">
        <v>11</v>
      </c>
      <c r="I8" s="13">
        <v>46361</v>
      </c>
    </row>
    <row r="9" spans="1:28" x14ac:dyDescent="0.35">
      <c r="A9" t="s">
        <v>84</v>
      </c>
      <c r="B9" t="s">
        <v>95</v>
      </c>
      <c r="C9">
        <v>2</v>
      </c>
      <c r="D9">
        <v>30</v>
      </c>
      <c r="E9" s="14">
        <v>29.03846153846154</v>
      </c>
      <c r="F9">
        <v>42</v>
      </c>
      <c r="G9">
        <v>10</v>
      </c>
      <c r="H9">
        <v>12</v>
      </c>
      <c r="I9" s="13">
        <v>46361</v>
      </c>
    </row>
    <row r="11" spans="1:28" ht="15.5" x14ac:dyDescent="0.35">
      <c r="A11" s="11" t="s">
        <v>116</v>
      </c>
    </row>
    <row r="12" spans="1:28" ht="30" customHeight="1" x14ac:dyDescent="0.35">
      <c r="A12" s="12" t="s">
        <v>5</v>
      </c>
      <c r="B12" s="12" t="s">
        <v>90</v>
      </c>
      <c r="C12" s="22">
        <v>46235</v>
      </c>
      <c r="D12" s="22">
        <v>46242</v>
      </c>
      <c r="E12" s="22">
        <v>46249</v>
      </c>
      <c r="F12" s="22">
        <v>46256</v>
      </c>
      <c r="G12" s="22">
        <v>46263</v>
      </c>
      <c r="H12" s="22">
        <v>46270</v>
      </c>
      <c r="I12" s="22">
        <v>46277</v>
      </c>
      <c r="J12" s="22">
        <v>46284</v>
      </c>
      <c r="K12" s="22">
        <v>46291</v>
      </c>
      <c r="L12" s="22">
        <v>46298</v>
      </c>
      <c r="M12" s="22">
        <v>46305</v>
      </c>
      <c r="N12" s="22">
        <v>46312</v>
      </c>
      <c r="O12" s="22">
        <v>46319</v>
      </c>
      <c r="P12" s="22">
        <v>46326</v>
      </c>
      <c r="Q12" s="22">
        <v>46333</v>
      </c>
      <c r="R12" s="22">
        <v>46340</v>
      </c>
      <c r="S12" s="22">
        <v>46347</v>
      </c>
      <c r="T12" s="22">
        <v>46354</v>
      </c>
      <c r="U12" s="22">
        <v>46361</v>
      </c>
      <c r="V12" s="22">
        <v>46368</v>
      </c>
      <c r="W12" s="22">
        <v>46375</v>
      </c>
      <c r="X12" s="22">
        <v>46382</v>
      </c>
      <c r="Y12" s="22">
        <v>46389</v>
      </c>
      <c r="Z12" s="22">
        <v>46396</v>
      </c>
      <c r="AA12" s="22">
        <v>46403</v>
      </c>
      <c r="AB12" s="22">
        <v>46410</v>
      </c>
    </row>
    <row r="13" spans="1:28" x14ac:dyDescent="0.35">
      <c r="A13" t="s">
        <v>72</v>
      </c>
      <c r="B13" t="s">
        <v>92</v>
      </c>
      <c r="C13">
        <f>SUMIFS('Volume Forecast'!$M$5:$M$212,'Volume Forecast'!$D$5:$D$212,$A13,'Volume Forecast'!$A$5:$A$212,C$12)</f>
        <v>0</v>
      </c>
      <c r="D13">
        <f>SUMIFS('Volume Forecast'!$M$5:$M$212,'Volume Forecast'!$D$5:$D$212,$A13,'Volume Forecast'!$A$5:$A$212,D$12)</f>
        <v>0</v>
      </c>
      <c r="E13">
        <f>SUMIFS('Volume Forecast'!$M$5:$M$212,'Volume Forecast'!$D$5:$D$212,$A13,'Volume Forecast'!$A$5:$A$212,E$12)</f>
        <v>0</v>
      </c>
      <c r="F13">
        <f>SUMIFS('Volume Forecast'!$M$5:$M$212,'Volume Forecast'!$D$5:$D$212,$A13,'Volume Forecast'!$A$5:$A$212,F$12)</f>
        <v>0</v>
      </c>
      <c r="G13">
        <f>SUMIFS('Volume Forecast'!$M$5:$M$212,'Volume Forecast'!$D$5:$D$212,$A13,'Volume Forecast'!$A$5:$A$212,G$12)</f>
        <v>0</v>
      </c>
      <c r="H13">
        <f>SUMIFS('Volume Forecast'!$M$5:$M$212,'Volume Forecast'!$D$5:$D$212,$A13,'Volume Forecast'!$A$5:$A$212,H$12)</f>
        <v>0</v>
      </c>
      <c r="I13">
        <f>SUMIFS('Volume Forecast'!$M$5:$M$212,'Volume Forecast'!$D$5:$D$212,$A13,'Volume Forecast'!$A$5:$A$212,I$12)</f>
        <v>0</v>
      </c>
      <c r="J13">
        <f>SUMIFS('Volume Forecast'!$M$5:$M$212,'Volume Forecast'!$D$5:$D$212,$A13,'Volume Forecast'!$A$5:$A$212,J$12)</f>
        <v>0</v>
      </c>
      <c r="K13">
        <f>SUMIFS('Volume Forecast'!$M$5:$M$212,'Volume Forecast'!$D$5:$D$212,$A13,'Volume Forecast'!$A$5:$A$212,K$12)</f>
        <v>0</v>
      </c>
      <c r="L13">
        <f>SUMIFS('Volume Forecast'!$M$5:$M$212,'Volume Forecast'!$D$5:$D$212,$A13,'Volume Forecast'!$A$5:$A$212,L$12)</f>
        <v>0</v>
      </c>
      <c r="M13">
        <f>SUMIFS('Volume Forecast'!$M$5:$M$212,'Volume Forecast'!$D$5:$D$212,$A13,'Volume Forecast'!$A$5:$A$212,M$12)</f>
        <v>0</v>
      </c>
      <c r="N13">
        <f>SUMIFS('Volume Forecast'!$M$5:$M$212,'Volume Forecast'!$D$5:$D$212,$A13,'Volume Forecast'!$A$5:$A$212,N$12)</f>
        <v>0</v>
      </c>
      <c r="O13">
        <f>SUMIFS('Volume Forecast'!$M$5:$M$212,'Volume Forecast'!$D$5:$D$212,$A13,'Volume Forecast'!$A$5:$A$212,O$12)</f>
        <v>0</v>
      </c>
      <c r="P13">
        <f>SUMIFS('Volume Forecast'!$M$5:$M$212,'Volume Forecast'!$D$5:$D$212,$A13,'Volume Forecast'!$A$5:$A$212,P$12)</f>
        <v>0</v>
      </c>
      <c r="Q13">
        <f>SUMIFS('Volume Forecast'!$M$5:$M$212,'Volume Forecast'!$D$5:$D$212,$A13,'Volume Forecast'!$A$5:$A$212,Q$12)</f>
        <v>0</v>
      </c>
      <c r="R13">
        <f>SUMIFS('Volume Forecast'!$M$5:$M$212,'Volume Forecast'!$D$5:$D$212,$A13,'Volume Forecast'!$A$5:$A$212,R$12)</f>
        <v>2</v>
      </c>
      <c r="S13">
        <f>SUMIFS('Volume Forecast'!$M$5:$M$212,'Volume Forecast'!$D$5:$D$212,$A13,'Volume Forecast'!$A$5:$A$212,S$12)</f>
        <v>4</v>
      </c>
      <c r="T13">
        <f>SUMIFS('Volume Forecast'!$M$5:$M$212,'Volume Forecast'!$D$5:$D$212,$A13,'Volume Forecast'!$A$5:$A$212,T$12)</f>
        <v>7</v>
      </c>
      <c r="U13">
        <f>SUMIFS('Volume Forecast'!$M$5:$M$212,'Volume Forecast'!$D$5:$D$212,$A13,'Volume Forecast'!$A$5:$A$212,U$12)</f>
        <v>9</v>
      </c>
      <c r="V13">
        <f>SUMIFS('Volume Forecast'!$M$5:$M$212,'Volume Forecast'!$D$5:$D$212,$A13,'Volume Forecast'!$A$5:$A$212,V$12)</f>
        <v>8</v>
      </c>
      <c r="W13">
        <f>SUMIFS('Volume Forecast'!$M$5:$M$212,'Volume Forecast'!$D$5:$D$212,$A13,'Volume Forecast'!$A$5:$A$212,W$12)</f>
        <v>3</v>
      </c>
      <c r="X13">
        <f>SUMIFS('Volume Forecast'!$M$5:$M$212,'Volume Forecast'!$D$5:$D$212,$A13,'Volume Forecast'!$A$5:$A$212,X$12)</f>
        <v>0</v>
      </c>
      <c r="Y13">
        <f>SUMIFS('Volume Forecast'!$M$5:$M$212,'Volume Forecast'!$D$5:$D$212,$A13,'Volume Forecast'!$A$5:$A$212,Y$12)</f>
        <v>0</v>
      </c>
      <c r="Z13">
        <f>SUMIFS('Volume Forecast'!$M$5:$M$212,'Volume Forecast'!$D$5:$D$212,$A13,'Volume Forecast'!$A$5:$A$212,Z$12)</f>
        <v>0</v>
      </c>
      <c r="AA13">
        <f>SUMIFS('Volume Forecast'!$M$5:$M$212,'Volume Forecast'!$D$5:$D$212,$A13,'Volume Forecast'!$A$5:$A$212,AA$12)</f>
        <v>0</v>
      </c>
      <c r="AB13">
        <f>SUMIFS('Volume Forecast'!$M$5:$M$212,'Volume Forecast'!$D$5:$D$212,$A13,'Volume Forecast'!$A$5:$A$212,AB$12)</f>
        <v>0</v>
      </c>
    </row>
    <row r="14" spans="1:28" x14ac:dyDescent="0.35">
      <c r="A14" t="s">
        <v>76</v>
      </c>
      <c r="B14" t="s">
        <v>93</v>
      </c>
      <c r="C14">
        <f>SUMIFS('Volume Forecast'!$M$5:$M$212,'Volume Forecast'!$D$5:$D$212,$A14,'Volume Forecast'!$A$5:$A$212,C$12)</f>
        <v>0</v>
      </c>
      <c r="D14">
        <f>SUMIFS('Volume Forecast'!$M$5:$M$212,'Volume Forecast'!$D$5:$D$212,$A14,'Volume Forecast'!$A$5:$A$212,D$12)</f>
        <v>0</v>
      </c>
      <c r="E14">
        <f>SUMIFS('Volume Forecast'!$M$5:$M$212,'Volume Forecast'!$D$5:$D$212,$A14,'Volume Forecast'!$A$5:$A$212,E$12)</f>
        <v>0</v>
      </c>
      <c r="F14">
        <f>SUMIFS('Volume Forecast'!$M$5:$M$212,'Volume Forecast'!$D$5:$D$212,$A14,'Volume Forecast'!$A$5:$A$212,F$12)</f>
        <v>0</v>
      </c>
      <c r="G14">
        <f>SUMIFS('Volume Forecast'!$M$5:$M$212,'Volume Forecast'!$D$5:$D$212,$A14,'Volume Forecast'!$A$5:$A$212,G$12)</f>
        <v>0</v>
      </c>
      <c r="H14">
        <f>SUMIFS('Volume Forecast'!$M$5:$M$212,'Volume Forecast'!$D$5:$D$212,$A14,'Volume Forecast'!$A$5:$A$212,H$12)</f>
        <v>0</v>
      </c>
      <c r="I14">
        <f>SUMIFS('Volume Forecast'!$M$5:$M$212,'Volume Forecast'!$D$5:$D$212,$A14,'Volume Forecast'!$A$5:$A$212,I$12)</f>
        <v>0</v>
      </c>
      <c r="J14">
        <f>SUMIFS('Volume Forecast'!$M$5:$M$212,'Volume Forecast'!$D$5:$D$212,$A14,'Volume Forecast'!$A$5:$A$212,J$12)</f>
        <v>0</v>
      </c>
      <c r="K14">
        <f>SUMIFS('Volume Forecast'!$M$5:$M$212,'Volume Forecast'!$D$5:$D$212,$A14,'Volume Forecast'!$A$5:$A$212,K$12)</f>
        <v>0</v>
      </c>
      <c r="L14">
        <f>SUMIFS('Volume Forecast'!$M$5:$M$212,'Volume Forecast'!$D$5:$D$212,$A14,'Volume Forecast'!$A$5:$A$212,L$12)</f>
        <v>0</v>
      </c>
      <c r="M14">
        <f>SUMIFS('Volume Forecast'!$M$5:$M$212,'Volume Forecast'!$D$5:$D$212,$A14,'Volume Forecast'!$A$5:$A$212,M$12)</f>
        <v>0</v>
      </c>
      <c r="N14">
        <f>SUMIFS('Volume Forecast'!$M$5:$M$212,'Volume Forecast'!$D$5:$D$212,$A14,'Volume Forecast'!$A$5:$A$212,N$12)</f>
        <v>0</v>
      </c>
      <c r="O14">
        <f>SUMIFS('Volume Forecast'!$M$5:$M$212,'Volume Forecast'!$D$5:$D$212,$A14,'Volume Forecast'!$A$5:$A$212,O$12)</f>
        <v>1</v>
      </c>
      <c r="P14">
        <f>SUMIFS('Volume Forecast'!$M$5:$M$212,'Volume Forecast'!$D$5:$D$212,$A14,'Volume Forecast'!$A$5:$A$212,P$12)</f>
        <v>1</v>
      </c>
      <c r="Q14">
        <f>SUMIFS('Volume Forecast'!$M$5:$M$212,'Volume Forecast'!$D$5:$D$212,$A14,'Volume Forecast'!$A$5:$A$212,Q$12)</f>
        <v>2</v>
      </c>
      <c r="R14">
        <f>SUMIFS('Volume Forecast'!$M$5:$M$212,'Volume Forecast'!$D$5:$D$212,$A14,'Volume Forecast'!$A$5:$A$212,R$12)</f>
        <v>5</v>
      </c>
      <c r="S14">
        <f>SUMIFS('Volume Forecast'!$M$5:$M$212,'Volume Forecast'!$D$5:$D$212,$A14,'Volume Forecast'!$A$5:$A$212,S$12)</f>
        <v>7</v>
      </c>
      <c r="T14">
        <f>SUMIFS('Volume Forecast'!$M$5:$M$212,'Volume Forecast'!$D$5:$D$212,$A14,'Volume Forecast'!$A$5:$A$212,T$12)</f>
        <v>10</v>
      </c>
      <c r="U14">
        <f>SUMIFS('Volume Forecast'!$M$5:$M$212,'Volume Forecast'!$D$5:$D$212,$A14,'Volume Forecast'!$A$5:$A$212,U$12)</f>
        <v>12</v>
      </c>
      <c r="V14">
        <f>SUMIFS('Volume Forecast'!$M$5:$M$212,'Volume Forecast'!$D$5:$D$212,$A14,'Volume Forecast'!$A$5:$A$212,V$12)</f>
        <v>12</v>
      </c>
      <c r="W14">
        <f>SUMIFS('Volume Forecast'!$M$5:$M$212,'Volume Forecast'!$D$5:$D$212,$A14,'Volume Forecast'!$A$5:$A$212,W$12)</f>
        <v>7</v>
      </c>
      <c r="X14">
        <f>SUMIFS('Volume Forecast'!$M$5:$M$212,'Volume Forecast'!$D$5:$D$212,$A14,'Volume Forecast'!$A$5:$A$212,X$12)</f>
        <v>1</v>
      </c>
      <c r="Y14">
        <f>SUMIFS('Volume Forecast'!$M$5:$M$212,'Volume Forecast'!$D$5:$D$212,$A14,'Volume Forecast'!$A$5:$A$212,Y$12)</f>
        <v>0</v>
      </c>
      <c r="Z14">
        <f>SUMIFS('Volume Forecast'!$M$5:$M$212,'Volume Forecast'!$D$5:$D$212,$A14,'Volume Forecast'!$A$5:$A$212,Z$12)</f>
        <v>0</v>
      </c>
      <c r="AA14">
        <f>SUMIFS('Volume Forecast'!$M$5:$M$212,'Volume Forecast'!$D$5:$D$212,$A14,'Volume Forecast'!$A$5:$A$212,AA$12)</f>
        <v>0</v>
      </c>
      <c r="AB14">
        <f>SUMIFS('Volume Forecast'!$M$5:$M$212,'Volume Forecast'!$D$5:$D$212,$A14,'Volume Forecast'!$A$5:$A$212,AB$12)</f>
        <v>0</v>
      </c>
    </row>
    <row r="15" spans="1:28" x14ac:dyDescent="0.35">
      <c r="A15" t="s">
        <v>79</v>
      </c>
      <c r="B15" t="s">
        <v>94</v>
      </c>
      <c r="C15">
        <f>SUMIFS('Volume Forecast'!$M$5:$M$212,'Volume Forecast'!$D$5:$D$212,$A15,'Volume Forecast'!$A$5:$A$212,C$12)</f>
        <v>0</v>
      </c>
      <c r="D15">
        <f>SUMIFS('Volume Forecast'!$M$5:$M$212,'Volume Forecast'!$D$5:$D$212,$A15,'Volume Forecast'!$A$5:$A$212,D$12)</f>
        <v>0</v>
      </c>
      <c r="E15">
        <f>SUMIFS('Volume Forecast'!$M$5:$M$212,'Volume Forecast'!$D$5:$D$212,$A15,'Volume Forecast'!$A$5:$A$212,E$12)</f>
        <v>0</v>
      </c>
      <c r="F15">
        <f>SUMIFS('Volume Forecast'!$M$5:$M$212,'Volume Forecast'!$D$5:$D$212,$A15,'Volume Forecast'!$A$5:$A$212,F$12)</f>
        <v>0</v>
      </c>
      <c r="G15">
        <f>SUMIFS('Volume Forecast'!$M$5:$M$212,'Volume Forecast'!$D$5:$D$212,$A15,'Volume Forecast'!$A$5:$A$212,G$12)</f>
        <v>0</v>
      </c>
      <c r="H15">
        <f>SUMIFS('Volume Forecast'!$M$5:$M$212,'Volume Forecast'!$D$5:$D$212,$A15,'Volume Forecast'!$A$5:$A$212,H$12)</f>
        <v>0</v>
      </c>
      <c r="I15">
        <f>SUMIFS('Volume Forecast'!$M$5:$M$212,'Volume Forecast'!$D$5:$D$212,$A15,'Volume Forecast'!$A$5:$A$212,I$12)</f>
        <v>0</v>
      </c>
      <c r="J15">
        <f>SUMIFS('Volume Forecast'!$M$5:$M$212,'Volume Forecast'!$D$5:$D$212,$A15,'Volume Forecast'!$A$5:$A$212,J$12)</f>
        <v>0</v>
      </c>
      <c r="K15">
        <f>SUMIFS('Volume Forecast'!$M$5:$M$212,'Volume Forecast'!$D$5:$D$212,$A15,'Volume Forecast'!$A$5:$A$212,K$12)</f>
        <v>0</v>
      </c>
      <c r="L15">
        <f>SUMIFS('Volume Forecast'!$M$5:$M$212,'Volume Forecast'!$D$5:$D$212,$A15,'Volume Forecast'!$A$5:$A$212,L$12)</f>
        <v>0</v>
      </c>
      <c r="M15">
        <f>SUMIFS('Volume Forecast'!$M$5:$M$212,'Volume Forecast'!$D$5:$D$212,$A15,'Volume Forecast'!$A$5:$A$212,M$12)</f>
        <v>0</v>
      </c>
      <c r="N15">
        <f>SUMIFS('Volume Forecast'!$M$5:$M$212,'Volume Forecast'!$D$5:$D$212,$A15,'Volume Forecast'!$A$5:$A$212,N$12)</f>
        <v>0</v>
      </c>
      <c r="O15">
        <f>SUMIFS('Volume Forecast'!$M$5:$M$212,'Volume Forecast'!$D$5:$D$212,$A15,'Volume Forecast'!$A$5:$A$212,O$12)</f>
        <v>0</v>
      </c>
      <c r="P15">
        <f>SUMIFS('Volume Forecast'!$M$5:$M$212,'Volume Forecast'!$D$5:$D$212,$A15,'Volume Forecast'!$A$5:$A$212,P$12)</f>
        <v>0</v>
      </c>
      <c r="Q15">
        <f>SUMIFS('Volume Forecast'!$M$5:$M$212,'Volume Forecast'!$D$5:$D$212,$A15,'Volume Forecast'!$A$5:$A$212,Q$12)</f>
        <v>1</v>
      </c>
      <c r="R15">
        <f>SUMIFS('Volume Forecast'!$M$5:$M$212,'Volume Forecast'!$D$5:$D$212,$A15,'Volume Forecast'!$A$5:$A$212,R$12)</f>
        <v>3</v>
      </c>
      <c r="S15">
        <f>SUMIFS('Volume Forecast'!$M$5:$M$212,'Volume Forecast'!$D$5:$D$212,$A15,'Volume Forecast'!$A$5:$A$212,S$12)</f>
        <v>6</v>
      </c>
      <c r="T15">
        <f>SUMIFS('Volume Forecast'!$M$5:$M$212,'Volume Forecast'!$D$5:$D$212,$A15,'Volume Forecast'!$A$5:$A$212,T$12)</f>
        <v>9</v>
      </c>
      <c r="U15">
        <f>SUMIFS('Volume Forecast'!$M$5:$M$212,'Volume Forecast'!$D$5:$D$212,$A15,'Volume Forecast'!$A$5:$A$212,U$12)</f>
        <v>11</v>
      </c>
      <c r="V15">
        <f>SUMIFS('Volume Forecast'!$M$5:$M$212,'Volume Forecast'!$D$5:$D$212,$A15,'Volume Forecast'!$A$5:$A$212,V$12)</f>
        <v>11</v>
      </c>
      <c r="W15">
        <f>SUMIFS('Volume Forecast'!$M$5:$M$212,'Volume Forecast'!$D$5:$D$212,$A15,'Volume Forecast'!$A$5:$A$212,W$12)</f>
        <v>6</v>
      </c>
      <c r="X15">
        <f>SUMIFS('Volume Forecast'!$M$5:$M$212,'Volume Forecast'!$D$5:$D$212,$A15,'Volume Forecast'!$A$5:$A$212,X$12)</f>
        <v>1</v>
      </c>
      <c r="Y15">
        <f>SUMIFS('Volume Forecast'!$M$5:$M$212,'Volume Forecast'!$D$5:$D$212,$A15,'Volume Forecast'!$A$5:$A$212,Y$12)</f>
        <v>0</v>
      </c>
      <c r="Z15">
        <f>SUMIFS('Volume Forecast'!$M$5:$M$212,'Volume Forecast'!$D$5:$D$212,$A15,'Volume Forecast'!$A$5:$A$212,Z$12)</f>
        <v>0</v>
      </c>
      <c r="AA15">
        <f>SUMIFS('Volume Forecast'!$M$5:$M$212,'Volume Forecast'!$D$5:$D$212,$A15,'Volume Forecast'!$A$5:$A$212,AA$12)</f>
        <v>0</v>
      </c>
      <c r="AB15">
        <f>SUMIFS('Volume Forecast'!$M$5:$M$212,'Volume Forecast'!$D$5:$D$212,$A15,'Volume Forecast'!$A$5:$A$212,AB$12)</f>
        <v>0</v>
      </c>
    </row>
    <row r="16" spans="1:28" x14ac:dyDescent="0.35">
      <c r="A16" t="s">
        <v>84</v>
      </c>
      <c r="B16" t="s">
        <v>95</v>
      </c>
      <c r="C16">
        <f>SUMIFS('Volume Forecast'!$M$5:$M$212,'Volume Forecast'!$D$5:$D$212,$A16,'Volume Forecast'!$A$5:$A$212,C$12)</f>
        <v>0</v>
      </c>
      <c r="D16">
        <f>SUMIFS('Volume Forecast'!$M$5:$M$212,'Volume Forecast'!$D$5:$D$212,$A16,'Volume Forecast'!$A$5:$A$212,D$12)</f>
        <v>0</v>
      </c>
      <c r="E16">
        <f>SUMIFS('Volume Forecast'!$M$5:$M$212,'Volume Forecast'!$D$5:$D$212,$A16,'Volume Forecast'!$A$5:$A$212,E$12)</f>
        <v>0</v>
      </c>
      <c r="F16">
        <f>SUMIFS('Volume Forecast'!$M$5:$M$212,'Volume Forecast'!$D$5:$D$212,$A16,'Volume Forecast'!$A$5:$A$212,F$12)</f>
        <v>0</v>
      </c>
      <c r="G16">
        <f>SUMIFS('Volume Forecast'!$M$5:$M$212,'Volume Forecast'!$D$5:$D$212,$A16,'Volume Forecast'!$A$5:$A$212,G$12)</f>
        <v>0</v>
      </c>
      <c r="H16">
        <f>SUMIFS('Volume Forecast'!$M$5:$M$212,'Volume Forecast'!$D$5:$D$212,$A16,'Volume Forecast'!$A$5:$A$212,H$12)</f>
        <v>0</v>
      </c>
      <c r="I16">
        <f>SUMIFS('Volume Forecast'!$M$5:$M$212,'Volume Forecast'!$D$5:$D$212,$A16,'Volume Forecast'!$A$5:$A$212,I$12)</f>
        <v>0</v>
      </c>
      <c r="J16">
        <f>SUMIFS('Volume Forecast'!$M$5:$M$212,'Volume Forecast'!$D$5:$D$212,$A16,'Volume Forecast'!$A$5:$A$212,J$12)</f>
        <v>0</v>
      </c>
      <c r="K16">
        <f>SUMIFS('Volume Forecast'!$M$5:$M$212,'Volume Forecast'!$D$5:$D$212,$A16,'Volume Forecast'!$A$5:$A$212,K$12)</f>
        <v>0</v>
      </c>
      <c r="L16">
        <f>SUMIFS('Volume Forecast'!$M$5:$M$212,'Volume Forecast'!$D$5:$D$212,$A16,'Volume Forecast'!$A$5:$A$212,L$12)</f>
        <v>0</v>
      </c>
      <c r="M16">
        <f>SUMIFS('Volume Forecast'!$M$5:$M$212,'Volume Forecast'!$D$5:$D$212,$A16,'Volume Forecast'!$A$5:$A$212,M$12)</f>
        <v>0</v>
      </c>
      <c r="N16">
        <f>SUMIFS('Volume Forecast'!$M$5:$M$212,'Volume Forecast'!$D$5:$D$212,$A16,'Volume Forecast'!$A$5:$A$212,N$12)</f>
        <v>0</v>
      </c>
      <c r="O16">
        <f>SUMIFS('Volume Forecast'!$M$5:$M$212,'Volume Forecast'!$D$5:$D$212,$A16,'Volume Forecast'!$A$5:$A$212,O$12)</f>
        <v>1</v>
      </c>
      <c r="P16">
        <f>SUMIFS('Volume Forecast'!$M$5:$M$212,'Volume Forecast'!$D$5:$D$212,$A16,'Volume Forecast'!$A$5:$A$212,P$12)</f>
        <v>1</v>
      </c>
      <c r="Q16">
        <f>SUMIFS('Volume Forecast'!$M$5:$M$212,'Volume Forecast'!$D$5:$D$212,$A16,'Volume Forecast'!$A$5:$A$212,Q$12)</f>
        <v>2</v>
      </c>
      <c r="R16">
        <f>SUMIFS('Volume Forecast'!$M$5:$M$212,'Volume Forecast'!$D$5:$D$212,$A16,'Volume Forecast'!$A$5:$A$212,R$12)</f>
        <v>4</v>
      </c>
      <c r="S16">
        <f>SUMIFS('Volume Forecast'!$M$5:$M$212,'Volume Forecast'!$D$5:$D$212,$A16,'Volume Forecast'!$A$5:$A$212,S$12)</f>
        <v>6</v>
      </c>
      <c r="T16">
        <f>SUMIFS('Volume Forecast'!$M$5:$M$212,'Volume Forecast'!$D$5:$D$212,$A16,'Volume Forecast'!$A$5:$A$212,T$12)</f>
        <v>10</v>
      </c>
      <c r="U16">
        <f>SUMIFS('Volume Forecast'!$M$5:$M$212,'Volume Forecast'!$D$5:$D$212,$A16,'Volume Forecast'!$A$5:$A$212,U$12)</f>
        <v>12</v>
      </c>
      <c r="V16">
        <f>SUMIFS('Volume Forecast'!$M$5:$M$212,'Volume Forecast'!$D$5:$D$212,$A16,'Volume Forecast'!$A$5:$A$212,V$12)</f>
        <v>12</v>
      </c>
      <c r="W16">
        <f>SUMIFS('Volume Forecast'!$M$5:$M$212,'Volume Forecast'!$D$5:$D$212,$A16,'Volume Forecast'!$A$5:$A$212,W$12)</f>
        <v>7</v>
      </c>
      <c r="X16">
        <f>SUMIFS('Volume Forecast'!$M$5:$M$212,'Volume Forecast'!$D$5:$D$212,$A16,'Volume Forecast'!$A$5:$A$212,X$12)</f>
        <v>2</v>
      </c>
      <c r="Y16">
        <f>SUMIFS('Volume Forecast'!$M$5:$M$212,'Volume Forecast'!$D$5:$D$212,$A16,'Volume Forecast'!$A$5:$A$212,Y$12)</f>
        <v>0</v>
      </c>
      <c r="Z16">
        <f>SUMIFS('Volume Forecast'!$M$5:$M$212,'Volume Forecast'!$D$5:$D$212,$A16,'Volume Forecast'!$A$5:$A$212,Z$12)</f>
        <v>0</v>
      </c>
      <c r="AA16">
        <f>SUMIFS('Volume Forecast'!$M$5:$M$212,'Volume Forecast'!$D$5:$D$212,$A16,'Volume Forecast'!$A$5:$A$212,AA$12)</f>
        <v>0</v>
      </c>
      <c r="AB16">
        <f>SUMIFS('Volume Forecast'!$M$5:$M$212,'Volume Forecast'!$D$5:$D$212,$A16,'Volume Forecast'!$A$5:$A$212,AB$12)</f>
        <v>0</v>
      </c>
    </row>
    <row r="18" spans="1:1" ht="15.5" x14ac:dyDescent="0.35">
      <c r="A18" s="11" t="s">
        <v>117</v>
      </c>
    </row>
    <row r="19" spans="1:1" x14ac:dyDescent="0.35">
      <c r="A19" t="s">
        <v>118</v>
      </c>
    </row>
    <row r="20" spans="1:1" x14ac:dyDescent="0.35">
      <c r="A20" t="s">
        <v>119</v>
      </c>
    </row>
    <row r="21" spans="1:1" x14ac:dyDescent="0.35">
      <c r="A21" s="3" t="s">
        <v>120</v>
      </c>
    </row>
    <row r="22" spans="1:1" x14ac:dyDescent="0.35">
      <c r="A22" t="s">
        <v>121</v>
      </c>
    </row>
    <row r="23" spans="1:1" x14ac:dyDescent="0.35">
      <c r="A23" t="s">
        <v>122</v>
      </c>
    </row>
    <row r="24" spans="1:1" x14ac:dyDescent="0.35">
      <c r="A24" t="s">
        <v>123</v>
      </c>
    </row>
    <row r="25" spans="1:1" x14ac:dyDescent="0.35">
      <c r="A25" t="s">
        <v>124</v>
      </c>
    </row>
    <row r="26" spans="1:1" x14ac:dyDescent="0.35">
      <c r="A26" s="3" t="s">
        <v>125</v>
      </c>
    </row>
    <row r="27" spans="1:1" x14ac:dyDescent="0.35">
      <c r="A27" t="s">
        <v>126</v>
      </c>
    </row>
    <row r="28" spans="1:1" x14ac:dyDescent="0.35">
      <c r="A28" t="s">
        <v>127</v>
      </c>
    </row>
    <row r="29" spans="1:1" x14ac:dyDescent="0.35">
      <c r="A29" t="s">
        <v>128</v>
      </c>
    </row>
    <row r="30" spans="1:1" x14ac:dyDescent="0.35">
      <c r="A30" t="s">
        <v>129</v>
      </c>
    </row>
    <row r="31" spans="1:1" x14ac:dyDescent="0.35">
      <c r="A31" s="3" t="s">
        <v>130</v>
      </c>
    </row>
    <row r="32" spans="1:1" x14ac:dyDescent="0.35">
      <c r="A32" t="s">
        <v>131</v>
      </c>
    </row>
    <row r="33" spans="1:1" x14ac:dyDescent="0.35">
      <c r="A33" t="s">
        <v>132</v>
      </c>
    </row>
    <row r="34" spans="1:1" x14ac:dyDescent="0.35">
      <c r="A34" t="s">
        <v>133</v>
      </c>
    </row>
    <row r="35" spans="1:1" x14ac:dyDescent="0.35">
      <c r="A35" t="s">
        <v>134</v>
      </c>
    </row>
    <row r="36" spans="1:1" x14ac:dyDescent="0.35">
      <c r="A36" s="3" t="s">
        <v>135</v>
      </c>
    </row>
    <row r="37" spans="1:1" x14ac:dyDescent="0.35">
      <c r="A37" t="s">
        <v>121</v>
      </c>
    </row>
    <row r="38" spans="1:1" x14ac:dyDescent="0.35">
      <c r="A38" t="s">
        <v>136</v>
      </c>
    </row>
    <row r="39" spans="1:1" x14ac:dyDescent="0.35">
      <c r="A39" t="s">
        <v>137</v>
      </c>
    </row>
    <row r="40" spans="1:1" x14ac:dyDescent="0.35">
      <c r="A40" t="s">
        <v>129</v>
      </c>
    </row>
  </sheetData>
  <conditionalFormatting sqref="C13:AB16">
    <cfRule type="cellIs" dxfId="5" priority="1" operator="greater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" customWidth="1"/>
    <col min="2" max="2" width="10" customWidth="1"/>
    <col min="3" max="3" width="12" customWidth="1"/>
    <col min="4" max="5" width="9" customWidth="1"/>
    <col min="6" max="6" width="13" customWidth="1"/>
    <col min="7" max="7" width="9" customWidth="1"/>
    <col min="8" max="8" width="13" customWidth="1"/>
    <col min="9" max="12" width="10" customWidth="1"/>
    <col min="13" max="15" width="11" customWidth="1"/>
    <col min="16" max="16" width="20" customWidth="1"/>
  </cols>
  <sheetData>
    <row r="1" spans="1:16" ht="21" x14ac:dyDescent="0.5">
      <c r="A1" s="1" t="s">
        <v>138</v>
      </c>
    </row>
    <row r="2" spans="1:16" x14ac:dyDescent="0.35">
      <c r="A2" s="2" t="s">
        <v>139</v>
      </c>
    </row>
    <row r="3" spans="1:16" x14ac:dyDescent="0.35">
      <c r="H3" t="s">
        <v>140</v>
      </c>
      <c r="I3" s="23">
        <v>46235</v>
      </c>
      <c r="J3" s="23">
        <v>46242</v>
      </c>
      <c r="K3" s="23">
        <v>46249</v>
      </c>
      <c r="L3" s="23">
        <v>46256</v>
      </c>
    </row>
    <row r="4" spans="1:16" ht="30" customHeight="1" x14ac:dyDescent="0.35">
      <c r="A4" s="12" t="s">
        <v>141</v>
      </c>
      <c r="B4" s="12" t="s">
        <v>2</v>
      </c>
      <c r="C4" s="12" t="s">
        <v>142</v>
      </c>
      <c r="D4" s="12" t="s">
        <v>5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147</v>
      </c>
      <c r="J4" s="12" t="s">
        <v>148</v>
      </c>
      <c r="K4" s="12" t="s">
        <v>149</v>
      </c>
      <c r="L4" s="12" t="s">
        <v>150</v>
      </c>
      <c r="M4" s="12" t="s">
        <v>151</v>
      </c>
      <c r="N4" s="12" t="s">
        <v>152</v>
      </c>
      <c r="O4" s="12" t="s">
        <v>153</v>
      </c>
      <c r="P4" s="12" t="s">
        <v>154</v>
      </c>
    </row>
    <row r="5" spans="1:16" x14ac:dyDescent="0.35">
      <c r="A5" t="s">
        <v>155</v>
      </c>
      <c r="B5" t="s">
        <v>70</v>
      </c>
      <c r="C5" t="s">
        <v>71</v>
      </c>
      <c r="D5" t="str">
        <f>INDEX('Pool Points'!$E:$E,MATCH(B5,'Pool Points'!$A:$A,0))</f>
        <v>CARR-A</v>
      </c>
      <c r="E5" t="s">
        <v>156</v>
      </c>
      <c r="F5" t="s">
        <v>157</v>
      </c>
      <c r="G5">
        <v>7</v>
      </c>
      <c r="H5" s="13">
        <v>42005</v>
      </c>
      <c r="I5" s="14">
        <f>SUMIFS('Store Forecast'!$D$5:$D$3540,'Store Forecast'!$C$5:$C$3540,$A5,'Store Forecast'!$A$5:$A$3540,I$3)</f>
        <v>25.8</v>
      </c>
      <c r="J5" s="14">
        <f>SUMIFS('Store Forecast'!$D$5:$D$3540,'Store Forecast'!$C$5:$C$3540,$A5,'Store Forecast'!$A$5:$A$3540,J$3)</f>
        <v>27.2</v>
      </c>
      <c r="K5" s="14">
        <f>SUMIFS('Store Forecast'!$D$5:$D$3540,'Store Forecast'!$C$5:$C$3540,$A5,'Store Forecast'!$A$5:$A$3540,K$3)</f>
        <v>25.4</v>
      </c>
      <c r="L5" s="14">
        <f>SUMIFS('Store Forecast'!$D$5:$D$3540,'Store Forecast'!$C$5:$C$3540,$A5,'Store Forecast'!$A$5:$A$3540,L$3)</f>
        <v>25.3</v>
      </c>
      <c r="M5" s="14">
        <v>38.9</v>
      </c>
      <c r="N5">
        <v>28</v>
      </c>
      <c r="O5">
        <v>11</v>
      </c>
      <c r="P5" t="str">
        <f t="shared" ref="P5:P36" si="0">IF(H5&gt;AsOfDate,"Opens "&amp;TEXT(H5,"mmm d"),IF(O5&gt;0,"Backlog in peak week","On plan"))</f>
        <v>Backlog in peak week</v>
      </c>
    </row>
    <row r="6" spans="1:16" x14ac:dyDescent="0.35">
      <c r="A6" t="s">
        <v>158</v>
      </c>
      <c r="B6" t="s">
        <v>70</v>
      </c>
      <c r="C6" t="s">
        <v>71</v>
      </c>
      <c r="D6" t="str">
        <f>INDEX('Pool Points'!$E:$E,MATCH(B6,'Pool Points'!$A:$A,0))</f>
        <v>CARR-A</v>
      </c>
      <c r="E6" t="s">
        <v>156</v>
      </c>
      <c r="F6" t="s">
        <v>157</v>
      </c>
      <c r="G6">
        <v>13</v>
      </c>
      <c r="H6" s="13">
        <v>42005</v>
      </c>
      <c r="I6" s="14">
        <f>SUMIFS('Store Forecast'!$D$5:$D$3540,'Store Forecast'!$C$5:$C$3540,$A6,'Store Forecast'!$A$5:$A$3540,I$3)</f>
        <v>22.3</v>
      </c>
      <c r="J6" s="14">
        <f>SUMIFS('Store Forecast'!$D$5:$D$3540,'Store Forecast'!$C$5:$C$3540,$A6,'Store Forecast'!$A$5:$A$3540,J$3)</f>
        <v>23.5</v>
      </c>
      <c r="K6" s="14">
        <f>SUMIFS('Store Forecast'!$D$5:$D$3540,'Store Forecast'!$C$5:$C$3540,$A6,'Store Forecast'!$A$5:$A$3540,K$3)</f>
        <v>22</v>
      </c>
      <c r="L6" s="14">
        <f>SUMIFS('Store Forecast'!$D$5:$D$3540,'Store Forecast'!$C$5:$C$3540,$A6,'Store Forecast'!$A$5:$A$3540,L$3)</f>
        <v>21.9</v>
      </c>
      <c r="M6" s="14">
        <v>33.6</v>
      </c>
      <c r="N6">
        <v>34</v>
      </c>
      <c r="O6">
        <v>0</v>
      </c>
      <c r="P6" t="str">
        <f t="shared" si="0"/>
        <v>On plan</v>
      </c>
    </row>
    <row r="7" spans="1:16" x14ac:dyDescent="0.35">
      <c r="A7" t="s">
        <v>159</v>
      </c>
      <c r="B7" t="s">
        <v>70</v>
      </c>
      <c r="C7" t="s">
        <v>71</v>
      </c>
      <c r="D7" t="str">
        <f>INDEX('Pool Points'!$E:$E,MATCH(B7,'Pool Points'!$A:$A,0))</f>
        <v>CARR-A</v>
      </c>
      <c r="E7" t="s">
        <v>160</v>
      </c>
      <c r="F7" t="s">
        <v>161</v>
      </c>
      <c r="G7">
        <v>14</v>
      </c>
      <c r="H7" s="13">
        <v>42005</v>
      </c>
      <c r="I7" s="14">
        <f>SUMIFS('Store Forecast'!$D$5:$D$3540,'Store Forecast'!$C$5:$C$3540,$A7,'Store Forecast'!$A$5:$A$3540,I$3)</f>
        <v>17</v>
      </c>
      <c r="J7" s="14">
        <f>SUMIFS('Store Forecast'!$D$5:$D$3540,'Store Forecast'!$C$5:$C$3540,$A7,'Store Forecast'!$A$5:$A$3540,J$3)</f>
        <v>17.899999999999999</v>
      </c>
      <c r="K7" s="14">
        <f>SUMIFS('Store Forecast'!$D$5:$D$3540,'Store Forecast'!$C$5:$C$3540,$A7,'Store Forecast'!$A$5:$A$3540,K$3)</f>
        <v>16.7</v>
      </c>
      <c r="L7" s="14">
        <f>SUMIFS('Store Forecast'!$D$5:$D$3540,'Store Forecast'!$C$5:$C$3540,$A7,'Store Forecast'!$A$5:$A$3540,L$3)</f>
        <v>16.7</v>
      </c>
      <c r="M7" s="14">
        <v>25.6</v>
      </c>
      <c r="N7">
        <v>26</v>
      </c>
      <c r="O7">
        <v>0</v>
      </c>
      <c r="P7" t="str">
        <f t="shared" si="0"/>
        <v>On plan</v>
      </c>
    </row>
    <row r="8" spans="1:16" x14ac:dyDescent="0.35">
      <c r="A8" t="s">
        <v>162</v>
      </c>
      <c r="B8" t="s">
        <v>70</v>
      </c>
      <c r="C8" t="s">
        <v>71</v>
      </c>
      <c r="D8" t="str">
        <f>INDEX('Pool Points'!$E:$E,MATCH(B8,'Pool Points'!$A:$A,0))</f>
        <v>CARR-A</v>
      </c>
      <c r="E8" t="s">
        <v>156</v>
      </c>
      <c r="F8" t="s">
        <v>163</v>
      </c>
      <c r="G8">
        <v>13</v>
      </c>
      <c r="H8" s="13">
        <v>42005</v>
      </c>
      <c r="I8" s="14">
        <f>SUMIFS('Store Forecast'!$D$5:$D$3540,'Store Forecast'!$C$5:$C$3540,$A8,'Store Forecast'!$A$5:$A$3540,I$3)</f>
        <v>24.4</v>
      </c>
      <c r="J8" s="14">
        <f>SUMIFS('Store Forecast'!$D$5:$D$3540,'Store Forecast'!$C$5:$C$3540,$A8,'Store Forecast'!$A$5:$A$3540,J$3)</f>
        <v>25.7</v>
      </c>
      <c r="K8" s="14">
        <f>SUMIFS('Store Forecast'!$D$5:$D$3540,'Store Forecast'!$C$5:$C$3540,$A8,'Store Forecast'!$A$5:$A$3540,K$3)</f>
        <v>24</v>
      </c>
      <c r="L8" s="14">
        <f>SUMIFS('Store Forecast'!$D$5:$D$3540,'Store Forecast'!$C$5:$C$3540,$A8,'Store Forecast'!$A$5:$A$3540,L$3)</f>
        <v>23.9</v>
      </c>
      <c r="M8" s="14">
        <v>36.799999999999997</v>
      </c>
      <c r="N8">
        <v>37</v>
      </c>
      <c r="O8">
        <v>0</v>
      </c>
      <c r="P8" t="str">
        <f t="shared" si="0"/>
        <v>On plan</v>
      </c>
    </row>
    <row r="9" spans="1:16" x14ac:dyDescent="0.35">
      <c r="A9" t="s">
        <v>164</v>
      </c>
      <c r="B9" t="s">
        <v>70</v>
      </c>
      <c r="C9" t="s">
        <v>71</v>
      </c>
      <c r="D9" t="str">
        <f>INDEX('Pool Points'!$E:$E,MATCH(B9,'Pool Points'!$A:$A,0))</f>
        <v>CARR-A</v>
      </c>
      <c r="E9" t="s">
        <v>165</v>
      </c>
      <c r="F9" t="s">
        <v>166</v>
      </c>
      <c r="G9">
        <v>9</v>
      </c>
      <c r="H9" s="13">
        <v>42005</v>
      </c>
      <c r="I9" s="14">
        <f>SUMIFS('Store Forecast'!$D$5:$D$3540,'Store Forecast'!$C$5:$C$3540,$A9,'Store Forecast'!$A$5:$A$3540,I$3)</f>
        <v>10.7</v>
      </c>
      <c r="J9" s="14">
        <f>SUMIFS('Store Forecast'!$D$5:$D$3540,'Store Forecast'!$C$5:$C$3540,$A9,'Store Forecast'!$A$5:$A$3540,J$3)</f>
        <v>11.2</v>
      </c>
      <c r="K9" s="14">
        <f>SUMIFS('Store Forecast'!$D$5:$D$3540,'Store Forecast'!$C$5:$C$3540,$A9,'Store Forecast'!$A$5:$A$3540,K$3)</f>
        <v>10.5</v>
      </c>
      <c r="L9" s="14">
        <f>SUMIFS('Store Forecast'!$D$5:$D$3540,'Store Forecast'!$C$5:$C$3540,$A9,'Store Forecast'!$A$5:$A$3540,L$3)</f>
        <v>10.5</v>
      </c>
      <c r="M9" s="14">
        <v>16.100000000000001</v>
      </c>
      <c r="N9">
        <v>16</v>
      </c>
      <c r="O9">
        <v>0</v>
      </c>
      <c r="P9" t="str">
        <f t="shared" si="0"/>
        <v>On plan</v>
      </c>
    </row>
    <row r="10" spans="1:16" x14ac:dyDescent="0.35">
      <c r="A10" t="s">
        <v>167</v>
      </c>
      <c r="B10" t="s">
        <v>70</v>
      </c>
      <c r="C10" t="s">
        <v>71</v>
      </c>
      <c r="D10" t="str">
        <f>INDEX('Pool Points'!$E:$E,MATCH(B10,'Pool Points'!$A:$A,0))</f>
        <v>CARR-A</v>
      </c>
      <c r="E10" t="s">
        <v>160</v>
      </c>
      <c r="F10" t="s">
        <v>168</v>
      </c>
      <c r="G10">
        <v>12</v>
      </c>
      <c r="H10" s="13">
        <v>42005</v>
      </c>
      <c r="I10" s="14">
        <f>SUMIFS('Store Forecast'!$D$5:$D$3540,'Store Forecast'!$C$5:$C$3540,$A10,'Store Forecast'!$A$5:$A$3540,I$3)</f>
        <v>13.7</v>
      </c>
      <c r="J10" s="14">
        <f>SUMIFS('Store Forecast'!$D$5:$D$3540,'Store Forecast'!$C$5:$C$3540,$A10,'Store Forecast'!$A$5:$A$3540,J$3)</f>
        <v>14.4</v>
      </c>
      <c r="K10" s="14">
        <f>SUMIFS('Store Forecast'!$D$5:$D$3540,'Store Forecast'!$C$5:$C$3540,$A10,'Store Forecast'!$A$5:$A$3540,K$3)</f>
        <v>13.4</v>
      </c>
      <c r="L10" s="14">
        <f>SUMIFS('Store Forecast'!$D$5:$D$3540,'Store Forecast'!$C$5:$C$3540,$A10,'Store Forecast'!$A$5:$A$3540,L$3)</f>
        <v>13.4</v>
      </c>
      <c r="M10" s="14">
        <v>20.6</v>
      </c>
      <c r="N10">
        <v>21</v>
      </c>
      <c r="O10">
        <v>0</v>
      </c>
      <c r="P10" t="str">
        <f t="shared" si="0"/>
        <v>On plan</v>
      </c>
    </row>
    <row r="11" spans="1:16" x14ac:dyDescent="0.35">
      <c r="A11" t="s">
        <v>169</v>
      </c>
      <c r="B11" t="s">
        <v>70</v>
      </c>
      <c r="C11" t="s">
        <v>71</v>
      </c>
      <c r="D11" t="str">
        <f>INDEX('Pool Points'!$E:$E,MATCH(B11,'Pool Points'!$A:$A,0))</f>
        <v>CARR-A</v>
      </c>
      <c r="E11" t="s">
        <v>165</v>
      </c>
      <c r="F11" t="s">
        <v>161</v>
      </c>
      <c r="G11">
        <v>9</v>
      </c>
      <c r="H11" s="13">
        <v>42005</v>
      </c>
      <c r="I11" s="14">
        <f>SUMIFS('Store Forecast'!$D$5:$D$3540,'Store Forecast'!$C$5:$C$3540,$A11,'Store Forecast'!$A$5:$A$3540,I$3)</f>
        <v>10.3</v>
      </c>
      <c r="J11" s="14">
        <f>SUMIFS('Store Forecast'!$D$5:$D$3540,'Store Forecast'!$C$5:$C$3540,$A11,'Store Forecast'!$A$5:$A$3540,J$3)</f>
        <v>10.8</v>
      </c>
      <c r="K11" s="14">
        <f>SUMIFS('Store Forecast'!$D$5:$D$3540,'Store Forecast'!$C$5:$C$3540,$A11,'Store Forecast'!$A$5:$A$3540,K$3)</f>
        <v>10.1</v>
      </c>
      <c r="L11" s="14">
        <f>SUMIFS('Store Forecast'!$D$5:$D$3540,'Store Forecast'!$C$5:$C$3540,$A11,'Store Forecast'!$A$5:$A$3540,L$3)</f>
        <v>10.1</v>
      </c>
      <c r="M11" s="14">
        <v>15.5</v>
      </c>
      <c r="N11">
        <v>16</v>
      </c>
      <c r="O11">
        <v>0</v>
      </c>
      <c r="P11" t="str">
        <f t="shared" si="0"/>
        <v>On plan</v>
      </c>
    </row>
    <row r="12" spans="1:16" x14ac:dyDescent="0.35">
      <c r="A12" t="s">
        <v>170</v>
      </c>
      <c r="B12" t="s">
        <v>70</v>
      </c>
      <c r="C12" t="s">
        <v>71</v>
      </c>
      <c r="D12" t="str">
        <f>INDEX('Pool Points'!$E:$E,MATCH(B12,'Pool Points'!$A:$A,0))</f>
        <v>CARR-A</v>
      </c>
      <c r="E12" t="s">
        <v>160</v>
      </c>
      <c r="F12" t="s">
        <v>166</v>
      </c>
      <c r="G12">
        <v>17</v>
      </c>
      <c r="H12" s="13">
        <v>45556</v>
      </c>
      <c r="I12" s="14">
        <f>SUMIFS('Store Forecast'!$D$5:$D$3540,'Store Forecast'!$C$5:$C$3540,$A12,'Store Forecast'!$A$5:$A$3540,I$3)</f>
        <v>20.2</v>
      </c>
      <c r="J12" s="14">
        <f>SUMIFS('Store Forecast'!$D$5:$D$3540,'Store Forecast'!$C$5:$C$3540,$A12,'Store Forecast'!$A$5:$A$3540,J$3)</f>
        <v>21.2</v>
      </c>
      <c r="K12" s="14">
        <f>SUMIFS('Store Forecast'!$D$5:$D$3540,'Store Forecast'!$C$5:$C$3540,$A12,'Store Forecast'!$A$5:$A$3540,K$3)</f>
        <v>19.8</v>
      </c>
      <c r="L12" s="14">
        <f>SUMIFS('Store Forecast'!$D$5:$D$3540,'Store Forecast'!$C$5:$C$3540,$A12,'Store Forecast'!$A$5:$A$3540,L$3)</f>
        <v>19.8</v>
      </c>
      <c r="M12" s="14">
        <v>30.4</v>
      </c>
      <c r="N12">
        <v>30</v>
      </c>
      <c r="O12">
        <v>0</v>
      </c>
      <c r="P12" t="str">
        <f t="shared" si="0"/>
        <v>On plan</v>
      </c>
    </row>
    <row r="13" spans="1:16" x14ac:dyDescent="0.35">
      <c r="A13" t="s">
        <v>171</v>
      </c>
      <c r="B13" t="s">
        <v>70</v>
      </c>
      <c r="C13" t="s">
        <v>71</v>
      </c>
      <c r="D13" t="str">
        <f>INDEX('Pool Points'!$E:$E,MATCH(B13,'Pool Points'!$A:$A,0))</f>
        <v>CARR-A</v>
      </c>
      <c r="E13" t="s">
        <v>160</v>
      </c>
      <c r="F13" t="s">
        <v>163</v>
      </c>
      <c r="G13">
        <v>9</v>
      </c>
      <c r="H13" s="13">
        <v>42005</v>
      </c>
      <c r="I13" s="14">
        <f>SUMIFS('Store Forecast'!$D$5:$D$3540,'Store Forecast'!$C$5:$C$3540,$A13,'Store Forecast'!$A$5:$A$3540,I$3)</f>
        <v>16</v>
      </c>
      <c r="J13" s="14">
        <f>SUMIFS('Store Forecast'!$D$5:$D$3540,'Store Forecast'!$C$5:$C$3540,$A13,'Store Forecast'!$A$5:$A$3540,J$3)</f>
        <v>16.8</v>
      </c>
      <c r="K13" s="14">
        <f>SUMIFS('Store Forecast'!$D$5:$D$3540,'Store Forecast'!$C$5:$C$3540,$A13,'Store Forecast'!$A$5:$A$3540,K$3)</f>
        <v>15.7</v>
      </c>
      <c r="L13" s="14">
        <f>SUMIFS('Store Forecast'!$D$5:$D$3540,'Store Forecast'!$C$5:$C$3540,$A13,'Store Forecast'!$A$5:$A$3540,L$3)</f>
        <v>15.7</v>
      </c>
      <c r="M13" s="14">
        <v>24.1</v>
      </c>
      <c r="N13">
        <v>24</v>
      </c>
      <c r="O13">
        <v>0</v>
      </c>
      <c r="P13" t="str">
        <f t="shared" si="0"/>
        <v>On plan</v>
      </c>
    </row>
    <row r="14" spans="1:16" x14ac:dyDescent="0.35">
      <c r="A14" t="s">
        <v>172</v>
      </c>
      <c r="B14" t="s">
        <v>70</v>
      </c>
      <c r="C14" t="s">
        <v>71</v>
      </c>
      <c r="D14" t="str">
        <f>INDEX('Pool Points'!$E:$E,MATCH(B14,'Pool Points'!$A:$A,0))</f>
        <v>CARR-A</v>
      </c>
      <c r="E14" t="s">
        <v>165</v>
      </c>
      <c r="F14" t="s">
        <v>166</v>
      </c>
      <c r="G14">
        <v>9</v>
      </c>
      <c r="H14" s="13">
        <v>42005</v>
      </c>
      <c r="I14" s="14">
        <f>SUMIFS('Store Forecast'!$D$5:$D$3540,'Store Forecast'!$C$5:$C$3540,$A14,'Store Forecast'!$A$5:$A$3540,I$3)</f>
        <v>10.3</v>
      </c>
      <c r="J14" s="14">
        <f>SUMIFS('Store Forecast'!$D$5:$D$3540,'Store Forecast'!$C$5:$C$3540,$A14,'Store Forecast'!$A$5:$A$3540,J$3)</f>
        <v>10.9</v>
      </c>
      <c r="K14" s="14">
        <f>SUMIFS('Store Forecast'!$D$5:$D$3540,'Store Forecast'!$C$5:$C$3540,$A14,'Store Forecast'!$A$5:$A$3540,K$3)</f>
        <v>10.199999999999999</v>
      </c>
      <c r="L14" s="14">
        <f>SUMIFS('Store Forecast'!$D$5:$D$3540,'Store Forecast'!$C$5:$C$3540,$A14,'Store Forecast'!$A$5:$A$3540,L$3)</f>
        <v>10.199999999999999</v>
      </c>
      <c r="M14" s="14">
        <v>15.6</v>
      </c>
      <c r="N14">
        <v>16</v>
      </c>
      <c r="O14">
        <v>0</v>
      </c>
      <c r="P14" t="str">
        <f t="shared" si="0"/>
        <v>On plan</v>
      </c>
    </row>
    <row r="15" spans="1:16" x14ac:dyDescent="0.35">
      <c r="A15" t="s">
        <v>173</v>
      </c>
      <c r="B15" t="s">
        <v>70</v>
      </c>
      <c r="C15" t="s">
        <v>71</v>
      </c>
      <c r="D15" t="str">
        <f>INDEX('Pool Points'!$E:$E,MATCH(B15,'Pool Points'!$A:$A,0))</f>
        <v>CARR-A</v>
      </c>
      <c r="E15" t="s">
        <v>156</v>
      </c>
      <c r="F15" t="s">
        <v>163</v>
      </c>
      <c r="G15">
        <v>10</v>
      </c>
      <c r="H15" s="13">
        <v>42005</v>
      </c>
      <c r="I15" s="14">
        <f>SUMIFS('Store Forecast'!$D$5:$D$3540,'Store Forecast'!$C$5:$C$3540,$A15,'Store Forecast'!$A$5:$A$3540,I$3)</f>
        <v>18.8</v>
      </c>
      <c r="J15" s="14">
        <f>SUMIFS('Store Forecast'!$D$5:$D$3540,'Store Forecast'!$C$5:$C$3540,$A15,'Store Forecast'!$A$5:$A$3540,J$3)</f>
        <v>19.8</v>
      </c>
      <c r="K15" s="14">
        <f>SUMIFS('Store Forecast'!$D$5:$D$3540,'Store Forecast'!$C$5:$C$3540,$A15,'Store Forecast'!$A$5:$A$3540,K$3)</f>
        <v>18.5</v>
      </c>
      <c r="L15" s="14">
        <f>SUMIFS('Store Forecast'!$D$5:$D$3540,'Store Forecast'!$C$5:$C$3540,$A15,'Store Forecast'!$A$5:$A$3540,L$3)</f>
        <v>18.5</v>
      </c>
      <c r="M15" s="14">
        <v>28.4</v>
      </c>
      <c r="N15">
        <v>28</v>
      </c>
      <c r="O15">
        <v>0</v>
      </c>
      <c r="P15" t="str">
        <f t="shared" si="0"/>
        <v>On plan</v>
      </c>
    </row>
    <row r="16" spans="1:16" x14ac:dyDescent="0.35">
      <c r="A16" t="s">
        <v>174</v>
      </c>
      <c r="B16" t="s">
        <v>70</v>
      </c>
      <c r="C16" t="s">
        <v>71</v>
      </c>
      <c r="D16" t="str">
        <f>INDEX('Pool Points'!$E:$E,MATCH(B16,'Pool Points'!$A:$A,0))</f>
        <v>CARR-A</v>
      </c>
      <c r="E16" t="s">
        <v>156</v>
      </c>
      <c r="F16" t="s">
        <v>163</v>
      </c>
      <c r="G16">
        <v>13</v>
      </c>
      <c r="H16" s="13">
        <v>42005</v>
      </c>
      <c r="I16" s="14">
        <f>SUMIFS('Store Forecast'!$D$5:$D$3540,'Store Forecast'!$C$5:$C$3540,$A16,'Store Forecast'!$A$5:$A$3540,I$3)</f>
        <v>22.9</v>
      </c>
      <c r="J16" s="14">
        <f>SUMIFS('Store Forecast'!$D$5:$D$3540,'Store Forecast'!$C$5:$C$3540,$A16,'Store Forecast'!$A$5:$A$3540,J$3)</f>
        <v>24.2</v>
      </c>
      <c r="K16" s="14">
        <f>SUMIFS('Store Forecast'!$D$5:$D$3540,'Store Forecast'!$C$5:$C$3540,$A16,'Store Forecast'!$A$5:$A$3540,K$3)</f>
        <v>22.6</v>
      </c>
      <c r="L16" s="14">
        <f>SUMIFS('Store Forecast'!$D$5:$D$3540,'Store Forecast'!$C$5:$C$3540,$A16,'Store Forecast'!$A$5:$A$3540,L$3)</f>
        <v>22.5</v>
      </c>
      <c r="M16" s="14">
        <v>34.6</v>
      </c>
      <c r="N16">
        <v>35</v>
      </c>
      <c r="O16">
        <v>0</v>
      </c>
      <c r="P16" t="str">
        <f t="shared" si="0"/>
        <v>On plan</v>
      </c>
    </row>
    <row r="17" spans="1:16" x14ac:dyDescent="0.35">
      <c r="A17" t="s">
        <v>175</v>
      </c>
      <c r="B17" t="s">
        <v>70</v>
      </c>
      <c r="C17" t="s">
        <v>71</v>
      </c>
      <c r="D17" t="str">
        <f>INDEX('Pool Points'!$E:$E,MATCH(B17,'Pool Points'!$A:$A,0))</f>
        <v>CARR-A</v>
      </c>
      <c r="E17" t="s">
        <v>160</v>
      </c>
      <c r="F17" t="s">
        <v>157</v>
      </c>
      <c r="G17">
        <v>9</v>
      </c>
      <c r="H17" s="13">
        <v>42005</v>
      </c>
      <c r="I17" s="14">
        <f>SUMIFS('Store Forecast'!$D$5:$D$3540,'Store Forecast'!$C$5:$C$3540,$A17,'Store Forecast'!$A$5:$A$3540,I$3)</f>
        <v>15.8</v>
      </c>
      <c r="J17" s="14">
        <f>SUMIFS('Store Forecast'!$D$5:$D$3540,'Store Forecast'!$C$5:$C$3540,$A17,'Store Forecast'!$A$5:$A$3540,J$3)</f>
        <v>16.7</v>
      </c>
      <c r="K17" s="14">
        <f>SUMIFS('Store Forecast'!$D$5:$D$3540,'Store Forecast'!$C$5:$C$3540,$A17,'Store Forecast'!$A$5:$A$3540,K$3)</f>
        <v>15.6</v>
      </c>
      <c r="L17" s="14">
        <f>SUMIFS('Store Forecast'!$D$5:$D$3540,'Store Forecast'!$C$5:$C$3540,$A17,'Store Forecast'!$A$5:$A$3540,L$3)</f>
        <v>15.5</v>
      </c>
      <c r="M17" s="14">
        <v>23.8</v>
      </c>
      <c r="N17">
        <v>24</v>
      </c>
      <c r="O17">
        <v>0</v>
      </c>
      <c r="P17" t="str">
        <f t="shared" si="0"/>
        <v>On plan</v>
      </c>
    </row>
    <row r="18" spans="1:16" x14ac:dyDescent="0.35">
      <c r="A18" t="s">
        <v>176</v>
      </c>
      <c r="B18" t="s">
        <v>70</v>
      </c>
      <c r="C18" t="s">
        <v>71</v>
      </c>
      <c r="D18" t="str">
        <f>INDEX('Pool Points'!$E:$E,MATCH(B18,'Pool Points'!$A:$A,0))</f>
        <v>CARR-A</v>
      </c>
      <c r="E18" t="s">
        <v>160</v>
      </c>
      <c r="F18" t="s">
        <v>166</v>
      </c>
      <c r="G18">
        <v>10</v>
      </c>
      <c r="H18" s="13">
        <v>42005</v>
      </c>
      <c r="I18" s="14">
        <f>SUMIFS('Store Forecast'!$D$5:$D$3540,'Store Forecast'!$C$5:$C$3540,$A18,'Store Forecast'!$A$5:$A$3540,I$3)</f>
        <v>12.4</v>
      </c>
      <c r="J18" s="14">
        <f>SUMIFS('Store Forecast'!$D$5:$D$3540,'Store Forecast'!$C$5:$C$3540,$A18,'Store Forecast'!$A$5:$A$3540,J$3)</f>
        <v>13</v>
      </c>
      <c r="K18" s="14">
        <f>SUMIFS('Store Forecast'!$D$5:$D$3540,'Store Forecast'!$C$5:$C$3540,$A18,'Store Forecast'!$A$5:$A$3540,K$3)</f>
        <v>12.2</v>
      </c>
      <c r="L18" s="14">
        <f>SUMIFS('Store Forecast'!$D$5:$D$3540,'Store Forecast'!$C$5:$C$3540,$A18,'Store Forecast'!$A$5:$A$3540,L$3)</f>
        <v>12.1</v>
      </c>
      <c r="M18" s="14">
        <v>18.600000000000001</v>
      </c>
      <c r="N18">
        <v>19</v>
      </c>
      <c r="O18">
        <v>0</v>
      </c>
      <c r="P18" t="str">
        <f t="shared" si="0"/>
        <v>On plan</v>
      </c>
    </row>
    <row r="19" spans="1:16" x14ac:dyDescent="0.35">
      <c r="A19" t="s">
        <v>177</v>
      </c>
      <c r="B19" t="s">
        <v>73</v>
      </c>
      <c r="C19" t="s">
        <v>74</v>
      </c>
      <c r="D19" t="str">
        <f>INDEX('Pool Points'!$E:$E,MATCH(B19,'Pool Points'!$A:$A,0))</f>
        <v>CARR-A</v>
      </c>
      <c r="E19" t="s">
        <v>165</v>
      </c>
      <c r="F19" t="s">
        <v>168</v>
      </c>
      <c r="G19">
        <v>10</v>
      </c>
      <c r="H19" s="13">
        <v>42005</v>
      </c>
      <c r="I19" s="14">
        <f>SUMIFS('Store Forecast'!$D$5:$D$3540,'Store Forecast'!$C$5:$C$3540,$A19,'Store Forecast'!$A$5:$A$3540,I$3)</f>
        <v>13.4</v>
      </c>
      <c r="J19" s="14">
        <f>SUMIFS('Store Forecast'!$D$5:$D$3540,'Store Forecast'!$C$5:$C$3540,$A19,'Store Forecast'!$A$5:$A$3540,J$3)</f>
        <v>13.4</v>
      </c>
      <c r="K19" s="14">
        <f>SUMIFS('Store Forecast'!$D$5:$D$3540,'Store Forecast'!$C$5:$C$3540,$A19,'Store Forecast'!$A$5:$A$3540,K$3)</f>
        <v>13.3</v>
      </c>
      <c r="L19" s="14">
        <f>SUMIFS('Store Forecast'!$D$5:$D$3540,'Store Forecast'!$C$5:$C$3540,$A19,'Store Forecast'!$A$5:$A$3540,L$3)</f>
        <v>13</v>
      </c>
      <c r="M19" s="14">
        <v>19.5</v>
      </c>
      <c r="N19">
        <v>20</v>
      </c>
      <c r="O19">
        <v>0</v>
      </c>
      <c r="P19" t="str">
        <f t="shared" si="0"/>
        <v>On plan</v>
      </c>
    </row>
    <row r="20" spans="1:16" x14ac:dyDescent="0.35">
      <c r="A20" t="s">
        <v>178</v>
      </c>
      <c r="B20" t="s">
        <v>73</v>
      </c>
      <c r="C20" t="s">
        <v>74</v>
      </c>
      <c r="D20" t="str">
        <f>INDEX('Pool Points'!$E:$E,MATCH(B20,'Pool Points'!$A:$A,0))</f>
        <v>CARR-A</v>
      </c>
      <c r="E20" t="s">
        <v>160</v>
      </c>
      <c r="F20" t="s">
        <v>168</v>
      </c>
      <c r="G20">
        <v>10</v>
      </c>
      <c r="H20" s="13">
        <v>42005</v>
      </c>
      <c r="I20" s="14">
        <f>SUMIFS('Store Forecast'!$D$5:$D$3540,'Store Forecast'!$C$5:$C$3540,$A20,'Store Forecast'!$A$5:$A$3540,I$3)</f>
        <v>11.7</v>
      </c>
      <c r="J20" s="14">
        <f>SUMIFS('Store Forecast'!$D$5:$D$3540,'Store Forecast'!$C$5:$C$3540,$A20,'Store Forecast'!$A$5:$A$3540,J$3)</f>
        <v>11.6</v>
      </c>
      <c r="K20" s="14">
        <f>SUMIFS('Store Forecast'!$D$5:$D$3540,'Store Forecast'!$C$5:$C$3540,$A20,'Store Forecast'!$A$5:$A$3540,K$3)</f>
        <v>11.5</v>
      </c>
      <c r="L20" s="14">
        <f>SUMIFS('Store Forecast'!$D$5:$D$3540,'Store Forecast'!$C$5:$C$3540,$A20,'Store Forecast'!$A$5:$A$3540,L$3)</f>
        <v>11.3</v>
      </c>
      <c r="M20" s="14">
        <v>17</v>
      </c>
      <c r="N20">
        <v>17</v>
      </c>
      <c r="O20">
        <v>0</v>
      </c>
      <c r="P20" t="str">
        <f t="shared" si="0"/>
        <v>On plan</v>
      </c>
    </row>
    <row r="21" spans="1:16" x14ac:dyDescent="0.35">
      <c r="A21" t="s">
        <v>179</v>
      </c>
      <c r="B21" t="s">
        <v>73</v>
      </c>
      <c r="C21" t="s">
        <v>74</v>
      </c>
      <c r="D21" t="str">
        <f>INDEX('Pool Points'!$E:$E,MATCH(B21,'Pool Points'!$A:$A,0))</f>
        <v>CARR-A</v>
      </c>
      <c r="E21" t="s">
        <v>160</v>
      </c>
      <c r="F21" t="s">
        <v>157</v>
      </c>
      <c r="G21">
        <v>9</v>
      </c>
      <c r="H21" s="13">
        <v>42005</v>
      </c>
      <c r="I21" s="14">
        <f>SUMIFS('Store Forecast'!$D$5:$D$3540,'Store Forecast'!$C$5:$C$3540,$A21,'Store Forecast'!$A$5:$A$3540,I$3)</f>
        <v>17.3</v>
      </c>
      <c r="J21" s="14">
        <f>SUMIFS('Store Forecast'!$D$5:$D$3540,'Store Forecast'!$C$5:$C$3540,$A21,'Store Forecast'!$A$5:$A$3540,J$3)</f>
        <v>17.2</v>
      </c>
      <c r="K21" s="14">
        <f>SUMIFS('Store Forecast'!$D$5:$D$3540,'Store Forecast'!$C$5:$C$3540,$A21,'Store Forecast'!$A$5:$A$3540,K$3)</f>
        <v>17.100000000000001</v>
      </c>
      <c r="L21" s="14">
        <f>SUMIFS('Store Forecast'!$D$5:$D$3540,'Store Forecast'!$C$5:$C$3540,$A21,'Store Forecast'!$A$5:$A$3540,L$3)</f>
        <v>16.8</v>
      </c>
      <c r="M21" s="14">
        <v>25.2</v>
      </c>
      <c r="N21">
        <v>25</v>
      </c>
      <c r="O21">
        <v>0</v>
      </c>
      <c r="P21" t="str">
        <f t="shared" si="0"/>
        <v>On plan</v>
      </c>
    </row>
    <row r="22" spans="1:16" x14ac:dyDescent="0.35">
      <c r="A22" t="s">
        <v>180</v>
      </c>
      <c r="B22" t="s">
        <v>73</v>
      </c>
      <c r="C22" t="s">
        <v>74</v>
      </c>
      <c r="D22" t="str">
        <f>INDEX('Pool Points'!$E:$E,MATCH(B22,'Pool Points'!$A:$A,0))</f>
        <v>CARR-A</v>
      </c>
      <c r="E22" t="s">
        <v>165</v>
      </c>
      <c r="F22" t="s">
        <v>161</v>
      </c>
      <c r="G22">
        <v>8</v>
      </c>
      <c r="H22" s="13">
        <v>42005</v>
      </c>
      <c r="I22" s="14">
        <f>SUMIFS('Store Forecast'!$D$5:$D$3540,'Store Forecast'!$C$5:$C$3540,$A22,'Store Forecast'!$A$5:$A$3540,I$3)</f>
        <v>9.6999999999999993</v>
      </c>
      <c r="J22" s="14">
        <f>SUMIFS('Store Forecast'!$D$5:$D$3540,'Store Forecast'!$C$5:$C$3540,$A22,'Store Forecast'!$A$5:$A$3540,J$3)</f>
        <v>9.6999999999999993</v>
      </c>
      <c r="K22" s="14">
        <f>SUMIFS('Store Forecast'!$D$5:$D$3540,'Store Forecast'!$C$5:$C$3540,$A22,'Store Forecast'!$A$5:$A$3540,K$3)</f>
        <v>9.6</v>
      </c>
      <c r="L22" s="14">
        <f>SUMIFS('Store Forecast'!$D$5:$D$3540,'Store Forecast'!$C$5:$C$3540,$A22,'Store Forecast'!$A$5:$A$3540,L$3)</f>
        <v>9.4</v>
      </c>
      <c r="M22" s="14">
        <v>14.2</v>
      </c>
      <c r="N22">
        <v>14</v>
      </c>
      <c r="O22">
        <v>0</v>
      </c>
      <c r="P22" t="str">
        <f t="shared" si="0"/>
        <v>On plan</v>
      </c>
    </row>
    <row r="23" spans="1:16" x14ac:dyDescent="0.35">
      <c r="A23" t="s">
        <v>181</v>
      </c>
      <c r="B23" t="s">
        <v>73</v>
      </c>
      <c r="C23" t="s">
        <v>74</v>
      </c>
      <c r="D23" t="str">
        <f>INDEX('Pool Points'!$E:$E,MATCH(B23,'Pool Points'!$A:$A,0))</f>
        <v>CARR-A</v>
      </c>
      <c r="E23" t="s">
        <v>165</v>
      </c>
      <c r="F23" t="s">
        <v>161</v>
      </c>
      <c r="G23">
        <v>9</v>
      </c>
      <c r="H23" s="13">
        <v>42005</v>
      </c>
      <c r="I23" s="14">
        <f>SUMIFS('Store Forecast'!$D$5:$D$3540,'Store Forecast'!$C$5:$C$3540,$A23,'Store Forecast'!$A$5:$A$3540,I$3)</f>
        <v>11</v>
      </c>
      <c r="J23" s="14">
        <f>SUMIFS('Store Forecast'!$D$5:$D$3540,'Store Forecast'!$C$5:$C$3540,$A23,'Store Forecast'!$A$5:$A$3540,J$3)</f>
        <v>11</v>
      </c>
      <c r="K23" s="14">
        <f>SUMIFS('Store Forecast'!$D$5:$D$3540,'Store Forecast'!$C$5:$C$3540,$A23,'Store Forecast'!$A$5:$A$3540,K$3)</f>
        <v>10.9</v>
      </c>
      <c r="L23" s="14">
        <f>SUMIFS('Store Forecast'!$D$5:$D$3540,'Store Forecast'!$C$5:$C$3540,$A23,'Store Forecast'!$A$5:$A$3540,L$3)</f>
        <v>10.7</v>
      </c>
      <c r="M23" s="14">
        <v>16</v>
      </c>
      <c r="N23">
        <v>16</v>
      </c>
      <c r="O23">
        <v>0</v>
      </c>
      <c r="P23" t="str">
        <f t="shared" si="0"/>
        <v>On plan</v>
      </c>
    </row>
    <row r="24" spans="1:16" x14ac:dyDescent="0.35">
      <c r="A24" t="s">
        <v>182</v>
      </c>
      <c r="B24" t="s">
        <v>73</v>
      </c>
      <c r="C24" t="s">
        <v>74</v>
      </c>
      <c r="D24" t="str">
        <f>INDEX('Pool Points'!$E:$E,MATCH(B24,'Pool Points'!$A:$A,0))</f>
        <v>CARR-A</v>
      </c>
      <c r="E24" t="s">
        <v>160</v>
      </c>
      <c r="F24" t="s">
        <v>161</v>
      </c>
      <c r="G24">
        <v>12</v>
      </c>
      <c r="H24" s="13">
        <v>42005</v>
      </c>
      <c r="I24" s="14">
        <f>SUMIFS('Store Forecast'!$D$5:$D$3540,'Store Forecast'!$C$5:$C$3540,$A24,'Store Forecast'!$A$5:$A$3540,I$3)</f>
        <v>14.5</v>
      </c>
      <c r="J24" s="14">
        <f>SUMIFS('Store Forecast'!$D$5:$D$3540,'Store Forecast'!$C$5:$C$3540,$A24,'Store Forecast'!$A$5:$A$3540,J$3)</f>
        <v>14.4</v>
      </c>
      <c r="K24" s="14">
        <f>SUMIFS('Store Forecast'!$D$5:$D$3540,'Store Forecast'!$C$5:$C$3540,$A24,'Store Forecast'!$A$5:$A$3540,K$3)</f>
        <v>14.3</v>
      </c>
      <c r="L24" s="14">
        <f>SUMIFS('Store Forecast'!$D$5:$D$3540,'Store Forecast'!$C$5:$C$3540,$A24,'Store Forecast'!$A$5:$A$3540,L$3)</f>
        <v>14</v>
      </c>
      <c r="M24" s="14">
        <v>21.1</v>
      </c>
      <c r="N24">
        <v>21</v>
      </c>
      <c r="O24">
        <v>0</v>
      </c>
      <c r="P24" t="str">
        <f t="shared" si="0"/>
        <v>On plan</v>
      </c>
    </row>
    <row r="25" spans="1:16" x14ac:dyDescent="0.35">
      <c r="A25" t="s">
        <v>183</v>
      </c>
      <c r="B25" t="s">
        <v>73</v>
      </c>
      <c r="C25" t="s">
        <v>74</v>
      </c>
      <c r="D25" t="str">
        <f>INDEX('Pool Points'!$E:$E,MATCH(B25,'Pool Points'!$A:$A,0))</f>
        <v>CARR-A</v>
      </c>
      <c r="E25" t="s">
        <v>156</v>
      </c>
      <c r="F25" t="s">
        <v>157</v>
      </c>
      <c r="G25">
        <v>12</v>
      </c>
      <c r="H25" s="13">
        <v>42005</v>
      </c>
      <c r="I25" s="14">
        <f>SUMIFS('Store Forecast'!$D$5:$D$3540,'Store Forecast'!$C$5:$C$3540,$A25,'Store Forecast'!$A$5:$A$3540,I$3)</f>
        <v>21.7</v>
      </c>
      <c r="J25" s="14">
        <f>SUMIFS('Store Forecast'!$D$5:$D$3540,'Store Forecast'!$C$5:$C$3540,$A25,'Store Forecast'!$A$5:$A$3540,J$3)</f>
        <v>21.5</v>
      </c>
      <c r="K25" s="14">
        <f>SUMIFS('Store Forecast'!$D$5:$D$3540,'Store Forecast'!$C$5:$C$3540,$A25,'Store Forecast'!$A$5:$A$3540,K$3)</f>
        <v>21.4</v>
      </c>
      <c r="L25" s="14">
        <f>SUMIFS('Store Forecast'!$D$5:$D$3540,'Store Forecast'!$C$5:$C$3540,$A25,'Store Forecast'!$A$5:$A$3540,L$3)</f>
        <v>21</v>
      </c>
      <c r="M25" s="14">
        <v>31.5</v>
      </c>
      <c r="N25">
        <v>32</v>
      </c>
      <c r="O25">
        <v>0</v>
      </c>
      <c r="P25" t="str">
        <f t="shared" si="0"/>
        <v>On plan</v>
      </c>
    </row>
    <row r="26" spans="1:16" x14ac:dyDescent="0.35">
      <c r="A26" t="s">
        <v>184</v>
      </c>
      <c r="B26" t="s">
        <v>73</v>
      </c>
      <c r="C26" t="s">
        <v>74</v>
      </c>
      <c r="D26" t="str">
        <f>INDEX('Pool Points'!$E:$E,MATCH(B26,'Pool Points'!$A:$A,0))</f>
        <v>CARR-A</v>
      </c>
      <c r="E26" t="s">
        <v>160</v>
      </c>
      <c r="F26" t="s">
        <v>163</v>
      </c>
      <c r="G26">
        <v>9</v>
      </c>
      <c r="H26" s="13">
        <v>45038</v>
      </c>
      <c r="I26" s="14">
        <f>SUMIFS('Store Forecast'!$D$5:$D$3540,'Store Forecast'!$C$5:$C$3540,$A26,'Store Forecast'!$A$5:$A$3540,I$3)</f>
        <v>17.2</v>
      </c>
      <c r="J26" s="14">
        <f>SUMIFS('Store Forecast'!$D$5:$D$3540,'Store Forecast'!$C$5:$C$3540,$A26,'Store Forecast'!$A$5:$A$3540,J$3)</f>
        <v>17.100000000000001</v>
      </c>
      <c r="K26" s="14">
        <f>SUMIFS('Store Forecast'!$D$5:$D$3540,'Store Forecast'!$C$5:$C$3540,$A26,'Store Forecast'!$A$5:$A$3540,K$3)</f>
        <v>17</v>
      </c>
      <c r="L26" s="14">
        <f>SUMIFS('Store Forecast'!$D$5:$D$3540,'Store Forecast'!$C$5:$C$3540,$A26,'Store Forecast'!$A$5:$A$3540,L$3)</f>
        <v>16.7</v>
      </c>
      <c r="M26" s="14">
        <v>25</v>
      </c>
      <c r="N26">
        <v>25</v>
      </c>
      <c r="O26">
        <v>0</v>
      </c>
      <c r="P26" t="str">
        <f t="shared" si="0"/>
        <v>On plan</v>
      </c>
    </row>
    <row r="27" spans="1:16" x14ac:dyDescent="0.35">
      <c r="A27" t="s">
        <v>185</v>
      </c>
      <c r="B27" t="s">
        <v>73</v>
      </c>
      <c r="C27" t="s">
        <v>74</v>
      </c>
      <c r="D27" t="str">
        <f>INDEX('Pool Points'!$E:$E,MATCH(B27,'Pool Points'!$A:$A,0))</f>
        <v>CARR-A</v>
      </c>
      <c r="E27" t="s">
        <v>165</v>
      </c>
      <c r="F27" t="s">
        <v>168</v>
      </c>
      <c r="G27">
        <v>9</v>
      </c>
      <c r="H27" s="13">
        <v>42005</v>
      </c>
      <c r="I27" s="14">
        <f>SUMIFS('Store Forecast'!$D$5:$D$3540,'Store Forecast'!$C$5:$C$3540,$A27,'Store Forecast'!$A$5:$A$3540,I$3)</f>
        <v>10.9</v>
      </c>
      <c r="J27" s="14">
        <f>SUMIFS('Store Forecast'!$D$5:$D$3540,'Store Forecast'!$C$5:$C$3540,$A27,'Store Forecast'!$A$5:$A$3540,J$3)</f>
        <v>10.8</v>
      </c>
      <c r="K27" s="14">
        <f>SUMIFS('Store Forecast'!$D$5:$D$3540,'Store Forecast'!$C$5:$C$3540,$A27,'Store Forecast'!$A$5:$A$3540,K$3)</f>
        <v>10.7</v>
      </c>
      <c r="L27" s="14">
        <f>SUMIFS('Store Forecast'!$D$5:$D$3540,'Store Forecast'!$C$5:$C$3540,$A27,'Store Forecast'!$A$5:$A$3540,L$3)</f>
        <v>10.5</v>
      </c>
      <c r="M27" s="14">
        <v>15.8</v>
      </c>
      <c r="N27">
        <v>16</v>
      </c>
      <c r="O27">
        <v>0</v>
      </c>
      <c r="P27" t="str">
        <f t="shared" si="0"/>
        <v>On plan</v>
      </c>
    </row>
    <row r="28" spans="1:16" x14ac:dyDescent="0.35">
      <c r="A28" t="s">
        <v>186</v>
      </c>
      <c r="B28" t="s">
        <v>73</v>
      </c>
      <c r="C28" t="s">
        <v>74</v>
      </c>
      <c r="D28" t="str">
        <f>INDEX('Pool Points'!$E:$E,MATCH(B28,'Pool Points'!$A:$A,0))</f>
        <v>CARR-A</v>
      </c>
      <c r="E28" t="s">
        <v>160</v>
      </c>
      <c r="F28" t="s">
        <v>168</v>
      </c>
      <c r="G28">
        <v>12</v>
      </c>
      <c r="H28" s="13">
        <v>42005</v>
      </c>
      <c r="I28" s="14">
        <f>SUMIFS('Store Forecast'!$D$5:$D$3540,'Store Forecast'!$C$5:$C$3540,$A28,'Store Forecast'!$A$5:$A$3540,I$3)</f>
        <v>15.7</v>
      </c>
      <c r="J28" s="14">
        <f>SUMIFS('Store Forecast'!$D$5:$D$3540,'Store Forecast'!$C$5:$C$3540,$A28,'Store Forecast'!$A$5:$A$3540,J$3)</f>
        <v>15.6</v>
      </c>
      <c r="K28" s="14">
        <f>SUMIFS('Store Forecast'!$D$5:$D$3540,'Store Forecast'!$C$5:$C$3540,$A28,'Store Forecast'!$A$5:$A$3540,K$3)</f>
        <v>15.5</v>
      </c>
      <c r="L28" s="14">
        <f>SUMIFS('Store Forecast'!$D$5:$D$3540,'Store Forecast'!$C$5:$C$3540,$A28,'Store Forecast'!$A$5:$A$3540,L$3)</f>
        <v>15.2</v>
      </c>
      <c r="M28" s="14">
        <v>22.8</v>
      </c>
      <c r="N28">
        <v>23</v>
      </c>
      <c r="O28">
        <v>0</v>
      </c>
      <c r="P28" t="str">
        <f t="shared" si="0"/>
        <v>On plan</v>
      </c>
    </row>
    <row r="29" spans="1:16" x14ac:dyDescent="0.35">
      <c r="A29" t="s">
        <v>187</v>
      </c>
      <c r="B29" t="s">
        <v>73</v>
      </c>
      <c r="C29" t="s">
        <v>74</v>
      </c>
      <c r="D29" t="str">
        <f>INDEX('Pool Points'!$E:$E,MATCH(B29,'Pool Points'!$A:$A,0))</f>
        <v>CARR-A</v>
      </c>
      <c r="E29" t="s">
        <v>165</v>
      </c>
      <c r="F29" t="s">
        <v>188</v>
      </c>
      <c r="G29">
        <v>6</v>
      </c>
      <c r="H29" s="13">
        <v>42005</v>
      </c>
      <c r="I29" s="14">
        <f>SUMIFS('Store Forecast'!$D$5:$D$3540,'Store Forecast'!$C$5:$C$3540,$A29,'Store Forecast'!$A$5:$A$3540,I$3)</f>
        <v>8.5</v>
      </c>
      <c r="J29" s="14">
        <f>SUMIFS('Store Forecast'!$D$5:$D$3540,'Store Forecast'!$C$5:$C$3540,$A29,'Store Forecast'!$A$5:$A$3540,J$3)</f>
        <v>8.4</v>
      </c>
      <c r="K29" s="14">
        <f>SUMIFS('Store Forecast'!$D$5:$D$3540,'Store Forecast'!$C$5:$C$3540,$A29,'Store Forecast'!$A$5:$A$3540,K$3)</f>
        <v>8.3000000000000007</v>
      </c>
      <c r="L29" s="14">
        <f>SUMIFS('Store Forecast'!$D$5:$D$3540,'Store Forecast'!$C$5:$C$3540,$A29,'Store Forecast'!$A$5:$A$3540,L$3)</f>
        <v>8.1999999999999993</v>
      </c>
      <c r="M29" s="14">
        <v>12.3</v>
      </c>
      <c r="N29">
        <v>12</v>
      </c>
      <c r="O29">
        <v>0</v>
      </c>
      <c r="P29" t="str">
        <f t="shared" si="0"/>
        <v>On plan</v>
      </c>
    </row>
    <row r="30" spans="1:16" x14ac:dyDescent="0.35">
      <c r="A30" t="s">
        <v>189</v>
      </c>
      <c r="B30" t="s">
        <v>73</v>
      </c>
      <c r="C30" t="s">
        <v>74</v>
      </c>
      <c r="D30" t="str">
        <f>INDEX('Pool Points'!$E:$E,MATCH(B30,'Pool Points'!$A:$A,0))</f>
        <v>CARR-A</v>
      </c>
      <c r="E30" t="s">
        <v>165</v>
      </c>
      <c r="F30" t="s">
        <v>161</v>
      </c>
      <c r="G30">
        <v>10</v>
      </c>
      <c r="H30" s="13">
        <v>42005</v>
      </c>
      <c r="I30" s="14">
        <f>SUMIFS('Store Forecast'!$D$5:$D$3540,'Store Forecast'!$C$5:$C$3540,$A30,'Store Forecast'!$A$5:$A$3540,I$3)</f>
        <v>11.7</v>
      </c>
      <c r="J30" s="14">
        <f>SUMIFS('Store Forecast'!$D$5:$D$3540,'Store Forecast'!$C$5:$C$3540,$A30,'Store Forecast'!$A$5:$A$3540,J$3)</f>
        <v>11.6</v>
      </c>
      <c r="K30" s="14">
        <f>SUMIFS('Store Forecast'!$D$5:$D$3540,'Store Forecast'!$C$5:$C$3540,$A30,'Store Forecast'!$A$5:$A$3540,K$3)</f>
        <v>11.5</v>
      </c>
      <c r="L30" s="14">
        <f>SUMIFS('Store Forecast'!$D$5:$D$3540,'Store Forecast'!$C$5:$C$3540,$A30,'Store Forecast'!$A$5:$A$3540,L$3)</f>
        <v>11.3</v>
      </c>
      <c r="M30" s="14">
        <v>17</v>
      </c>
      <c r="N30">
        <v>17</v>
      </c>
      <c r="O30">
        <v>0</v>
      </c>
      <c r="P30" t="str">
        <f t="shared" si="0"/>
        <v>On plan</v>
      </c>
    </row>
    <row r="31" spans="1:16" x14ac:dyDescent="0.35">
      <c r="A31" t="s">
        <v>190</v>
      </c>
      <c r="B31" t="s">
        <v>73</v>
      </c>
      <c r="C31" t="s">
        <v>74</v>
      </c>
      <c r="D31" t="str">
        <f>INDEX('Pool Points'!$E:$E,MATCH(B31,'Pool Points'!$A:$A,0))</f>
        <v>CARR-A</v>
      </c>
      <c r="E31" t="s">
        <v>160</v>
      </c>
      <c r="F31" t="s">
        <v>163</v>
      </c>
      <c r="G31">
        <v>8</v>
      </c>
      <c r="H31" s="13">
        <v>42005</v>
      </c>
      <c r="I31" s="14">
        <f>SUMIFS('Store Forecast'!$D$5:$D$3540,'Store Forecast'!$C$5:$C$3540,$A31,'Store Forecast'!$A$5:$A$3540,I$3)</f>
        <v>13.5</v>
      </c>
      <c r="J31" s="14">
        <f>SUMIFS('Store Forecast'!$D$5:$D$3540,'Store Forecast'!$C$5:$C$3540,$A31,'Store Forecast'!$A$5:$A$3540,J$3)</f>
        <v>13.5</v>
      </c>
      <c r="K31" s="14">
        <f>SUMIFS('Store Forecast'!$D$5:$D$3540,'Store Forecast'!$C$5:$C$3540,$A31,'Store Forecast'!$A$5:$A$3540,K$3)</f>
        <v>13.4</v>
      </c>
      <c r="L31" s="14">
        <f>SUMIFS('Store Forecast'!$D$5:$D$3540,'Store Forecast'!$C$5:$C$3540,$A31,'Store Forecast'!$A$5:$A$3540,L$3)</f>
        <v>13.1</v>
      </c>
      <c r="M31" s="14">
        <v>19.7</v>
      </c>
      <c r="N31">
        <v>20</v>
      </c>
      <c r="O31">
        <v>0</v>
      </c>
      <c r="P31" t="str">
        <f t="shared" si="0"/>
        <v>On plan</v>
      </c>
    </row>
    <row r="32" spans="1:16" x14ac:dyDescent="0.35">
      <c r="A32" t="s">
        <v>191</v>
      </c>
      <c r="B32" t="s">
        <v>73</v>
      </c>
      <c r="C32" t="s">
        <v>74</v>
      </c>
      <c r="D32" t="str">
        <f>INDEX('Pool Points'!$E:$E,MATCH(B32,'Pool Points'!$A:$A,0))</f>
        <v>CARR-A</v>
      </c>
      <c r="E32" t="s">
        <v>160</v>
      </c>
      <c r="F32" t="s">
        <v>166</v>
      </c>
      <c r="G32">
        <v>10</v>
      </c>
      <c r="H32" s="13">
        <v>42005</v>
      </c>
      <c r="I32" s="14">
        <f>SUMIFS('Store Forecast'!$D$5:$D$3540,'Store Forecast'!$C$5:$C$3540,$A32,'Store Forecast'!$A$5:$A$3540,I$3)</f>
        <v>12.8</v>
      </c>
      <c r="J32" s="14">
        <f>SUMIFS('Store Forecast'!$D$5:$D$3540,'Store Forecast'!$C$5:$C$3540,$A32,'Store Forecast'!$A$5:$A$3540,J$3)</f>
        <v>12.7</v>
      </c>
      <c r="K32" s="14">
        <f>SUMIFS('Store Forecast'!$D$5:$D$3540,'Store Forecast'!$C$5:$C$3540,$A32,'Store Forecast'!$A$5:$A$3540,K$3)</f>
        <v>12.6</v>
      </c>
      <c r="L32" s="14">
        <f>SUMIFS('Store Forecast'!$D$5:$D$3540,'Store Forecast'!$C$5:$C$3540,$A32,'Store Forecast'!$A$5:$A$3540,L$3)</f>
        <v>12.4</v>
      </c>
      <c r="M32" s="14">
        <v>18.600000000000001</v>
      </c>
      <c r="N32">
        <v>19</v>
      </c>
      <c r="O32">
        <v>0</v>
      </c>
      <c r="P32" t="str">
        <f t="shared" si="0"/>
        <v>On plan</v>
      </c>
    </row>
    <row r="33" spans="1:16" x14ac:dyDescent="0.35">
      <c r="A33" t="s">
        <v>192</v>
      </c>
      <c r="B33" t="s">
        <v>73</v>
      </c>
      <c r="C33" t="s">
        <v>74</v>
      </c>
      <c r="D33" t="str">
        <f>INDEX('Pool Points'!$E:$E,MATCH(B33,'Pool Points'!$A:$A,0))</f>
        <v>CARR-A</v>
      </c>
      <c r="E33" t="s">
        <v>165</v>
      </c>
      <c r="F33" t="s">
        <v>166</v>
      </c>
      <c r="G33">
        <v>7</v>
      </c>
      <c r="H33" s="13">
        <v>42005</v>
      </c>
      <c r="I33" s="14">
        <f>SUMIFS('Store Forecast'!$D$5:$D$3540,'Store Forecast'!$C$5:$C$3540,$A33,'Store Forecast'!$A$5:$A$3540,I$3)</f>
        <v>8.1</v>
      </c>
      <c r="J33" s="14">
        <f>SUMIFS('Store Forecast'!$D$5:$D$3540,'Store Forecast'!$C$5:$C$3540,$A33,'Store Forecast'!$A$5:$A$3540,J$3)</f>
        <v>8.1</v>
      </c>
      <c r="K33" s="14">
        <f>SUMIFS('Store Forecast'!$D$5:$D$3540,'Store Forecast'!$C$5:$C$3540,$A33,'Store Forecast'!$A$5:$A$3540,K$3)</f>
        <v>8</v>
      </c>
      <c r="L33" s="14">
        <f>SUMIFS('Store Forecast'!$D$5:$D$3540,'Store Forecast'!$C$5:$C$3540,$A33,'Store Forecast'!$A$5:$A$3540,L$3)</f>
        <v>7.9</v>
      </c>
      <c r="M33" s="14">
        <v>11.8</v>
      </c>
      <c r="N33">
        <v>12</v>
      </c>
      <c r="O33">
        <v>0</v>
      </c>
      <c r="P33" t="str">
        <f t="shared" si="0"/>
        <v>On plan</v>
      </c>
    </row>
    <row r="34" spans="1:16" x14ac:dyDescent="0.35">
      <c r="A34" t="s">
        <v>193</v>
      </c>
      <c r="B34" t="s">
        <v>73</v>
      </c>
      <c r="C34" t="s">
        <v>74</v>
      </c>
      <c r="D34" t="str">
        <f>INDEX('Pool Points'!$E:$E,MATCH(B34,'Pool Points'!$A:$A,0))</f>
        <v>CARR-A</v>
      </c>
      <c r="E34" t="s">
        <v>160</v>
      </c>
      <c r="F34" t="s">
        <v>161</v>
      </c>
      <c r="G34">
        <v>13</v>
      </c>
      <c r="H34" s="13">
        <v>42005</v>
      </c>
      <c r="I34" s="14">
        <f>SUMIFS('Store Forecast'!$D$5:$D$3540,'Store Forecast'!$C$5:$C$3540,$A34,'Store Forecast'!$A$5:$A$3540,I$3)</f>
        <v>16.2</v>
      </c>
      <c r="J34" s="14">
        <f>SUMIFS('Store Forecast'!$D$5:$D$3540,'Store Forecast'!$C$5:$C$3540,$A34,'Store Forecast'!$A$5:$A$3540,J$3)</f>
        <v>16.100000000000001</v>
      </c>
      <c r="K34" s="14">
        <f>SUMIFS('Store Forecast'!$D$5:$D$3540,'Store Forecast'!$C$5:$C$3540,$A34,'Store Forecast'!$A$5:$A$3540,K$3)</f>
        <v>16</v>
      </c>
      <c r="L34" s="14">
        <f>SUMIFS('Store Forecast'!$D$5:$D$3540,'Store Forecast'!$C$5:$C$3540,$A34,'Store Forecast'!$A$5:$A$3540,L$3)</f>
        <v>15.7</v>
      </c>
      <c r="M34" s="14">
        <v>23.5</v>
      </c>
      <c r="N34">
        <v>24</v>
      </c>
      <c r="O34">
        <v>0</v>
      </c>
      <c r="P34" t="str">
        <f t="shared" si="0"/>
        <v>On plan</v>
      </c>
    </row>
    <row r="35" spans="1:16" x14ac:dyDescent="0.35">
      <c r="A35" t="s">
        <v>194</v>
      </c>
      <c r="B35" t="s">
        <v>73</v>
      </c>
      <c r="C35" t="s">
        <v>74</v>
      </c>
      <c r="D35" t="str">
        <f>INDEX('Pool Points'!$E:$E,MATCH(B35,'Pool Points'!$A:$A,0))</f>
        <v>CARR-A</v>
      </c>
      <c r="E35" t="s">
        <v>165</v>
      </c>
      <c r="F35" t="s">
        <v>161</v>
      </c>
      <c r="G35">
        <v>9</v>
      </c>
      <c r="H35" s="13">
        <v>42005</v>
      </c>
      <c r="I35" s="14">
        <f>SUMIFS('Store Forecast'!$D$5:$D$3540,'Store Forecast'!$C$5:$C$3540,$A35,'Store Forecast'!$A$5:$A$3540,I$3)</f>
        <v>10.4</v>
      </c>
      <c r="J35" s="14">
        <f>SUMIFS('Store Forecast'!$D$5:$D$3540,'Store Forecast'!$C$5:$C$3540,$A35,'Store Forecast'!$A$5:$A$3540,J$3)</f>
        <v>10.3</v>
      </c>
      <c r="K35" s="14">
        <f>SUMIFS('Store Forecast'!$D$5:$D$3540,'Store Forecast'!$C$5:$C$3540,$A35,'Store Forecast'!$A$5:$A$3540,K$3)</f>
        <v>10.3</v>
      </c>
      <c r="L35" s="14">
        <f>SUMIFS('Store Forecast'!$D$5:$D$3540,'Store Forecast'!$C$5:$C$3540,$A35,'Store Forecast'!$A$5:$A$3540,L$3)</f>
        <v>10.1</v>
      </c>
      <c r="M35" s="14">
        <v>15.1</v>
      </c>
      <c r="N35">
        <v>15</v>
      </c>
      <c r="O35">
        <v>0</v>
      </c>
      <c r="P35" t="str">
        <f t="shared" si="0"/>
        <v>On plan</v>
      </c>
    </row>
    <row r="36" spans="1:16" x14ac:dyDescent="0.35">
      <c r="A36" t="s">
        <v>195</v>
      </c>
      <c r="B36" t="s">
        <v>73</v>
      </c>
      <c r="C36" t="s">
        <v>74</v>
      </c>
      <c r="D36" t="str">
        <f>INDEX('Pool Points'!$E:$E,MATCH(B36,'Pool Points'!$A:$A,0))</f>
        <v>CARR-A</v>
      </c>
      <c r="E36" t="s">
        <v>160</v>
      </c>
      <c r="F36" t="s">
        <v>163</v>
      </c>
      <c r="G36">
        <v>9</v>
      </c>
      <c r="H36" s="13">
        <v>42005</v>
      </c>
      <c r="I36" s="14">
        <f>SUMIFS('Store Forecast'!$D$5:$D$3540,'Store Forecast'!$C$5:$C$3540,$A36,'Store Forecast'!$A$5:$A$3540,I$3)</f>
        <v>16.3</v>
      </c>
      <c r="J36" s="14">
        <f>SUMIFS('Store Forecast'!$D$5:$D$3540,'Store Forecast'!$C$5:$C$3540,$A36,'Store Forecast'!$A$5:$A$3540,J$3)</f>
        <v>16.3</v>
      </c>
      <c r="K36" s="14">
        <f>SUMIFS('Store Forecast'!$D$5:$D$3540,'Store Forecast'!$C$5:$C$3540,$A36,'Store Forecast'!$A$5:$A$3540,K$3)</f>
        <v>16.100000000000001</v>
      </c>
      <c r="L36" s="14">
        <f>SUMIFS('Store Forecast'!$D$5:$D$3540,'Store Forecast'!$C$5:$C$3540,$A36,'Store Forecast'!$A$5:$A$3540,L$3)</f>
        <v>15.8</v>
      </c>
      <c r="M36" s="14">
        <v>23.8</v>
      </c>
      <c r="N36">
        <v>24</v>
      </c>
      <c r="O36">
        <v>0</v>
      </c>
      <c r="P36" t="str">
        <f t="shared" si="0"/>
        <v>On plan</v>
      </c>
    </row>
    <row r="37" spans="1:16" x14ac:dyDescent="0.35">
      <c r="A37" t="s">
        <v>196</v>
      </c>
      <c r="B37" t="s">
        <v>73</v>
      </c>
      <c r="C37" t="s">
        <v>74</v>
      </c>
      <c r="D37" t="str">
        <f>INDEX('Pool Points'!$E:$E,MATCH(B37,'Pool Points'!$A:$A,0))</f>
        <v>CARR-A</v>
      </c>
      <c r="E37" t="s">
        <v>165</v>
      </c>
      <c r="F37" t="s">
        <v>161</v>
      </c>
      <c r="G37">
        <v>8</v>
      </c>
      <c r="H37" s="13">
        <v>42005</v>
      </c>
      <c r="I37" s="14">
        <f>SUMIFS('Store Forecast'!$D$5:$D$3540,'Store Forecast'!$C$5:$C$3540,$A37,'Store Forecast'!$A$5:$A$3540,I$3)</f>
        <v>8.9</v>
      </c>
      <c r="J37" s="14">
        <f>SUMIFS('Store Forecast'!$D$5:$D$3540,'Store Forecast'!$C$5:$C$3540,$A37,'Store Forecast'!$A$5:$A$3540,J$3)</f>
        <v>8.8000000000000007</v>
      </c>
      <c r="K37" s="14">
        <f>SUMIFS('Store Forecast'!$D$5:$D$3540,'Store Forecast'!$C$5:$C$3540,$A37,'Store Forecast'!$A$5:$A$3540,K$3)</f>
        <v>8.6999999999999993</v>
      </c>
      <c r="L37" s="14">
        <f>SUMIFS('Store Forecast'!$D$5:$D$3540,'Store Forecast'!$C$5:$C$3540,$A37,'Store Forecast'!$A$5:$A$3540,L$3)</f>
        <v>8.6</v>
      </c>
      <c r="M37" s="14">
        <v>12.9</v>
      </c>
      <c r="N37">
        <v>13</v>
      </c>
      <c r="O37">
        <v>0</v>
      </c>
      <c r="P37" t="str">
        <f t="shared" ref="P37:P68" si="1">IF(H37&gt;AsOfDate,"Opens "&amp;TEXT(H37,"mmm d"),IF(O37&gt;0,"Backlog in peak week","On plan"))</f>
        <v>On plan</v>
      </c>
    </row>
    <row r="38" spans="1:16" x14ac:dyDescent="0.35">
      <c r="A38" t="s">
        <v>197</v>
      </c>
      <c r="B38" t="s">
        <v>3</v>
      </c>
      <c r="C38" t="s">
        <v>75</v>
      </c>
      <c r="D38" t="str">
        <f>INDEX('Pool Points'!$E:$E,MATCH(B38,'Pool Points'!$A:$A,0))</f>
        <v>CARR-B</v>
      </c>
      <c r="E38" t="s">
        <v>160</v>
      </c>
      <c r="F38" t="s">
        <v>168</v>
      </c>
      <c r="G38">
        <v>12</v>
      </c>
      <c r="H38" s="13">
        <v>42005</v>
      </c>
      <c r="I38" s="14">
        <f>SUMIFS('Store Forecast'!$D$5:$D$3540,'Store Forecast'!$C$5:$C$3540,$A38,'Store Forecast'!$A$5:$A$3540,I$3)</f>
        <v>14.6</v>
      </c>
      <c r="J38" s="14">
        <f>SUMIFS('Store Forecast'!$D$5:$D$3540,'Store Forecast'!$C$5:$C$3540,$A38,'Store Forecast'!$A$5:$A$3540,J$3)</f>
        <v>14.7</v>
      </c>
      <c r="K38" s="14">
        <f>SUMIFS('Store Forecast'!$D$5:$D$3540,'Store Forecast'!$C$5:$C$3540,$A38,'Store Forecast'!$A$5:$A$3540,K$3)</f>
        <v>14.6</v>
      </c>
      <c r="L38" s="14">
        <f>SUMIFS('Store Forecast'!$D$5:$D$3540,'Store Forecast'!$C$5:$C$3540,$A38,'Store Forecast'!$A$5:$A$3540,L$3)</f>
        <v>14.3</v>
      </c>
      <c r="M38" s="14">
        <v>21.3</v>
      </c>
      <c r="N38">
        <v>21</v>
      </c>
      <c r="O38">
        <v>0</v>
      </c>
      <c r="P38" t="str">
        <f t="shared" si="1"/>
        <v>On plan</v>
      </c>
    </row>
    <row r="39" spans="1:16" x14ac:dyDescent="0.35">
      <c r="A39" t="s">
        <v>198</v>
      </c>
      <c r="B39" t="s">
        <v>3</v>
      </c>
      <c r="C39" t="s">
        <v>75</v>
      </c>
      <c r="D39" t="str">
        <f>INDEX('Pool Points'!$E:$E,MATCH(B39,'Pool Points'!$A:$A,0))</f>
        <v>CARR-B</v>
      </c>
      <c r="E39" t="s">
        <v>165</v>
      </c>
      <c r="F39" t="s">
        <v>168</v>
      </c>
      <c r="G39">
        <v>10</v>
      </c>
      <c r="H39" s="13">
        <v>42005</v>
      </c>
      <c r="I39" s="14">
        <f>SUMIFS('Store Forecast'!$D$5:$D$3540,'Store Forecast'!$C$5:$C$3540,$A39,'Store Forecast'!$A$5:$A$3540,I$3)</f>
        <v>12.9</v>
      </c>
      <c r="J39" s="14">
        <f>SUMIFS('Store Forecast'!$D$5:$D$3540,'Store Forecast'!$C$5:$C$3540,$A39,'Store Forecast'!$A$5:$A$3540,J$3)</f>
        <v>13</v>
      </c>
      <c r="K39" s="14">
        <f>SUMIFS('Store Forecast'!$D$5:$D$3540,'Store Forecast'!$C$5:$C$3540,$A39,'Store Forecast'!$A$5:$A$3540,K$3)</f>
        <v>12.9</v>
      </c>
      <c r="L39" s="14">
        <f>SUMIFS('Store Forecast'!$D$5:$D$3540,'Store Forecast'!$C$5:$C$3540,$A39,'Store Forecast'!$A$5:$A$3540,L$3)</f>
        <v>12.6</v>
      </c>
      <c r="M39" s="14">
        <v>18.8</v>
      </c>
      <c r="N39">
        <v>19</v>
      </c>
      <c r="O39">
        <v>0</v>
      </c>
      <c r="P39" t="str">
        <f t="shared" si="1"/>
        <v>On plan</v>
      </c>
    </row>
    <row r="40" spans="1:16" x14ac:dyDescent="0.35">
      <c r="A40" t="s">
        <v>199</v>
      </c>
      <c r="B40" t="s">
        <v>3</v>
      </c>
      <c r="C40" t="s">
        <v>75</v>
      </c>
      <c r="D40" t="str">
        <f>INDEX('Pool Points'!$E:$E,MATCH(B40,'Pool Points'!$A:$A,0))</f>
        <v>CARR-B</v>
      </c>
      <c r="E40" t="s">
        <v>156</v>
      </c>
      <c r="F40" t="s">
        <v>157</v>
      </c>
      <c r="G40">
        <v>10</v>
      </c>
      <c r="H40" s="13">
        <v>42005</v>
      </c>
      <c r="I40" s="14">
        <f>SUMIFS('Store Forecast'!$D$5:$D$3540,'Store Forecast'!$C$5:$C$3540,$A40,'Store Forecast'!$A$5:$A$3540,I$3)</f>
        <v>20</v>
      </c>
      <c r="J40" s="14">
        <f>SUMIFS('Store Forecast'!$D$5:$D$3540,'Store Forecast'!$C$5:$C$3540,$A40,'Store Forecast'!$A$5:$A$3540,J$3)</f>
        <v>20.100000000000001</v>
      </c>
      <c r="K40" s="14">
        <f>SUMIFS('Store Forecast'!$D$5:$D$3540,'Store Forecast'!$C$5:$C$3540,$A40,'Store Forecast'!$A$5:$A$3540,K$3)</f>
        <v>20</v>
      </c>
      <c r="L40" s="14">
        <f>SUMIFS('Store Forecast'!$D$5:$D$3540,'Store Forecast'!$C$5:$C$3540,$A40,'Store Forecast'!$A$5:$A$3540,L$3)</f>
        <v>19.5</v>
      </c>
      <c r="M40" s="14">
        <v>29.1</v>
      </c>
      <c r="N40">
        <v>29</v>
      </c>
      <c r="O40">
        <v>0</v>
      </c>
      <c r="P40" t="str">
        <f t="shared" si="1"/>
        <v>On plan</v>
      </c>
    </row>
    <row r="41" spans="1:16" x14ac:dyDescent="0.35">
      <c r="A41" t="s">
        <v>200</v>
      </c>
      <c r="B41" t="s">
        <v>3</v>
      </c>
      <c r="C41" t="s">
        <v>75</v>
      </c>
      <c r="D41" t="str">
        <f>INDEX('Pool Points'!$E:$E,MATCH(B41,'Pool Points'!$A:$A,0))</f>
        <v>CARR-B</v>
      </c>
      <c r="E41" t="s">
        <v>160</v>
      </c>
      <c r="F41" t="s">
        <v>168</v>
      </c>
      <c r="G41">
        <v>12</v>
      </c>
      <c r="H41" s="13">
        <v>42005</v>
      </c>
      <c r="I41" s="14">
        <f>SUMIFS('Store Forecast'!$D$5:$D$3540,'Store Forecast'!$C$5:$C$3540,$A41,'Store Forecast'!$A$5:$A$3540,I$3)</f>
        <v>14.4</v>
      </c>
      <c r="J41" s="14">
        <f>SUMIFS('Store Forecast'!$D$5:$D$3540,'Store Forecast'!$C$5:$C$3540,$A41,'Store Forecast'!$A$5:$A$3540,J$3)</f>
        <v>14.5</v>
      </c>
      <c r="K41" s="14">
        <f>SUMIFS('Store Forecast'!$D$5:$D$3540,'Store Forecast'!$C$5:$C$3540,$A41,'Store Forecast'!$A$5:$A$3540,K$3)</f>
        <v>14.4</v>
      </c>
      <c r="L41" s="14">
        <f>SUMIFS('Store Forecast'!$D$5:$D$3540,'Store Forecast'!$C$5:$C$3540,$A41,'Store Forecast'!$A$5:$A$3540,L$3)</f>
        <v>14</v>
      </c>
      <c r="M41" s="14">
        <v>20.9</v>
      </c>
      <c r="N41">
        <v>21</v>
      </c>
      <c r="O41">
        <v>0</v>
      </c>
      <c r="P41" t="str">
        <f t="shared" si="1"/>
        <v>On plan</v>
      </c>
    </row>
    <row r="42" spans="1:16" x14ac:dyDescent="0.35">
      <c r="A42" t="s">
        <v>201</v>
      </c>
      <c r="B42" t="s">
        <v>3</v>
      </c>
      <c r="C42" t="s">
        <v>75</v>
      </c>
      <c r="D42" t="str">
        <f>INDEX('Pool Points'!$E:$E,MATCH(B42,'Pool Points'!$A:$A,0))</f>
        <v>CARR-B</v>
      </c>
      <c r="E42" t="s">
        <v>156</v>
      </c>
      <c r="F42" t="s">
        <v>157</v>
      </c>
      <c r="G42">
        <v>12</v>
      </c>
      <c r="H42" s="13">
        <v>45346</v>
      </c>
      <c r="I42" s="14">
        <f>SUMIFS('Store Forecast'!$D$5:$D$3540,'Store Forecast'!$C$5:$C$3540,$A42,'Store Forecast'!$A$5:$A$3540,I$3)</f>
        <v>22.8</v>
      </c>
      <c r="J42" s="14">
        <f>SUMIFS('Store Forecast'!$D$5:$D$3540,'Store Forecast'!$C$5:$C$3540,$A42,'Store Forecast'!$A$5:$A$3540,J$3)</f>
        <v>23</v>
      </c>
      <c r="K42" s="14">
        <f>SUMIFS('Store Forecast'!$D$5:$D$3540,'Store Forecast'!$C$5:$C$3540,$A42,'Store Forecast'!$A$5:$A$3540,K$3)</f>
        <v>22.8</v>
      </c>
      <c r="L42" s="14">
        <f>SUMIFS('Store Forecast'!$D$5:$D$3540,'Store Forecast'!$C$5:$C$3540,$A42,'Store Forecast'!$A$5:$A$3540,L$3)</f>
        <v>22.3</v>
      </c>
      <c r="M42" s="14">
        <v>33.200000000000003</v>
      </c>
      <c r="N42">
        <v>33</v>
      </c>
      <c r="O42">
        <v>0</v>
      </c>
      <c r="P42" t="str">
        <f t="shared" si="1"/>
        <v>On plan</v>
      </c>
    </row>
    <row r="43" spans="1:16" x14ac:dyDescent="0.35">
      <c r="A43" t="s">
        <v>202</v>
      </c>
      <c r="B43" t="s">
        <v>3</v>
      </c>
      <c r="C43" t="s">
        <v>75</v>
      </c>
      <c r="D43" t="str">
        <f>INDEX('Pool Points'!$E:$E,MATCH(B43,'Pool Points'!$A:$A,0))</f>
        <v>CARR-B</v>
      </c>
      <c r="E43" t="s">
        <v>165</v>
      </c>
      <c r="F43" t="s">
        <v>166</v>
      </c>
      <c r="G43">
        <v>8</v>
      </c>
      <c r="H43" s="13">
        <v>42005</v>
      </c>
      <c r="I43" s="14">
        <f>SUMIFS('Store Forecast'!$D$5:$D$3540,'Store Forecast'!$C$5:$C$3540,$A43,'Store Forecast'!$A$5:$A$3540,I$3)</f>
        <v>9.3000000000000007</v>
      </c>
      <c r="J43" s="14">
        <f>SUMIFS('Store Forecast'!$D$5:$D$3540,'Store Forecast'!$C$5:$C$3540,$A43,'Store Forecast'!$A$5:$A$3540,J$3)</f>
        <v>9.4</v>
      </c>
      <c r="K43" s="14">
        <f>SUMIFS('Store Forecast'!$D$5:$D$3540,'Store Forecast'!$C$5:$C$3540,$A43,'Store Forecast'!$A$5:$A$3540,K$3)</f>
        <v>9.3000000000000007</v>
      </c>
      <c r="L43" s="14">
        <f>SUMIFS('Store Forecast'!$D$5:$D$3540,'Store Forecast'!$C$5:$C$3540,$A43,'Store Forecast'!$A$5:$A$3540,L$3)</f>
        <v>9.1</v>
      </c>
      <c r="M43" s="14">
        <v>13.5</v>
      </c>
      <c r="N43">
        <v>14</v>
      </c>
      <c r="O43">
        <v>0</v>
      </c>
      <c r="P43" t="str">
        <f t="shared" si="1"/>
        <v>On plan</v>
      </c>
    </row>
    <row r="44" spans="1:16" x14ac:dyDescent="0.35">
      <c r="A44" t="s">
        <v>203</v>
      </c>
      <c r="B44" t="s">
        <v>3</v>
      </c>
      <c r="C44" t="s">
        <v>75</v>
      </c>
      <c r="D44" t="str">
        <f>INDEX('Pool Points'!$E:$E,MATCH(B44,'Pool Points'!$A:$A,0))</f>
        <v>CARR-B</v>
      </c>
      <c r="E44" t="s">
        <v>160</v>
      </c>
      <c r="F44" t="s">
        <v>163</v>
      </c>
      <c r="G44">
        <v>9</v>
      </c>
      <c r="H44" s="13">
        <v>42005</v>
      </c>
      <c r="I44" s="14">
        <f>SUMIFS('Store Forecast'!$D$5:$D$3540,'Store Forecast'!$C$5:$C$3540,$A44,'Store Forecast'!$A$5:$A$3540,I$3)</f>
        <v>15.7</v>
      </c>
      <c r="J44" s="14">
        <f>SUMIFS('Store Forecast'!$D$5:$D$3540,'Store Forecast'!$C$5:$C$3540,$A44,'Store Forecast'!$A$5:$A$3540,J$3)</f>
        <v>15.8</v>
      </c>
      <c r="K44" s="14">
        <f>SUMIFS('Store Forecast'!$D$5:$D$3540,'Store Forecast'!$C$5:$C$3540,$A44,'Store Forecast'!$A$5:$A$3540,K$3)</f>
        <v>15.7</v>
      </c>
      <c r="L44" s="14">
        <f>SUMIFS('Store Forecast'!$D$5:$D$3540,'Store Forecast'!$C$5:$C$3540,$A44,'Store Forecast'!$A$5:$A$3540,L$3)</f>
        <v>15.3</v>
      </c>
      <c r="M44" s="14">
        <v>22.9</v>
      </c>
      <c r="N44">
        <v>23</v>
      </c>
      <c r="O44">
        <v>0</v>
      </c>
      <c r="P44" t="str">
        <f t="shared" si="1"/>
        <v>On plan</v>
      </c>
    </row>
    <row r="45" spans="1:16" x14ac:dyDescent="0.35">
      <c r="A45" t="s">
        <v>204</v>
      </c>
      <c r="B45" t="s">
        <v>3</v>
      </c>
      <c r="C45" t="s">
        <v>75</v>
      </c>
      <c r="D45" t="str">
        <f>INDEX('Pool Points'!$E:$E,MATCH(B45,'Pool Points'!$A:$A,0))</f>
        <v>CARR-B</v>
      </c>
      <c r="E45" t="s">
        <v>165</v>
      </c>
      <c r="F45" t="s">
        <v>166</v>
      </c>
      <c r="G45">
        <v>8</v>
      </c>
      <c r="H45" s="13">
        <v>42005</v>
      </c>
      <c r="I45" s="14">
        <f>SUMIFS('Store Forecast'!$D$5:$D$3540,'Store Forecast'!$C$5:$C$3540,$A45,'Store Forecast'!$A$5:$A$3540,I$3)</f>
        <v>8.9</v>
      </c>
      <c r="J45" s="14">
        <f>SUMIFS('Store Forecast'!$D$5:$D$3540,'Store Forecast'!$C$5:$C$3540,$A45,'Store Forecast'!$A$5:$A$3540,J$3)</f>
        <v>9</v>
      </c>
      <c r="K45" s="14">
        <f>SUMIFS('Store Forecast'!$D$5:$D$3540,'Store Forecast'!$C$5:$C$3540,$A45,'Store Forecast'!$A$5:$A$3540,K$3)</f>
        <v>8.9</v>
      </c>
      <c r="L45" s="14">
        <f>SUMIFS('Store Forecast'!$D$5:$D$3540,'Store Forecast'!$C$5:$C$3540,$A45,'Store Forecast'!$A$5:$A$3540,L$3)</f>
        <v>8.6999999999999993</v>
      </c>
      <c r="M45" s="14">
        <v>13</v>
      </c>
      <c r="N45">
        <v>13</v>
      </c>
      <c r="O45">
        <v>0</v>
      </c>
      <c r="P45" t="str">
        <f t="shared" si="1"/>
        <v>On plan</v>
      </c>
    </row>
    <row r="46" spans="1:16" x14ac:dyDescent="0.35">
      <c r="A46" t="s">
        <v>205</v>
      </c>
      <c r="B46" t="s">
        <v>3</v>
      </c>
      <c r="C46" t="s">
        <v>75</v>
      </c>
      <c r="D46" t="str">
        <f>INDEX('Pool Points'!$E:$E,MATCH(B46,'Pool Points'!$A:$A,0))</f>
        <v>CARR-B</v>
      </c>
      <c r="E46" t="s">
        <v>156</v>
      </c>
      <c r="F46" t="s">
        <v>157</v>
      </c>
      <c r="G46">
        <v>14</v>
      </c>
      <c r="H46" s="13">
        <v>42005</v>
      </c>
      <c r="I46" s="14">
        <f>SUMIFS('Store Forecast'!$D$5:$D$3540,'Store Forecast'!$C$5:$C$3540,$A46,'Store Forecast'!$A$5:$A$3540,I$3)</f>
        <v>25.5</v>
      </c>
      <c r="J46" s="14">
        <f>SUMIFS('Store Forecast'!$D$5:$D$3540,'Store Forecast'!$C$5:$C$3540,$A46,'Store Forecast'!$A$5:$A$3540,J$3)</f>
        <v>25.6</v>
      </c>
      <c r="K46" s="14">
        <f>SUMIFS('Store Forecast'!$D$5:$D$3540,'Store Forecast'!$C$5:$C$3540,$A46,'Store Forecast'!$A$5:$A$3540,K$3)</f>
        <v>25.5</v>
      </c>
      <c r="L46" s="14">
        <f>SUMIFS('Store Forecast'!$D$5:$D$3540,'Store Forecast'!$C$5:$C$3540,$A46,'Store Forecast'!$A$5:$A$3540,L$3)</f>
        <v>24.9</v>
      </c>
      <c r="M46" s="14">
        <v>37.1</v>
      </c>
      <c r="N46">
        <v>37</v>
      </c>
      <c r="O46">
        <v>0</v>
      </c>
      <c r="P46" t="str">
        <f t="shared" si="1"/>
        <v>On plan</v>
      </c>
    </row>
    <row r="47" spans="1:16" x14ac:dyDescent="0.35">
      <c r="A47" t="s">
        <v>206</v>
      </c>
      <c r="B47" t="s">
        <v>3</v>
      </c>
      <c r="C47" t="s">
        <v>75</v>
      </c>
      <c r="D47" t="str">
        <f>INDEX('Pool Points'!$E:$E,MATCH(B47,'Pool Points'!$A:$A,0))</f>
        <v>CARR-B</v>
      </c>
      <c r="E47" t="s">
        <v>156</v>
      </c>
      <c r="F47" t="s">
        <v>157</v>
      </c>
      <c r="G47">
        <v>13</v>
      </c>
      <c r="H47" s="13">
        <v>42005</v>
      </c>
      <c r="I47" s="14">
        <f>SUMIFS('Store Forecast'!$D$5:$D$3540,'Store Forecast'!$C$5:$C$3540,$A47,'Store Forecast'!$A$5:$A$3540,I$3)</f>
        <v>24.1</v>
      </c>
      <c r="J47" s="14">
        <f>SUMIFS('Store Forecast'!$D$5:$D$3540,'Store Forecast'!$C$5:$C$3540,$A47,'Store Forecast'!$A$5:$A$3540,J$3)</f>
        <v>24.2</v>
      </c>
      <c r="K47" s="14">
        <f>SUMIFS('Store Forecast'!$D$5:$D$3540,'Store Forecast'!$C$5:$C$3540,$A47,'Store Forecast'!$A$5:$A$3540,K$3)</f>
        <v>24</v>
      </c>
      <c r="L47" s="14">
        <f>SUMIFS('Store Forecast'!$D$5:$D$3540,'Store Forecast'!$C$5:$C$3540,$A47,'Store Forecast'!$A$5:$A$3540,L$3)</f>
        <v>23.5</v>
      </c>
      <c r="M47" s="14">
        <v>35.1</v>
      </c>
      <c r="N47">
        <v>35</v>
      </c>
      <c r="O47">
        <v>0</v>
      </c>
      <c r="P47" t="str">
        <f t="shared" si="1"/>
        <v>On plan</v>
      </c>
    </row>
    <row r="48" spans="1:16" x14ac:dyDescent="0.35">
      <c r="A48" t="s">
        <v>207</v>
      </c>
      <c r="B48" t="s">
        <v>3</v>
      </c>
      <c r="C48" t="s">
        <v>75</v>
      </c>
      <c r="D48" t="str">
        <f>INDEX('Pool Points'!$E:$E,MATCH(B48,'Pool Points'!$A:$A,0))</f>
        <v>CARR-B</v>
      </c>
      <c r="E48" t="s">
        <v>156</v>
      </c>
      <c r="F48" t="s">
        <v>157</v>
      </c>
      <c r="G48">
        <v>13</v>
      </c>
      <c r="H48" s="13">
        <v>42005</v>
      </c>
      <c r="I48" s="14">
        <f>SUMIFS('Store Forecast'!$D$5:$D$3540,'Store Forecast'!$C$5:$C$3540,$A48,'Store Forecast'!$A$5:$A$3540,I$3)</f>
        <v>24.4</v>
      </c>
      <c r="J48" s="14">
        <f>SUMIFS('Store Forecast'!$D$5:$D$3540,'Store Forecast'!$C$5:$C$3540,$A48,'Store Forecast'!$A$5:$A$3540,J$3)</f>
        <v>24.5</v>
      </c>
      <c r="K48" s="14">
        <f>SUMIFS('Store Forecast'!$D$5:$D$3540,'Store Forecast'!$C$5:$C$3540,$A48,'Store Forecast'!$A$5:$A$3540,K$3)</f>
        <v>24.4</v>
      </c>
      <c r="L48" s="14">
        <f>SUMIFS('Store Forecast'!$D$5:$D$3540,'Store Forecast'!$C$5:$C$3540,$A48,'Store Forecast'!$A$5:$A$3540,L$3)</f>
        <v>23.8</v>
      </c>
      <c r="M48" s="14">
        <v>35.5</v>
      </c>
      <c r="N48">
        <v>36</v>
      </c>
      <c r="O48">
        <v>0</v>
      </c>
      <c r="P48" t="str">
        <f t="shared" si="1"/>
        <v>On plan</v>
      </c>
    </row>
    <row r="49" spans="1:16" x14ac:dyDescent="0.35">
      <c r="A49" t="s">
        <v>208</v>
      </c>
      <c r="B49" t="s">
        <v>3</v>
      </c>
      <c r="C49" t="s">
        <v>75</v>
      </c>
      <c r="D49" t="str">
        <f>INDEX('Pool Points'!$E:$E,MATCH(B49,'Pool Points'!$A:$A,0))</f>
        <v>CARR-B</v>
      </c>
      <c r="E49" t="s">
        <v>156</v>
      </c>
      <c r="F49" t="s">
        <v>163</v>
      </c>
      <c r="G49">
        <v>13</v>
      </c>
      <c r="H49" s="13">
        <v>45269</v>
      </c>
      <c r="I49" s="14">
        <f>SUMIFS('Store Forecast'!$D$5:$D$3540,'Store Forecast'!$C$5:$C$3540,$A49,'Store Forecast'!$A$5:$A$3540,I$3)</f>
        <v>23.5</v>
      </c>
      <c r="J49" s="14">
        <f>SUMIFS('Store Forecast'!$D$5:$D$3540,'Store Forecast'!$C$5:$C$3540,$A49,'Store Forecast'!$A$5:$A$3540,J$3)</f>
        <v>23.7</v>
      </c>
      <c r="K49" s="14">
        <f>SUMIFS('Store Forecast'!$D$5:$D$3540,'Store Forecast'!$C$5:$C$3540,$A49,'Store Forecast'!$A$5:$A$3540,K$3)</f>
        <v>23.5</v>
      </c>
      <c r="L49" s="14">
        <f>SUMIFS('Store Forecast'!$D$5:$D$3540,'Store Forecast'!$C$5:$C$3540,$A49,'Store Forecast'!$A$5:$A$3540,L$3)</f>
        <v>23</v>
      </c>
      <c r="M49" s="14">
        <v>34.299999999999997</v>
      </c>
      <c r="N49">
        <v>34</v>
      </c>
      <c r="O49">
        <v>0</v>
      </c>
      <c r="P49" t="str">
        <f t="shared" si="1"/>
        <v>On plan</v>
      </c>
    </row>
    <row r="50" spans="1:16" x14ac:dyDescent="0.35">
      <c r="A50" t="s">
        <v>209</v>
      </c>
      <c r="B50" t="s">
        <v>3</v>
      </c>
      <c r="C50" t="s">
        <v>75</v>
      </c>
      <c r="D50" t="str">
        <f>INDEX('Pool Points'!$E:$E,MATCH(B50,'Pool Points'!$A:$A,0))</f>
        <v>CARR-B</v>
      </c>
      <c r="E50" t="s">
        <v>156</v>
      </c>
      <c r="F50" t="s">
        <v>163</v>
      </c>
      <c r="G50">
        <v>12</v>
      </c>
      <c r="H50" s="13">
        <v>42005</v>
      </c>
      <c r="I50" s="14">
        <f>SUMIFS('Store Forecast'!$D$5:$D$3540,'Store Forecast'!$C$5:$C$3540,$A50,'Store Forecast'!$A$5:$A$3540,I$3)</f>
        <v>22.3</v>
      </c>
      <c r="J50" s="14">
        <f>SUMIFS('Store Forecast'!$D$5:$D$3540,'Store Forecast'!$C$5:$C$3540,$A50,'Store Forecast'!$A$5:$A$3540,J$3)</f>
        <v>22.4</v>
      </c>
      <c r="K50" s="14">
        <f>SUMIFS('Store Forecast'!$D$5:$D$3540,'Store Forecast'!$C$5:$C$3540,$A50,'Store Forecast'!$A$5:$A$3540,K$3)</f>
        <v>22.3</v>
      </c>
      <c r="L50" s="14">
        <f>SUMIFS('Store Forecast'!$D$5:$D$3540,'Store Forecast'!$C$5:$C$3540,$A50,'Store Forecast'!$A$5:$A$3540,L$3)</f>
        <v>21.7</v>
      </c>
      <c r="M50" s="14">
        <v>32.4</v>
      </c>
      <c r="N50">
        <v>32</v>
      </c>
      <c r="O50">
        <v>0</v>
      </c>
      <c r="P50" t="str">
        <f t="shared" si="1"/>
        <v>On plan</v>
      </c>
    </row>
    <row r="51" spans="1:16" x14ac:dyDescent="0.35">
      <c r="A51" t="s">
        <v>210</v>
      </c>
      <c r="B51" t="s">
        <v>3</v>
      </c>
      <c r="C51" t="s">
        <v>75</v>
      </c>
      <c r="D51" t="str">
        <f>INDEX('Pool Points'!$E:$E,MATCH(B51,'Pool Points'!$A:$A,0))</f>
        <v>CARR-B</v>
      </c>
      <c r="E51" t="s">
        <v>160</v>
      </c>
      <c r="F51" t="s">
        <v>168</v>
      </c>
      <c r="G51">
        <v>12</v>
      </c>
      <c r="H51" s="13">
        <v>42005</v>
      </c>
      <c r="I51" s="14">
        <f>SUMIFS('Store Forecast'!$D$5:$D$3540,'Store Forecast'!$C$5:$C$3540,$A51,'Store Forecast'!$A$5:$A$3540,I$3)</f>
        <v>14.2</v>
      </c>
      <c r="J51" s="14">
        <f>SUMIFS('Store Forecast'!$D$5:$D$3540,'Store Forecast'!$C$5:$C$3540,$A51,'Store Forecast'!$A$5:$A$3540,J$3)</f>
        <v>14.3</v>
      </c>
      <c r="K51" s="14">
        <f>SUMIFS('Store Forecast'!$D$5:$D$3540,'Store Forecast'!$C$5:$C$3540,$A51,'Store Forecast'!$A$5:$A$3540,K$3)</f>
        <v>14.2</v>
      </c>
      <c r="L51" s="14">
        <f>SUMIFS('Store Forecast'!$D$5:$D$3540,'Store Forecast'!$C$5:$C$3540,$A51,'Store Forecast'!$A$5:$A$3540,L$3)</f>
        <v>13.9</v>
      </c>
      <c r="M51" s="14">
        <v>20.7</v>
      </c>
      <c r="N51">
        <v>21</v>
      </c>
      <c r="O51">
        <v>0</v>
      </c>
      <c r="P51" t="str">
        <f t="shared" si="1"/>
        <v>On plan</v>
      </c>
    </row>
    <row r="52" spans="1:16" x14ac:dyDescent="0.35">
      <c r="A52" t="s">
        <v>211</v>
      </c>
      <c r="B52" t="s">
        <v>3</v>
      </c>
      <c r="C52" t="s">
        <v>75</v>
      </c>
      <c r="D52" t="str">
        <f>INDEX('Pool Points'!$E:$E,MATCH(B52,'Pool Points'!$A:$A,0))</f>
        <v>CARR-B</v>
      </c>
      <c r="E52" t="s">
        <v>160</v>
      </c>
      <c r="F52" t="s">
        <v>161</v>
      </c>
      <c r="G52">
        <v>13</v>
      </c>
      <c r="H52" s="13">
        <v>42005</v>
      </c>
      <c r="I52" s="14">
        <f>SUMIFS('Store Forecast'!$D$5:$D$3540,'Store Forecast'!$C$5:$C$3540,$A52,'Store Forecast'!$A$5:$A$3540,I$3)</f>
        <v>15.6</v>
      </c>
      <c r="J52" s="14">
        <f>SUMIFS('Store Forecast'!$D$5:$D$3540,'Store Forecast'!$C$5:$C$3540,$A52,'Store Forecast'!$A$5:$A$3540,J$3)</f>
        <v>15.7</v>
      </c>
      <c r="K52" s="14">
        <f>SUMIFS('Store Forecast'!$D$5:$D$3540,'Store Forecast'!$C$5:$C$3540,$A52,'Store Forecast'!$A$5:$A$3540,K$3)</f>
        <v>15.6</v>
      </c>
      <c r="L52" s="14">
        <f>SUMIFS('Store Forecast'!$D$5:$D$3540,'Store Forecast'!$C$5:$C$3540,$A52,'Store Forecast'!$A$5:$A$3540,L$3)</f>
        <v>15.3</v>
      </c>
      <c r="M52" s="14">
        <v>22.8</v>
      </c>
      <c r="N52">
        <v>23</v>
      </c>
      <c r="O52">
        <v>0</v>
      </c>
      <c r="P52" t="str">
        <f t="shared" si="1"/>
        <v>On plan</v>
      </c>
    </row>
    <row r="53" spans="1:16" x14ac:dyDescent="0.35">
      <c r="A53" t="s">
        <v>212</v>
      </c>
      <c r="B53" t="s">
        <v>3</v>
      </c>
      <c r="C53" t="s">
        <v>75</v>
      </c>
      <c r="D53" t="str">
        <f>INDEX('Pool Points'!$E:$E,MATCH(B53,'Pool Points'!$A:$A,0))</f>
        <v>CARR-B</v>
      </c>
      <c r="E53" t="s">
        <v>156</v>
      </c>
      <c r="F53" t="s">
        <v>163</v>
      </c>
      <c r="G53">
        <v>12</v>
      </c>
      <c r="H53" s="13">
        <v>42005</v>
      </c>
      <c r="I53" s="14">
        <f>SUMIFS('Store Forecast'!$D$5:$D$3540,'Store Forecast'!$C$5:$C$3540,$A53,'Store Forecast'!$A$5:$A$3540,I$3)</f>
        <v>22</v>
      </c>
      <c r="J53" s="14">
        <f>SUMIFS('Store Forecast'!$D$5:$D$3540,'Store Forecast'!$C$5:$C$3540,$A53,'Store Forecast'!$A$5:$A$3540,J$3)</f>
        <v>22.1</v>
      </c>
      <c r="K53" s="14">
        <f>SUMIFS('Store Forecast'!$D$5:$D$3540,'Store Forecast'!$C$5:$C$3540,$A53,'Store Forecast'!$A$5:$A$3540,K$3)</f>
        <v>21.9</v>
      </c>
      <c r="L53" s="14">
        <f>SUMIFS('Store Forecast'!$D$5:$D$3540,'Store Forecast'!$C$5:$C$3540,$A53,'Store Forecast'!$A$5:$A$3540,L$3)</f>
        <v>21.4</v>
      </c>
      <c r="M53" s="14">
        <v>32</v>
      </c>
      <c r="N53">
        <v>32</v>
      </c>
      <c r="O53">
        <v>0</v>
      </c>
      <c r="P53" t="str">
        <f t="shared" si="1"/>
        <v>On plan</v>
      </c>
    </row>
    <row r="54" spans="1:16" x14ac:dyDescent="0.35">
      <c r="A54" t="s">
        <v>213</v>
      </c>
      <c r="B54" t="s">
        <v>3</v>
      </c>
      <c r="C54" t="s">
        <v>75</v>
      </c>
      <c r="D54" t="str">
        <f>INDEX('Pool Points'!$E:$E,MATCH(B54,'Pool Points'!$A:$A,0))</f>
        <v>CARR-B</v>
      </c>
      <c r="E54" t="s">
        <v>160</v>
      </c>
      <c r="F54" t="s">
        <v>161</v>
      </c>
      <c r="G54">
        <v>10</v>
      </c>
      <c r="H54" s="13">
        <v>42005</v>
      </c>
      <c r="I54" s="14">
        <f>SUMIFS('Store Forecast'!$D$5:$D$3540,'Store Forecast'!$C$5:$C$3540,$A54,'Store Forecast'!$A$5:$A$3540,I$3)</f>
        <v>12.7</v>
      </c>
      <c r="J54" s="14">
        <f>SUMIFS('Store Forecast'!$D$5:$D$3540,'Store Forecast'!$C$5:$C$3540,$A54,'Store Forecast'!$A$5:$A$3540,J$3)</f>
        <v>12.8</v>
      </c>
      <c r="K54" s="14">
        <f>SUMIFS('Store Forecast'!$D$5:$D$3540,'Store Forecast'!$C$5:$C$3540,$A54,'Store Forecast'!$A$5:$A$3540,K$3)</f>
        <v>12.7</v>
      </c>
      <c r="L54" s="14">
        <f>SUMIFS('Store Forecast'!$D$5:$D$3540,'Store Forecast'!$C$5:$C$3540,$A54,'Store Forecast'!$A$5:$A$3540,L$3)</f>
        <v>12.4</v>
      </c>
      <c r="M54" s="14">
        <v>18.600000000000001</v>
      </c>
      <c r="N54">
        <v>19</v>
      </c>
      <c r="O54">
        <v>0</v>
      </c>
      <c r="P54" t="str">
        <f t="shared" si="1"/>
        <v>On plan</v>
      </c>
    </row>
    <row r="55" spans="1:16" x14ac:dyDescent="0.35">
      <c r="A55" t="s">
        <v>214</v>
      </c>
      <c r="B55" t="s">
        <v>3</v>
      </c>
      <c r="C55" t="s">
        <v>75</v>
      </c>
      <c r="D55" t="str">
        <f>INDEX('Pool Points'!$E:$E,MATCH(B55,'Pool Points'!$A:$A,0))</f>
        <v>CARR-B</v>
      </c>
      <c r="E55" t="s">
        <v>160</v>
      </c>
      <c r="F55" t="s">
        <v>157</v>
      </c>
      <c r="G55">
        <v>8</v>
      </c>
      <c r="H55" s="13">
        <v>42005</v>
      </c>
      <c r="I55" s="14">
        <f>SUMIFS('Store Forecast'!$D$5:$D$3540,'Store Forecast'!$C$5:$C$3540,$A55,'Store Forecast'!$A$5:$A$3540,I$3)</f>
        <v>15.2</v>
      </c>
      <c r="J55" s="14">
        <f>SUMIFS('Store Forecast'!$D$5:$D$3540,'Store Forecast'!$C$5:$C$3540,$A55,'Store Forecast'!$A$5:$A$3540,J$3)</f>
        <v>15.3</v>
      </c>
      <c r="K55" s="14">
        <f>SUMIFS('Store Forecast'!$D$5:$D$3540,'Store Forecast'!$C$5:$C$3540,$A55,'Store Forecast'!$A$5:$A$3540,K$3)</f>
        <v>15.1</v>
      </c>
      <c r="L55" s="14">
        <f>SUMIFS('Store Forecast'!$D$5:$D$3540,'Store Forecast'!$C$5:$C$3540,$A55,'Store Forecast'!$A$5:$A$3540,L$3)</f>
        <v>14.8</v>
      </c>
      <c r="M55" s="14">
        <v>22.1</v>
      </c>
      <c r="N55">
        <v>22</v>
      </c>
      <c r="O55">
        <v>0</v>
      </c>
      <c r="P55" t="str">
        <f t="shared" si="1"/>
        <v>On plan</v>
      </c>
    </row>
    <row r="56" spans="1:16" x14ac:dyDescent="0.35">
      <c r="A56" t="s">
        <v>215</v>
      </c>
      <c r="B56" t="s">
        <v>3</v>
      </c>
      <c r="C56" t="s">
        <v>75</v>
      </c>
      <c r="D56" t="str">
        <f>INDEX('Pool Points'!$E:$E,MATCH(B56,'Pool Points'!$A:$A,0))</f>
        <v>CARR-B</v>
      </c>
      <c r="E56" t="s">
        <v>165</v>
      </c>
      <c r="F56" t="s">
        <v>161</v>
      </c>
      <c r="G56">
        <v>9</v>
      </c>
      <c r="H56" s="13">
        <v>42005</v>
      </c>
      <c r="I56" s="14">
        <f>SUMIFS('Store Forecast'!$D$5:$D$3540,'Store Forecast'!$C$5:$C$3540,$A56,'Store Forecast'!$A$5:$A$3540,I$3)</f>
        <v>11</v>
      </c>
      <c r="J56" s="14">
        <f>SUMIFS('Store Forecast'!$D$5:$D$3540,'Store Forecast'!$C$5:$C$3540,$A56,'Store Forecast'!$A$5:$A$3540,J$3)</f>
        <v>11</v>
      </c>
      <c r="K56" s="14">
        <f>SUMIFS('Store Forecast'!$D$5:$D$3540,'Store Forecast'!$C$5:$C$3540,$A56,'Store Forecast'!$A$5:$A$3540,K$3)</f>
        <v>10.9</v>
      </c>
      <c r="L56" s="14">
        <f>SUMIFS('Store Forecast'!$D$5:$D$3540,'Store Forecast'!$C$5:$C$3540,$A56,'Store Forecast'!$A$5:$A$3540,L$3)</f>
        <v>10.7</v>
      </c>
      <c r="M56" s="14">
        <v>15.9</v>
      </c>
      <c r="N56">
        <v>16</v>
      </c>
      <c r="O56">
        <v>0</v>
      </c>
      <c r="P56" t="str">
        <f t="shared" si="1"/>
        <v>On plan</v>
      </c>
    </row>
    <row r="57" spans="1:16" x14ac:dyDescent="0.35">
      <c r="A57" t="s">
        <v>216</v>
      </c>
      <c r="B57" t="s">
        <v>77</v>
      </c>
      <c r="C57" t="s">
        <v>78</v>
      </c>
      <c r="D57" t="str">
        <f>INDEX('Pool Points'!$E:$E,MATCH(B57,'Pool Points'!$A:$A,0))</f>
        <v>CARR-C</v>
      </c>
      <c r="E57" t="s">
        <v>160</v>
      </c>
      <c r="F57" t="s">
        <v>157</v>
      </c>
      <c r="G57">
        <v>8</v>
      </c>
      <c r="H57" s="13">
        <v>42005</v>
      </c>
      <c r="I57" s="14">
        <f>SUMIFS('Store Forecast'!$D$5:$D$3540,'Store Forecast'!$C$5:$C$3540,$A57,'Store Forecast'!$A$5:$A$3540,I$3)</f>
        <v>13.2</v>
      </c>
      <c r="J57" s="14">
        <f>SUMIFS('Store Forecast'!$D$5:$D$3540,'Store Forecast'!$C$5:$C$3540,$A57,'Store Forecast'!$A$5:$A$3540,J$3)</f>
        <v>13.4</v>
      </c>
      <c r="K57" s="14">
        <f>SUMIFS('Store Forecast'!$D$5:$D$3540,'Store Forecast'!$C$5:$C$3540,$A57,'Store Forecast'!$A$5:$A$3540,K$3)</f>
        <v>13.2</v>
      </c>
      <c r="L57" s="14">
        <f>SUMIFS('Store Forecast'!$D$5:$D$3540,'Store Forecast'!$C$5:$C$3540,$A57,'Store Forecast'!$A$5:$A$3540,L$3)</f>
        <v>12.9</v>
      </c>
      <c r="M57" s="14">
        <v>19.399999999999999</v>
      </c>
      <c r="N57">
        <v>19</v>
      </c>
      <c r="O57">
        <v>0</v>
      </c>
      <c r="P57" t="str">
        <f t="shared" si="1"/>
        <v>On plan</v>
      </c>
    </row>
    <row r="58" spans="1:16" x14ac:dyDescent="0.35">
      <c r="A58" t="s">
        <v>217</v>
      </c>
      <c r="B58" t="s">
        <v>77</v>
      </c>
      <c r="C58" t="s">
        <v>78</v>
      </c>
      <c r="D58" t="str">
        <f>INDEX('Pool Points'!$E:$E,MATCH(B58,'Pool Points'!$A:$A,0))</f>
        <v>CARR-C</v>
      </c>
      <c r="E58" t="s">
        <v>160</v>
      </c>
      <c r="F58" t="s">
        <v>157</v>
      </c>
      <c r="G58">
        <v>9</v>
      </c>
      <c r="H58" s="13">
        <v>42005</v>
      </c>
      <c r="I58" s="14">
        <f>SUMIFS('Store Forecast'!$D$5:$D$3540,'Store Forecast'!$C$5:$C$3540,$A58,'Store Forecast'!$A$5:$A$3540,I$3)</f>
        <v>15</v>
      </c>
      <c r="J58" s="14">
        <f>SUMIFS('Store Forecast'!$D$5:$D$3540,'Store Forecast'!$C$5:$C$3540,$A58,'Store Forecast'!$A$5:$A$3540,J$3)</f>
        <v>15.2</v>
      </c>
      <c r="K58" s="14">
        <f>SUMIFS('Store Forecast'!$D$5:$D$3540,'Store Forecast'!$C$5:$C$3540,$A58,'Store Forecast'!$A$5:$A$3540,K$3)</f>
        <v>15</v>
      </c>
      <c r="L58" s="14">
        <f>SUMIFS('Store Forecast'!$D$5:$D$3540,'Store Forecast'!$C$5:$C$3540,$A58,'Store Forecast'!$A$5:$A$3540,L$3)</f>
        <v>14.7</v>
      </c>
      <c r="M58" s="14">
        <v>22.1</v>
      </c>
      <c r="N58">
        <v>22</v>
      </c>
      <c r="O58">
        <v>0</v>
      </c>
      <c r="P58" t="str">
        <f t="shared" si="1"/>
        <v>On plan</v>
      </c>
    </row>
    <row r="59" spans="1:16" x14ac:dyDescent="0.35">
      <c r="A59" t="s">
        <v>218</v>
      </c>
      <c r="B59" t="s">
        <v>77</v>
      </c>
      <c r="C59" t="s">
        <v>78</v>
      </c>
      <c r="D59" t="str">
        <f>INDEX('Pool Points'!$E:$E,MATCH(B59,'Pool Points'!$A:$A,0))</f>
        <v>CARR-C</v>
      </c>
      <c r="E59" t="s">
        <v>160</v>
      </c>
      <c r="F59" t="s">
        <v>168</v>
      </c>
      <c r="G59">
        <v>12</v>
      </c>
      <c r="H59" s="13">
        <v>42005</v>
      </c>
      <c r="I59" s="14">
        <f>SUMIFS('Store Forecast'!$D$5:$D$3540,'Store Forecast'!$C$5:$C$3540,$A59,'Store Forecast'!$A$5:$A$3540,I$3)</f>
        <v>15.1</v>
      </c>
      <c r="J59" s="14">
        <f>SUMIFS('Store Forecast'!$D$5:$D$3540,'Store Forecast'!$C$5:$C$3540,$A59,'Store Forecast'!$A$5:$A$3540,J$3)</f>
        <v>15.3</v>
      </c>
      <c r="K59" s="14">
        <f>SUMIFS('Store Forecast'!$D$5:$D$3540,'Store Forecast'!$C$5:$C$3540,$A59,'Store Forecast'!$A$5:$A$3540,K$3)</f>
        <v>15.1</v>
      </c>
      <c r="L59" s="14">
        <f>SUMIFS('Store Forecast'!$D$5:$D$3540,'Store Forecast'!$C$5:$C$3540,$A59,'Store Forecast'!$A$5:$A$3540,L$3)</f>
        <v>14.8</v>
      </c>
      <c r="M59" s="14">
        <v>22.2</v>
      </c>
      <c r="N59">
        <v>22</v>
      </c>
      <c r="O59">
        <v>0</v>
      </c>
      <c r="P59" t="str">
        <f t="shared" si="1"/>
        <v>On plan</v>
      </c>
    </row>
    <row r="60" spans="1:16" x14ac:dyDescent="0.35">
      <c r="A60" t="s">
        <v>219</v>
      </c>
      <c r="B60" t="s">
        <v>77</v>
      </c>
      <c r="C60" t="s">
        <v>78</v>
      </c>
      <c r="D60" t="str">
        <f>INDEX('Pool Points'!$E:$E,MATCH(B60,'Pool Points'!$A:$A,0))</f>
        <v>CARR-C</v>
      </c>
      <c r="E60" t="s">
        <v>165</v>
      </c>
      <c r="F60" t="s">
        <v>168</v>
      </c>
      <c r="G60">
        <v>8</v>
      </c>
      <c r="H60" s="13">
        <v>42005</v>
      </c>
      <c r="I60" s="14">
        <f>SUMIFS('Store Forecast'!$D$5:$D$3540,'Store Forecast'!$C$5:$C$3540,$A60,'Store Forecast'!$A$5:$A$3540,I$3)</f>
        <v>8.6</v>
      </c>
      <c r="J60" s="14">
        <f>SUMIFS('Store Forecast'!$D$5:$D$3540,'Store Forecast'!$C$5:$C$3540,$A60,'Store Forecast'!$A$5:$A$3540,J$3)</f>
        <v>8.8000000000000007</v>
      </c>
      <c r="K60" s="14">
        <f>SUMIFS('Store Forecast'!$D$5:$D$3540,'Store Forecast'!$C$5:$C$3540,$A60,'Store Forecast'!$A$5:$A$3540,K$3)</f>
        <v>8.6999999999999993</v>
      </c>
      <c r="L60" s="14">
        <f>SUMIFS('Store Forecast'!$D$5:$D$3540,'Store Forecast'!$C$5:$C$3540,$A60,'Store Forecast'!$A$5:$A$3540,L$3)</f>
        <v>8.5</v>
      </c>
      <c r="M60" s="14">
        <v>12.7</v>
      </c>
      <c r="N60">
        <v>13</v>
      </c>
      <c r="O60">
        <v>0</v>
      </c>
      <c r="P60" t="str">
        <f t="shared" si="1"/>
        <v>On plan</v>
      </c>
    </row>
    <row r="61" spans="1:16" x14ac:dyDescent="0.35">
      <c r="A61" t="s">
        <v>220</v>
      </c>
      <c r="B61" t="s">
        <v>77</v>
      </c>
      <c r="C61" t="s">
        <v>78</v>
      </c>
      <c r="D61" t="str">
        <f>INDEX('Pool Points'!$E:$E,MATCH(B61,'Pool Points'!$A:$A,0))</f>
        <v>CARR-C</v>
      </c>
      <c r="E61" t="s">
        <v>160</v>
      </c>
      <c r="F61" t="s">
        <v>157</v>
      </c>
      <c r="G61">
        <v>8</v>
      </c>
      <c r="H61" s="13">
        <v>45619</v>
      </c>
      <c r="I61" s="14">
        <f>SUMIFS('Store Forecast'!$D$5:$D$3540,'Store Forecast'!$C$5:$C$3540,$A61,'Store Forecast'!$A$5:$A$3540,I$3)</f>
        <v>13</v>
      </c>
      <c r="J61" s="14">
        <f>SUMIFS('Store Forecast'!$D$5:$D$3540,'Store Forecast'!$C$5:$C$3540,$A61,'Store Forecast'!$A$5:$A$3540,J$3)</f>
        <v>13.2</v>
      </c>
      <c r="K61" s="14">
        <f>SUMIFS('Store Forecast'!$D$5:$D$3540,'Store Forecast'!$C$5:$C$3540,$A61,'Store Forecast'!$A$5:$A$3540,K$3)</f>
        <v>13.1</v>
      </c>
      <c r="L61" s="14">
        <f>SUMIFS('Store Forecast'!$D$5:$D$3540,'Store Forecast'!$C$5:$C$3540,$A61,'Store Forecast'!$A$5:$A$3540,L$3)</f>
        <v>12.8</v>
      </c>
      <c r="M61" s="14">
        <v>19.2</v>
      </c>
      <c r="N61">
        <v>19</v>
      </c>
      <c r="O61">
        <v>0</v>
      </c>
      <c r="P61" t="str">
        <f t="shared" si="1"/>
        <v>On plan</v>
      </c>
    </row>
    <row r="62" spans="1:16" x14ac:dyDescent="0.35">
      <c r="A62" t="s">
        <v>221</v>
      </c>
      <c r="B62" t="s">
        <v>77</v>
      </c>
      <c r="C62" t="s">
        <v>78</v>
      </c>
      <c r="D62" t="str">
        <f>INDEX('Pool Points'!$E:$E,MATCH(B62,'Pool Points'!$A:$A,0))</f>
        <v>CARR-C</v>
      </c>
      <c r="E62" t="s">
        <v>156</v>
      </c>
      <c r="F62" t="s">
        <v>163</v>
      </c>
      <c r="G62">
        <v>17</v>
      </c>
      <c r="H62" s="13">
        <v>42005</v>
      </c>
      <c r="I62" s="14">
        <f>SUMIFS('Store Forecast'!$D$5:$D$3540,'Store Forecast'!$C$5:$C$3540,$A62,'Store Forecast'!$A$5:$A$3540,I$3)</f>
        <v>31.3</v>
      </c>
      <c r="J62" s="14">
        <f>SUMIFS('Store Forecast'!$D$5:$D$3540,'Store Forecast'!$C$5:$C$3540,$A62,'Store Forecast'!$A$5:$A$3540,J$3)</f>
        <v>31.7</v>
      </c>
      <c r="K62" s="14">
        <f>SUMIFS('Store Forecast'!$D$5:$D$3540,'Store Forecast'!$C$5:$C$3540,$A62,'Store Forecast'!$A$5:$A$3540,K$3)</f>
        <v>31.4</v>
      </c>
      <c r="L62" s="14">
        <f>SUMIFS('Store Forecast'!$D$5:$D$3540,'Store Forecast'!$C$5:$C$3540,$A62,'Store Forecast'!$A$5:$A$3540,L$3)</f>
        <v>30.7</v>
      </c>
      <c r="M62" s="14">
        <v>46.2</v>
      </c>
      <c r="N62">
        <v>46</v>
      </c>
      <c r="O62">
        <v>0</v>
      </c>
      <c r="P62" t="str">
        <f t="shared" si="1"/>
        <v>On plan</v>
      </c>
    </row>
    <row r="63" spans="1:16" x14ac:dyDescent="0.35">
      <c r="A63" t="s">
        <v>222</v>
      </c>
      <c r="B63" t="s">
        <v>77</v>
      </c>
      <c r="C63" t="s">
        <v>78</v>
      </c>
      <c r="D63" t="str">
        <f>INDEX('Pool Points'!$E:$E,MATCH(B63,'Pool Points'!$A:$A,0))</f>
        <v>CARR-C</v>
      </c>
      <c r="E63" t="s">
        <v>160</v>
      </c>
      <c r="F63" t="s">
        <v>157</v>
      </c>
      <c r="G63">
        <v>8</v>
      </c>
      <c r="H63" s="13">
        <v>42005</v>
      </c>
      <c r="I63" s="14">
        <f>SUMIFS('Store Forecast'!$D$5:$D$3540,'Store Forecast'!$C$5:$C$3540,$A63,'Store Forecast'!$A$5:$A$3540,I$3)</f>
        <v>14.2</v>
      </c>
      <c r="J63" s="14">
        <f>SUMIFS('Store Forecast'!$D$5:$D$3540,'Store Forecast'!$C$5:$C$3540,$A63,'Store Forecast'!$A$5:$A$3540,J$3)</f>
        <v>14.4</v>
      </c>
      <c r="K63" s="14">
        <f>SUMIFS('Store Forecast'!$D$5:$D$3540,'Store Forecast'!$C$5:$C$3540,$A63,'Store Forecast'!$A$5:$A$3540,K$3)</f>
        <v>14.2</v>
      </c>
      <c r="L63" s="14">
        <f>SUMIFS('Store Forecast'!$D$5:$D$3540,'Store Forecast'!$C$5:$C$3540,$A63,'Store Forecast'!$A$5:$A$3540,L$3)</f>
        <v>13.9</v>
      </c>
      <c r="M63" s="14">
        <v>21</v>
      </c>
      <c r="N63">
        <v>21</v>
      </c>
      <c r="O63">
        <v>0</v>
      </c>
      <c r="P63" t="str">
        <f t="shared" si="1"/>
        <v>On plan</v>
      </c>
    </row>
    <row r="64" spans="1:16" x14ac:dyDescent="0.35">
      <c r="A64" t="s">
        <v>223</v>
      </c>
      <c r="B64" t="s">
        <v>77</v>
      </c>
      <c r="C64" t="s">
        <v>78</v>
      </c>
      <c r="D64" t="str">
        <f>INDEX('Pool Points'!$E:$E,MATCH(B64,'Pool Points'!$A:$A,0))</f>
        <v>CARR-C</v>
      </c>
      <c r="E64" t="s">
        <v>156</v>
      </c>
      <c r="F64" t="s">
        <v>163</v>
      </c>
      <c r="G64">
        <v>12</v>
      </c>
      <c r="H64" s="13">
        <v>42005</v>
      </c>
      <c r="I64" s="14">
        <f>SUMIFS('Store Forecast'!$D$5:$D$3540,'Store Forecast'!$C$5:$C$3540,$A64,'Store Forecast'!$A$5:$A$3540,I$3)</f>
        <v>20.6</v>
      </c>
      <c r="J64" s="14">
        <f>SUMIFS('Store Forecast'!$D$5:$D$3540,'Store Forecast'!$C$5:$C$3540,$A64,'Store Forecast'!$A$5:$A$3540,J$3)</f>
        <v>20.8</v>
      </c>
      <c r="K64" s="14">
        <f>SUMIFS('Store Forecast'!$D$5:$D$3540,'Store Forecast'!$C$5:$C$3540,$A64,'Store Forecast'!$A$5:$A$3540,K$3)</f>
        <v>20.6</v>
      </c>
      <c r="L64" s="14">
        <f>SUMIFS('Store Forecast'!$D$5:$D$3540,'Store Forecast'!$C$5:$C$3540,$A64,'Store Forecast'!$A$5:$A$3540,L$3)</f>
        <v>20.2</v>
      </c>
      <c r="M64" s="14">
        <v>30.3</v>
      </c>
      <c r="N64">
        <v>30</v>
      </c>
      <c r="O64">
        <v>0</v>
      </c>
      <c r="P64" t="str">
        <f t="shared" si="1"/>
        <v>On plan</v>
      </c>
    </row>
    <row r="65" spans="1:16" x14ac:dyDescent="0.35">
      <c r="A65" t="s">
        <v>224</v>
      </c>
      <c r="B65" t="s">
        <v>77</v>
      </c>
      <c r="C65" t="s">
        <v>78</v>
      </c>
      <c r="D65" t="str">
        <f>INDEX('Pool Points'!$E:$E,MATCH(B65,'Pool Points'!$A:$A,0))</f>
        <v>CARR-C</v>
      </c>
      <c r="E65" t="s">
        <v>160</v>
      </c>
      <c r="F65" t="s">
        <v>166</v>
      </c>
      <c r="G65">
        <v>12</v>
      </c>
      <c r="H65" s="13">
        <v>42005</v>
      </c>
      <c r="I65" s="14">
        <f>SUMIFS('Store Forecast'!$D$5:$D$3540,'Store Forecast'!$C$5:$C$3540,$A65,'Store Forecast'!$A$5:$A$3540,I$3)</f>
        <v>14.7</v>
      </c>
      <c r="J65" s="14">
        <f>SUMIFS('Store Forecast'!$D$5:$D$3540,'Store Forecast'!$C$5:$C$3540,$A65,'Store Forecast'!$A$5:$A$3540,J$3)</f>
        <v>14.9</v>
      </c>
      <c r="K65" s="14">
        <f>SUMIFS('Store Forecast'!$D$5:$D$3540,'Store Forecast'!$C$5:$C$3540,$A65,'Store Forecast'!$A$5:$A$3540,K$3)</f>
        <v>14.7</v>
      </c>
      <c r="L65" s="14">
        <f>SUMIFS('Store Forecast'!$D$5:$D$3540,'Store Forecast'!$C$5:$C$3540,$A65,'Store Forecast'!$A$5:$A$3540,L$3)</f>
        <v>14.4</v>
      </c>
      <c r="M65" s="14">
        <v>21.6</v>
      </c>
      <c r="N65">
        <v>22</v>
      </c>
      <c r="O65">
        <v>0</v>
      </c>
      <c r="P65" t="str">
        <f t="shared" si="1"/>
        <v>On plan</v>
      </c>
    </row>
    <row r="66" spans="1:16" x14ac:dyDescent="0.35">
      <c r="A66" t="s">
        <v>225</v>
      </c>
      <c r="B66" t="s">
        <v>77</v>
      </c>
      <c r="C66" t="s">
        <v>78</v>
      </c>
      <c r="D66" t="str">
        <f>INDEX('Pool Points'!$E:$E,MATCH(B66,'Pool Points'!$A:$A,0))</f>
        <v>CARR-C</v>
      </c>
      <c r="E66" t="s">
        <v>160</v>
      </c>
      <c r="F66" t="s">
        <v>168</v>
      </c>
      <c r="G66">
        <v>9</v>
      </c>
      <c r="H66" s="13">
        <v>42005</v>
      </c>
      <c r="I66" s="14">
        <f>SUMIFS('Store Forecast'!$D$5:$D$3540,'Store Forecast'!$C$5:$C$3540,$A66,'Store Forecast'!$A$5:$A$3540,I$3)</f>
        <v>12.2</v>
      </c>
      <c r="J66" s="14">
        <f>SUMIFS('Store Forecast'!$D$5:$D$3540,'Store Forecast'!$C$5:$C$3540,$A66,'Store Forecast'!$A$5:$A$3540,J$3)</f>
        <v>12.3</v>
      </c>
      <c r="K66" s="14">
        <f>SUMIFS('Store Forecast'!$D$5:$D$3540,'Store Forecast'!$C$5:$C$3540,$A66,'Store Forecast'!$A$5:$A$3540,K$3)</f>
        <v>12.2</v>
      </c>
      <c r="L66" s="14">
        <f>SUMIFS('Store Forecast'!$D$5:$D$3540,'Store Forecast'!$C$5:$C$3540,$A66,'Store Forecast'!$A$5:$A$3540,L$3)</f>
        <v>11.9</v>
      </c>
      <c r="M66" s="14">
        <v>17.899999999999999</v>
      </c>
      <c r="N66">
        <v>18</v>
      </c>
      <c r="O66">
        <v>0</v>
      </c>
      <c r="P66" t="str">
        <f t="shared" si="1"/>
        <v>On plan</v>
      </c>
    </row>
    <row r="67" spans="1:16" x14ac:dyDescent="0.35">
      <c r="A67" t="s">
        <v>226</v>
      </c>
      <c r="B67" t="s">
        <v>77</v>
      </c>
      <c r="C67" t="s">
        <v>78</v>
      </c>
      <c r="D67" t="str">
        <f>INDEX('Pool Points'!$E:$E,MATCH(B67,'Pool Points'!$A:$A,0))</f>
        <v>CARR-C</v>
      </c>
      <c r="E67" t="s">
        <v>160</v>
      </c>
      <c r="F67" t="s">
        <v>163</v>
      </c>
      <c r="G67">
        <v>10</v>
      </c>
      <c r="H67" s="13">
        <v>42005</v>
      </c>
      <c r="I67" s="14">
        <f>SUMIFS('Store Forecast'!$D$5:$D$3540,'Store Forecast'!$C$5:$C$3540,$A67,'Store Forecast'!$A$5:$A$3540,I$3)</f>
        <v>20.399999999999999</v>
      </c>
      <c r="J67" s="14">
        <f>SUMIFS('Store Forecast'!$D$5:$D$3540,'Store Forecast'!$C$5:$C$3540,$A67,'Store Forecast'!$A$5:$A$3540,J$3)</f>
        <v>20.7</v>
      </c>
      <c r="K67" s="14">
        <f>SUMIFS('Store Forecast'!$D$5:$D$3540,'Store Forecast'!$C$5:$C$3540,$A67,'Store Forecast'!$A$5:$A$3540,K$3)</f>
        <v>20.5</v>
      </c>
      <c r="L67" s="14">
        <f>SUMIFS('Store Forecast'!$D$5:$D$3540,'Store Forecast'!$C$5:$C$3540,$A67,'Store Forecast'!$A$5:$A$3540,L$3)</f>
        <v>20</v>
      </c>
      <c r="M67" s="14">
        <v>30.1</v>
      </c>
      <c r="N67">
        <v>30</v>
      </c>
      <c r="O67">
        <v>0</v>
      </c>
      <c r="P67" t="str">
        <f t="shared" si="1"/>
        <v>On plan</v>
      </c>
    </row>
    <row r="68" spans="1:16" x14ac:dyDescent="0.35">
      <c r="A68" t="s">
        <v>227</v>
      </c>
      <c r="B68" t="s">
        <v>77</v>
      </c>
      <c r="C68" t="s">
        <v>78</v>
      </c>
      <c r="D68" t="str">
        <f>INDEX('Pool Points'!$E:$E,MATCH(B68,'Pool Points'!$A:$A,0))</f>
        <v>CARR-C</v>
      </c>
      <c r="E68" t="s">
        <v>160</v>
      </c>
      <c r="F68" t="s">
        <v>166</v>
      </c>
      <c r="G68">
        <v>13</v>
      </c>
      <c r="H68" s="13">
        <v>42005</v>
      </c>
      <c r="I68" s="14">
        <f>SUMIFS('Store Forecast'!$D$5:$D$3540,'Store Forecast'!$C$5:$C$3540,$A68,'Store Forecast'!$A$5:$A$3540,I$3)</f>
        <v>15.8</v>
      </c>
      <c r="J68" s="14">
        <f>SUMIFS('Store Forecast'!$D$5:$D$3540,'Store Forecast'!$C$5:$C$3540,$A68,'Store Forecast'!$A$5:$A$3540,J$3)</f>
        <v>16</v>
      </c>
      <c r="K68" s="14">
        <f>SUMIFS('Store Forecast'!$D$5:$D$3540,'Store Forecast'!$C$5:$C$3540,$A68,'Store Forecast'!$A$5:$A$3540,K$3)</f>
        <v>15.8</v>
      </c>
      <c r="L68" s="14">
        <f>SUMIFS('Store Forecast'!$D$5:$D$3540,'Store Forecast'!$C$5:$C$3540,$A68,'Store Forecast'!$A$5:$A$3540,L$3)</f>
        <v>15.5</v>
      </c>
      <c r="M68" s="14">
        <v>23.3</v>
      </c>
      <c r="N68">
        <v>23</v>
      </c>
      <c r="O68">
        <v>0</v>
      </c>
      <c r="P68" t="str">
        <f t="shared" si="1"/>
        <v>On plan</v>
      </c>
    </row>
    <row r="69" spans="1:16" x14ac:dyDescent="0.35">
      <c r="A69" t="s">
        <v>228</v>
      </c>
      <c r="B69" t="s">
        <v>77</v>
      </c>
      <c r="C69" t="s">
        <v>78</v>
      </c>
      <c r="D69" t="str">
        <f>INDEX('Pool Points'!$E:$E,MATCH(B69,'Pool Points'!$A:$A,0))</f>
        <v>CARR-C</v>
      </c>
      <c r="E69" t="s">
        <v>156</v>
      </c>
      <c r="F69" t="s">
        <v>163</v>
      </c>
      <c r="G69">
        <v>13</v>
      </c>
      <c r="H69" s="13">
        <v>42005</v>
      </c>
      <c r="I69" s="14">
        <f>SUMIFS('Store Forecast'!$D$5:$D$3540,'Store Forecast'!$C$5:$C$3540,$A69,'Store Forecast'!$A$5:$A$3540,I$3)</f>
        <v>24.4</v>
      </c>
      <c r="J69" s="14">
        <f>SUMIFS('Store Forecast'!$D$5:$D$3540,'Store Forecast'!$C$5:$C$3540,$A69,'Store Forecast'!$A$5:$A$3540,J$3)</f>
        <v>24.7</v>
      </c>
      <c r="K69" s="14">
        <f>SUMIFS('Store Forecast'!$D$5:$D$3540,'Store Forecast'!$C$5:$C$3540,$A69,'Store Forecast'!$A$5:$A$3540,K$3)</f>
        <v>24.5</v>
      </c>
      <c r="L69" s="14">
        <f>SUMIFS('Store Forecast'!$D$5:$D$3540,'Store Forecast'!$C$5:$C$3540,$A69,'Store Forecast'!$A$5:$A$3540,L$3)</f>
        <v>23.9</v>
      </c>
      <c r="M69" s="14">
        <v>36</v>
      </c>
      <c r="N69">
        <v>36</v>
      </c>
      <c r="O69">
        <v>0</v>
      </c>
      <c r="P69" t="str">
        <f t="shared" ref="P69:P100" si="2">IF(H69&gt;AsOfDate,"Opens "&amp;TEXT(H69,"mmm d"),IF(O69&gt;0,"Backlog in peak week","On plan"))</f>
        <v>On plan</v>
      </c>
    </row>
    <row r="70" spans="1:16" x14ac:dyDescent="0.35">
      <c r="A70" t="s">
        <v>229</v>
      </c>
      <c r="B70" t="s">
        <v>77</v>
      </c>
      <c r="C70" t="s">
        <v>78</v>
      </c>
      <c r="D70" t="str">
        <f>INDEX('Pool Points'!$E:$E,MATCH(B70,'Pool Points'!$A:$A,0))</f>
        <v>CARR-C</v>
      </c>
      <c r="E70" t="s">
        <v>165</v>
      </c>
      <c r="F70" t="s">
        <v>168</v>
      </c>
      <c r="G70">
        <v>7</v>
      </c>
      <c r="H70" s="13">
        <v>42005</v>
      </c>
      <c r="I70" s="14">
        <f>SUMIFS('Store Forecast'!$D$5:$D$3540,'Store Forecast'!$C$5:$C$3540,$A70,'Store Forecast'!$A$5:$A$3540,I$3)</f>
        <v>8.1</v>
      </c>
      <c r="J70" s="14">
        <f>SUMIFS('Store Forecast'!$D$5:$D$3540,'Store Forecast'!$C$5:$C$3540,$A70,'Store Forecast'!$A$5:$A$3540,J$3)</f>
        <v>8.1999999999999993</v>
      </c>
      <c r="K70" s="14">
        <f>SUMIFS('Store Forecast'!$D$5:$D$3540,'Store Forecast'!$C$5:$C$3540,$A70,'Store Forecast'!$A$5:$A$3540,K$3)</f>
        <v>8.1</v>
      </c>
      <c r="L70" s="14">
        <f>SUMIFS('Store Forecast'!$D$5:$D$3540,'Store Forecast'!$C$5:$C$3540,$A70,'Store Forecast'!$A$5:$A$3540,L$3)</f>
        <v>7.9</v>
      </c>
      <c r="M70" s="14">
        <v>11.9</v>
      </c>
      <c r="N70">
        <v>12</v>
      </c>
      <c r="O70">
        <v>0</v>
      </c>
      <c r="P70" t="str">
        <f t="shared" si="2"/>
        <v>On plan</v>
      </c>
    </row>
    <row r="71" spans="1:16" x14ac:dyDescent="0.35">
      <c r="A71" t="s">
        <v>230</v>
      </c>
      <c r="B71" t="s">
        <v>77</v>
      </c>
      <c r="C71" t="s">
        <v>78</v>
      </c>
      <c r="D71" t="str">
        <f>INDEX('Pool Points'!$E:$E,MATCH(B71,'Pool Points'!$A:$A,0))</f>
        <v>CARR-C</v>
      </c>
      <c r="E71" t="s">
        <v>165</v>
      </c>
      <c r="F71" t="s">
        <v>166</v>
      </c>
      <c r="G71">
        <v>8</v>
      </c>
      <c r="H71" s="13">
        <v>42005</v>
      </c>
      <c r="I71" s="14">
        <f>SUMIFS('Store Forecast'!$D$5:$D$3540,'Store Forecast'!$C$5:$C$3540,$A71,'Store Forecast'!$A$5:$A$3540,I$3)</f>
        <v>9.3000000000000007</v>
      </c>
      <c r="J71" s="14">
        <f>SUMIFS('Store Forecast'!$D$5:$D$3540,'Store Forecast'!$C$5:$C$3540,$A71,'Store Forecast'!$A$5:$A$3540,J$3)</f>
        <v>9.5</v>
      </c>
      <c r="K71" s="14">
        <f>SUMIFS('Store Forecast'!$D$5:$D$3540,'Store Forecast'!$C$5:$C$3540,$A71,'Store Forecast'!$A$5:$A$3540,K$3)</f>
        <v>9.4</v>
      </c>
      <c r="L71" s="14">
        <f>SUMIFS('Store Forecast'!$D$5:$D$3540,'Store Forecast'!$C$5:$C$3540,$A71,'Store Forecast'!$A$5:$A$3540,L$3)</f>
        <v>9.1999999999999993</v>
      </c>
      <c r="M71" s="14">
        <v>13.8</v>
      </c>
      <c r="N71">
        <v>14</v>
      </c>
      <c r="O71">
        <v>0</v>
      </c>
      <c r="P71" t="str">
        <f t="shared" si="2"/>
        <v>On plan</v>
      </c>
    </row>
    <row r="72" spans="1:16" x14ac:dyDescent="0.35">
      <c r="A72" t="s">
        <v>231</v>
      </c>
      <c r="B72" t="s">
        <v>80</v>
      </c>
      <c r="C72" t="s">
        <v>81</v>
      </c>
      <c r="D72" t="str">
        <f>INDEX('Pool Points'!$E:$E,MATCH(B72,'Pool Points'!$A:$A,0))</f>
        <v>CARR-C</v>
      </c>
      <c r="E72" t="s">
        <v>160</v>
      </c>
      <c r="F72" t="s">
        <v>168</v>
      </c>
      <c r="G72">
        <v>13</v>
      </c>
      <c r="H72" s="13">
        <v>42005</v>
      </c>
      <c r="I72" s="14">
        <f>SUMIFS('Store Forecast'!$D$5:$D$3540,'Store Forecast'!$C$5:$C$3540,$A72,'Store Forecast'!$A$5:$A$3540,I$3)</f>
        <v>16.100000000000001</v>
      </c>
      <c r="J72" s="14">
        <f>SUMIFS('Store Forecast'!$D$5:$D$3540,'Store Forecast'!$C$5:$C$3540,$A72,'Store Forecast'!$A$5:$A$3540,J$3)</f>
        <v>15.7</v>
      </c>
      <c r="K72" s="14">
        <f>SUMIFS('Store Forecast'!$D$5:$D$3540,'Store Forecast'!$C$5:$C$3540,$A72,'Store Forecast'!$A$5:$A$3540,K$3)</f>
        <v>15.6</v>
      </c>
      <c r="L72" s="14">
        <f>SUMIFS('Store Forecast'!$D$5:$D$3540,'Store Forecast'!$C$5:$C$3540,$A72,'Store Forecast'!$A$5:$A$3540,L$3)</f>
        <v>15.2</v>
      </c>
      <c r="M72" s="14">
        <v>23.3</v>
      </c>
      <c r="N72">
        <v>23</v>
      </c>
      <c r="O72">
        <v>0</v>
      </c>
      <c r="P72" t="str">
        <f t="shared" si="2"/>
        <v>On plan</v>
      </c>
    </row>
    <row r="73" spans="1:16" x14ac:dyDescent="0.35">
      <c r="A73" t="s">
        <v>232</v>
      </c>
      <c r="B73" t="s">
        <v>80</v>
      </c>
      <c r="C73" t="s">
        <v>81</v>
      </c>
      <c r="D73" t="str">
        <f>INDEX('Pool Points'!$E:$E,MATCH(B73,'Pool Points'!$A:$A,0))</f>
        <v>CARR-C</v>
      </c>
      <c r="E73" t="s">
        <v>156</v>
      </c>
      <c r="F73" t="s">
        <v>163</v>
      </c>
      <c r="G73">
        <v>13</v>
      </c>
      <c r="H73" s="13">
        <v>42005</v>
      </c>
      <c r="I73" s="14">
        <f>SUMIFS('Store Forecast'!$D$5:$D$3540,'Store Forecast'!$C$5:$C$3540,$A73,'Store Forecast'!$A$5:$A$3540,I$3)</f>
        <v>24.4</v>
      </c>
      <c r="J73" s="14">
        <f>SUMIFS('Store Forecast'!$D$5:$D$3540,'Store Forecast'!$C$5:$C$3540,$A73,'Store Forecast'!$A$5:$A$3540,J$3)</f>
        <v>23.8</v>
      </c>
      <c r="K73" s="14">
        <f>SUMIFS('Store Forecast'!$D$5:$D$3540,'Store Forecast'!$C$5:$C$3540,$A73,'Store Forecast'!$A$5:$A$3540,K$3)</f>
        <v>23.8</v>
      </c>
      <c r="L73" s="14">
        <f>SUMIFS('Store Forecast'!$D$5:$D$3540,'Store Forecast'!$C$5:$C$3540,$A73,'Store Forecast'!$A$5:$A$3540,L$3)</f>
        <v>23</v>
      </c>
      <c r="M73" s="14">
        <v>35.4</v>
      </c>
      <c r="N73">
        <v>35</v>
      </c>
      <c r="O73">
        <v>0</v>
      </c>
      <c r="P73" t="str">
        <f t="shared" si="2"/>
        <v>On plan</v>
      </c>
    </row>
    <row r="74" spans="1:16" x14ac:dyDescent="0.35">
      <c r="A74" t="s">
        <v>233</v>
      </c>
      <c r="B74" t="s">
        <v>80</v>
      </c>
      <c r="C74" t="s">
        <v>81</v>
      </c>
      <c r="D74" t="str">
        <f>INDEX('Pool Points'!$E:$E,MATCH(B74,'Pool Points'!$A:$A,0))</f>
        <v>CARR-C</v>
      </c>
      <c r="E74" t="s">
        <v>165</v>
      </c>
      <c r="F74" t="s">
        <v>166</v>
      </c>
      <c r="G74">
        <v>10</v>
      </c>
      <c r="H74" s="13">
        <v>42005</v>
      </c>
      <c r="I74" s="14">
        <f>SUMIFS('Store Forecast'!$D$5:$D$3540,'Store Forecast'!$C$5:$C$3540,$A74,'Store Forecast'!$A$5:$A$3540,I$3)</f>
        <v>12.6</v>
      </c>
      <c r="J74" s="14">
        <f>SUMIFS('Store Forecast'!$D$5:$D$3540,'Store Forecast'!$C$5:$C$3540,$A74,'Store Forecast'!$A$5:$A$3540,J$3)</f>
        <v>12.3</v>
      </c>
      <c r="K74" s="14">
        <f>SUMIFS('Store Forecast'!$D$5:$D$3540,'Store Forecast'!$C$5:$C$3540,$A74,'Store Forecast'!$A$5:$A$3540,K$3)</f>
        <v>12.3</v>
      </c>
      <c r="L74" s="14">
        <f>SUMIFS('Store Forecast'!$D$5:$D$3540,'Store Forecast'!$C$5:$C$3540,$A74,'Store Forecast'!$A$5:$A$3540,L$3)</f>
        <v>11.9</v>
      </c>
      <c r="M74" s="14">
        <v>18.3</v>
      </c>
      <c r="N74">
        <v>18</v>
      </c>
      <c r="O74">
        <v>0</v>
      </c>
      <c r="P74" t="str">
        <f t="shared" si="2"/>
        <v>On plan</v>
      </c>
    </row>
    <row r="75" spans="1:16" x14ac:dyDescent="0.35">
      <c r="A75" t="s">
        <v>234</v>
      </c>
      <c r="B75" t="s">
        <v>80</v>
      </c>
      <c r="C75" t="s">
        <v>81</v>
      </c>
      <c r="D75" t="str">
        <f>INDEX('Pool Points'!$E:$E,MATCH(B75,'Pool Points'!$A:$A,0))</f>
        <v>CARR-C</v>
      </c>
      <c r="E75" t="s">
        <v>165</v>
      </c>
      <c r="F75" t="s">
        <v>166</v>
      </c>
      <c r="G75">
        <v>7</v>
      </c>
      <c r="H75" s="13">
        <v>42005</v>
      </c>
      <c r="I75" s="14">
        <f>SUMIFS('Store Forecast'!$D$5:$D$3540,'Store Forecast'!$C$5:$C$3540,$A75,'Store Forecast'!$A$5:$A$3540,I$3)</f>
        <v>8.5</v>
      </c>
      <c r="J75" s="14">
        <f>SUMIFS('Store Forecast'!$D$5:$D$3540,'Store Forecast'!$C$5:$C$3540,$A75,'Store Forecast'!$A$5:$A$3540,J$3)</f>
        <v>8.3000000000000007</v>
      </c>
      <c r="K75" s="14">
        <f>SUMIFS('Store Forecast'!$D$5:$D$3540,'Store Forecast'!$C$5:$C$3540,$A75,'Store Forecast'!$A$5:$A$3540,K$3)</f>
        <v>8.3000000000000007</v>
      </c>
      <c r="L75" s="14">
        <f>SUMIFS('Store Forecast'!$D$5:$D$3540,'Store Forecast'!$C$5:$C$3540,$A75,'Store Forecast'!$A$5:$A$3540,L$3)</f>
        <v>8</v>
      </c>
      <c r="M75" s="14">
        <v>12.3</v>
      </c>
      <c r="N75">
        <v>12</v>
      </c>
      <c r="O75">
        <v>0</v>
      </c>
      <c r="P75" t="str">
        <f t="shared" si="2"/>
        <v>On plan</v>
      </c>
    </row>
    <row r="76" spans="1:16" x14ac:dyDescent="0.35">
      <c r="A76" t="s">
        <v>235</v>
      </c>
      <c r="B76" t="s">
        <v>80</v>
      </c>
      <c r="C76" t="s">
        <v>81</v>
      </c>
      <c r="D76" t="str">
        <f>INDEX('Pool Points'!$E:$E,MATCH(B76,'Pool Points'!$A:$A,0))</f>
        <v>CARR-C</v>
      </c>
      <c r="E76" t="s">
        <v>156</v>
      </c>
      <c r="F76" t="s">
        <v>157</v>
      </c>
      <c r="G76">
        <v>10</v>
      </c>
      <c r="H76" s="13">
        <v>42005</v>
      </c>
      <c r="I76" s="14">
        <f>SUMIFS('Store Forecast'!$D$5:$D$3540,'Store Forecast'!$C$5:$C$3540,$A76,'Store Forecast'!$A$5:$A$3540,I$3)</f>
        <v>19.100000000000001</v>
      </c>
      <c r="J76" s="14">
        <f>SUMIFS('Store Forecast'!$D$5:$D$3540,'Store Forecast'!$C$5:$C$3540,$A76,'Store Forecast'!$A$5:$A$3540,J$3)</f>
        <v>18.600000000000001</v>
      </c>
      <c r="K76" s="14">
        <f>SUMIFS('Store Forecast'!$D$5:$D$3540,'Store Forecast'!$C$5:$C$3540,$A76,'Store Forecast'!$A$5:$A$3540,K$3)</f>
        <v>18.600000000000001</v>
      </c>
      <c r="L76" s="14">
        <f>SUMIFS('Store Forecast'!$D$5:$D$3540,'Store Forecast'!$C$5:$C$3540,$A76,'Store Forecast'!$A$5:$A$3540,L$3)</f>
        <v>18</v>
      </c>
      <c r="M76" s="14">
        <v>27.7</v>
      </c>
      <c r="N76">
        <v>28</v>
      </c>
      <c r="O76">
        <v>0</v>
      </c>
      <c r="P76" t="str">
        <f t="shared" si="2"/>
        <v>On plan</v>
      </c>
    </row>
    <row r="77" spans="1:16" x14ac:dyDescent="0.35">
      <c r="A77" t="s">
        <v>236</v>
      </c>
      <c r="B77" t="s">
        <v>80</v>
      </c>
      <c r="C77" t="s">
        <v>81</v>
      </c>
      <c r="D77" t="str">
        <f>INDEX('Pool Points'!$E:$E,MATCH(B77,'Pool Points'!$A:$A,0))</f>
        <v>CARR-C</v>
      </c>
      <c r="E77" t="s">
        <v>156</v>
      </c>
      <c r="F77" t="s">
        <v>163</v>
      </c>
      <c r="G77">
        <v>10</v>
      </c>
      <c r="H77" s="13">
        <v>42005</v>
      </c>
      <c r="I77" s="14">
        <f>SUMIFS('Store Forecast'!$D$5:$D$3540,'Store Forecast'!$C$5:$C$3540,$A77,'Store Forecast'!$A$5:$A$3540,I$3)</f>
        <v>21.1</v>
      </c>
      <c r="J77" s="14">
        <f>SUMIFS('Store Forecast'!$D$5:$D$3540,'Store Forecast'!$C$5:$C$3540,$A77,'Store Forecast'!$A$5:$A$3540,J$3)</f>
        <v>20.5</v>
      </c>
      <c r="K77" s="14">
        <f>SUMIFS('Store Forecast'!$D$5:$D$3540,'Store Forecast'!$C$5:$C$3540,$A77,'Store Forecast'!$A$5:$A$3540,K$3)</f>
        <v>20.5</v>
      </c>
      <c r="L77" s="14">
        <f>SUMIFS('Store Forecast'!$D$5:$D$3540,'Store Forecast'!$C$5:$C$3540,$A77,'Store Forecast'!$A$5:$A$3540,L$3)</f>
        <v>19.899999999999999</v>
      </c>
      <c r="M77" s="14">
        <v>30.5</v>
      </c>
      <c r="N77">
        <v>31</v>
      </c>
      <c r="O77">
        <v>0</v>
      </c>
      <c r="P77" t="str">
        <f t="shared" si="2"/>
        <v>On plan</v>
      </c>
    </row>
    <row r="78" spans="1:16" x14ac:dyDescent="0.35">
      <c r="A78" t="s">
        <v>237</v>
      </c>
      <c r="B78" t="s">
        <v>80</v>
      </c>
      <c r="C78" t="s">
        <v>81</v>
      </c>
      <c r="D78" t="str">
        <f>INDEX('Pool Points'!$E:$E,MATCH(B78,'Pool Points'!$A:$A,0))</f>
        <v>CARR-C</v>
      </c>
      <c r="E78" t="s">
        <v>160</v>
      </c>
      <c r="F78" t="s">
        <v>157</v>
      </c>
      <c r="G78">
        <v>8</v>
      </c>
      <c r="H78" s="13">
        <v>42005</v>
      </c>
      <c r="I78" s="14">
        <f>SUMIFS('Store Forecast'!$D$5:$D$3540,'Store Forecast'!$C$5:$C$3540,$A78,'Store Forecast'!$A$5:$A$3540,I$3)</f>
        <v>14.5</v>
      </c>
      <c r="J78" s="14">
        <f>SUMIFS('Store Forecast'!$D$5:$D$3540,'Store Forecast'!$C$5:$C$3540,$A78,'Store Forecast'!$A$5:$A$3540,J$3)</f>
        <v>14.1</v>
      </c>
      <c r="K78" s="14">
        <f>SUMIFS('Store Forecast'!$D$5:$D$3540,'Store Forecast'!$C$5:$C$3540,$A78,'Store Forecast'!$A$5:$A$3540,K$3)</f>
        <v>14.1</v>
      </c>
      <c r="L78" s="14">
        <f>SUMIFS('Store Forecast'!$D$5:$D$3540,'Store Forecast'!$C$5:$C$3540,$A78,'Store Forecast'!$A$5:$A$3540,L$3)</f>
        <v>13.6</v>
      </c>
      <c r="M78" s="14">
        <v>20.9</v>
      </c>
      <c r="N78">
        <v>21</v>
      </c>
      <c r="O78">
        <v>0</v>
      </c>
      <c r="P78" t="str">
        <f t="shared" si="2"/>
        <v>On plan</v>
      </c>
    </row>
    <row r="79" spans="1:16" x14ac:dyDescent="0.35">
      <c r="A79" t="s">
        <v>238</v>
      </c>
      <c r="B79" t="s">
        <v>80</v>
      </c>
      <c r="C79" t="s">
        <v>81</v>
      </c>
      <c r="D79" t="str">
        <f>INDEX('Pool Points'!$E:$E,MATCH(B79,'Pool Points'!$A:$A,0))</f>
        <v>CARR-C</v>
      </c>
      <c r="E79" t="s">
        <v>160</v>
      </c>
      <c r="F79" t="s">
        <v>161</v>
      </c>
      <c r="G79">
        <v>15</v>
      </c>
      <c r="H79" s="13">
        <v>42005</v>
      </c>
      <c r="I79" s="14">
        <f>SUMIFS('Store Forecast'!$D$5:$D$3540,'Store Forecast'!$C$5:$C$3540,$A79,'Store Forecast'!$A$5:$A$3540,I$3)</f>
        <v>19.3</v>
      </c>
      <c r="J79" s="14">
        <f>SUMIFS('Store Forecast'!$D$5:$D$3540,'Store Forecast'!$C$5:$C$3540,$A79,'Store Forecast'!$A$5:$A$3540,J$3)</f>
        <v>18.8</v>
      </c>
      <c r="K79" s="14">
        <f>SUMIFS('Store Forecast'!$D$5:$D$3540,'Store Forecast'!$C$5:$C$3540,$A79,'Store Forecast'!$A$5:$A$3540,K$3)</f>
        <v>18.8</v>
      </c>
      <c r="L79" s="14">
        <f>SUMIFS('Store Forecast'!$D$5:$D$3540,'Store Forecast'!$C$5:$C$3540,$A79,'Store Forecast'!$A$5:$A$3540,L$3)</f>
        <v>18.2</v>
      </c>
      <c r="M79" s="14">
        <v>27.9</v>
      </c>
      <c r="N79">
        <v>28</v>
      </c>
      <c r="O79">
        <v>0</v>
      </c>
      <c r="P79" t="str">
        <f t="shared" si="2"/>
        <v>On plan</v>
      </c>
    </row>
    <row r="80" spans="1:16" x14ac:dyDescent="0.35">
      <c r="A80" t="s">
        <v>239</v>
      </c>
      <c r="B80" t="s">
        <v>80</v>
      </c>
      <c r="C80" t="s">
        <v>81</v>
      </c>
      <c r="D80" t="str">
        <f>INDEX('Pool Points'!$E:$E,MATCH(B80,'Pool Points'!$A:$A,0))</f>
        <v>CARR-C</v>
      </c>
      <c r="E80" t="s">
        <v>165</v>
      </c>
      <c r="F80" t="s">
        <v>168</v>
      </c>
      <c r="G80">
        <v>8</v>
      </c>
      <c r="H80" s="13">
        <v>42005</v>
      </c>
      <c r="I80" s="14">
        <f>SUMIFS('Store Forecast'!$D$5:$D$3540,'Store Forecast'!$C$5:$C$3540,$A80,'Store Forecast'!$A$5:$A$3540,I$3)</f>
        <v>9.6999999999999993</v>
      </c>
      <c r="J80" s="14">
        <f>SUMIFS('Store Forecast'!$D$5:$D$3540,'Store Forecast'!$C$5:$C$3540,$A80,'Store Forecast'!$A$5:$A$3540,J$3)</f>
        <v>9.5</v>
      </c>
      <c r="K80" s="14">
        <f>SUMIFS('Store Forecast'!$D$5:$D$3540,'Store Forecast'!$C$5:$C$3540,$A80,'Store Forecast'!$A$5:$A$3540,K$3)</f>
        <v>9.5</v>
      </c>
      <c r="L80" s="14">
        <f>SUMIFS('Store Forecast'!$D$5:$D$3540,'Store Forecast'!$C$5:$C$3540,$A80,'Store Forecast'!$A$5:$A$3540,L$3)</f>
        <v>9.1999999999999993</v>
      </c>
      <c r="M80" s="14">
        <v>14.1</v>
      </c>
      <c r="N80">
        <v>14</v>
      </c>
      <c r="O80">
        <v>0</v>
      </c>
      <c r="P80" t="str">
        <f t="shared" si="2"/>
        <v>On plan</v>
      </c>
    </row>
    <row r="81" spans="1:16" x14ac:dyDescent="0.35">
      <c r="A81" t="s">
        <v>240</v>
      </c>
      <c r="B81" t="s">
        <v>80</v>
      </c>
      <c r="C81" t="s">
        <v>81</v>
      </c>
      <c r="D81" t="str">
        <f>INDEX('Pool Points'!$E:$E,MATCH(B81,'Pool Points'!$A:$A,0))</f>
        <v>CARR-C</v>
      </c>
      <c r="E81" t="s">
        <v>160</v>
      </c>
      <c r="F81" t="s">
        <v>168</v>
      </c>
      <c r="G81">
        <v>15</v>
      </c>
      <c r="H81" s="13">
        <v>42005</v>
      </c>
      <c r="I81" s="14">
        <f>SUMIFS('Store Forecast'!$D$5:$D$3540,'Store Forecast'!$C$5:$C$3540,$A81,'Store Forecast'!$A$5:$A$3540,I$3)</f>
        <v>21.3</v>
      </c>
      <c r="J81" s="14">
        <f>SUMIFS('Store Forecast'!$D$5:$D$3540,'Store Forecast'!$C$5:$C$3540,$A81,'Store Forecast'!$A$5:$A$3540,J$3)</f>
        <v>20.8</v>
      </c>
      <c r="K81" s="14">
        <f>SUMIFS('Store Forecast'!$D$5:$D$3540,'Store Forecast'!$C$5:$C$3540,$A81,'Store Forecast'!$A$5:$A$3540,K$3)</f>
        <v>20.7</v>
      </c>
      <c r="L81" s="14">
        <f>SUMIFS('Store Forecast'!$D$5:$D$3540,'Store Forecast'!$C$5:$C$3540,$A81,'Store Forecast'!$A$5:$A$3540,L$3)</f>
        <v>20.100000000000001</v>
      </c>
      <c r="M81" s="14">
        <v>30.8</v>
      </c>
      <c r="N81">
        <v>31</v>
      </c>
      <c r="O81">
        <v>0</v>
      </c>
      <c r="P81" t="str">
        <f t="shared" si="2"/>
        <v>On plan</v>
      </c>
    </row>
    <row r="82" spans="1:16" x14ac:dyDescent="0.35">
      <c r="A82" t="s">
        <v>241</v>
      </c>
      <c r="B82" t="s">
        <v>80</v>
      </c>
      <c r="C82" t="s">
        <v>81</v>
      </c>
      <c r="D82" t="str">
        <f>INDEX('Pool Points'!$E:$E,MATCH(B82,'Pool Points'!$A:$A,0))</f>
        <v>CARR-C</v>
      </c>
      <c r="E82" t="s">
        <v>160</v>
      </c>
      <c r="F82" t="s">
        <v>163</v>
      </c>
      <c r="G82">
        <v>8</v>
      </c>
      <c r="H82" s="13">
        <v>42005</v>
      </c>
      <c r="I82" s="14">
        <f>SUMIFS('Store Forecast'!$D$5:$D$3540,'Store Forecast'!$C$5:$C$3540,$A82,'Store Forecast'!$A$5:$A$3540,I$3)</f>
        <v>13.5</v>
      </c>
      <c r="J82" s="14">
        <f>SUMIFS('Store Forecast'!$D$5:$D$3540,'Store Forecast'!$C$5:$C$3540,$A82,'Store Forecast'!$A$5:$A$3540,J$3)</f>
        <v>13.2</v>
      </c>
      <c r="K82" s="14">
        <f>SUMIFS('Store Forecast'!$D$5:$D$3540,'Store Forecast'!$C$5:$C$3540,$A82,'Store Forecast'!$A$5:$A$3540,K$3)</f>
        <v>13.1</v>
      </c>
      <c r="L82" s="14">
        <f>SUMIFS('Store Forecast'!$D$5:$D$3540,'Store Forecast'!$C$5:$C$3540,$A82,'Store Forecast'!$A$5:$A$3540,L$3)</f>
        <v>12.7</v>
      </c>
      <c r="M82" s="14">
        <v>19.5</v>
      </c>
      <c r="N82">
        <v>20</v>
      </c>
      <c r="O82">
        <v>0</v>
      </c>
      <c r="P82" t="str">
        <f t="shared" si="2"/>
        <v>On plan</v>
      </c>
    </row>
    <row r="83" spans="1:16" x14ac:dyDescent="0.35">
      <c r="A83" t="s">
        <v>242</v>
      </c>
      <c r="B83" t="s">
        <v>80</v>
      </c>
      <c r="C83" t="s">
        <v>81</v>
      </c>
      <c r="D83" t="str">
        <f>INDEX('Pool Points'!$E:$E,MATCH(B83,'Pool Points'!$A:$A,0))</f>
        <v>CARR-C</v>
      </c>
      <c r="E83" t="s">
        <v>156</v>
      </c>
      <c r="F83" t="s">
        <v>157</v>
      </c>
      <c r="G83">
        <v>15</v>
      </c>
      <c r="H83" s="13">
        <v>42005</v>
      </c>
      <c r="I83" s="14">
        <f>SUMIFS('Store Forecast'!$D$5:$D$3540,'Store Forecast'!$C$5:$C$3540,$A83,'Store Forecast'!$A$5:$A$3540,I$3)</f>
        <v>30.7</v>
      </c>
      <c r="J83" s="14">
        <f>SUMIFS('Store Forecast'!$D$5:$D$3540,'Store Forecast'!$C$5:$C$3540,$A83,'Store Forecast'!$A$5:$A$3540,J$3)</f>
        <v>29.9</v>
      </c>
      <c r="K83" s="14">
        <f>SUMIFS('Store Forecast'!$D$5:$D$3540,'Store Forecast'!$C$5:$C$3540,$A83,'Store Forecast'!$A$5:$A$3540,K$3)</f>
        <v>29.9</v>
      </c>
      <c r="L83" s="14">
        <f>SUMIFS('Store Forecast'!$D$5:$D$3540,'Store Forecast'!$C$5:$C$3540,$A83,'Store Forecast'!$A$5:$A$3540,L$3)</f>
        <v>29</v>
      </c>
      <c r="M83" s="14">
        <v>44.4</v>
      </c>
      <c r="N83">
        <v>44</v>
      </c>
      <c r="O83">
        <v>0</v>
      </c>
      <c r="P83" t="str">
        <f t="shared" si="2"/>
        <v>On plan</v>
      </c>
    </row>
    <row r="84" spans="1:16" x14ac:dyDescent="0.35">
      <c r="A84" t="s">
        <v>243</v>
      </c>
      <c r="B84" t="s">
        <v>80</v>
      </c>
      <c r="C84" t="s">
        <v>81</v>
      </c>
      <c r="D84" t="str">
        <f>INDEX('Pool Points'!$E:$E,MATCH(B84,'Pool Points'!$A:$A,0))</f>
        <v>CARR-C</v>
      </c>
      <c r="E84" t="s">
        <v>156</v>
      </c>
      <c r="F84" t="s">
        <v>163</v>
      </c>
      <c r="G84">
        <v>13</v>
      </c>
      <c r="H84" s="13">
        <v>42005</v>
      </c>
      <c r="I84" s="14">
        <f>SUMIFS('Store Forecast'!$D$5:$D$3540,'Store Forecast'!$C$5:$C$3540,$A84,'Store Forecast'!$A$5:$A$3540,I$3)</f>
        <v>24.4</v>
      </c>
      <c r="J84" s="14">
        <f>SUMIFS('Store Forecast'!$D$5:$D$3540,'Store Forecast'!$C$5:$C$3540,$A84,'Store Forecast'!$A$5:$A$3540,J$3)</f>
        <v>23.8</v>
      </c>
      <c r="K84" s="14">
        <f>SUMIFS('Store Forecast'!$D$5:$D$3540,'Store Forecast'!$C$5:$C$3540,$A84,'Store Forecast'!$A$5:$A$3540,K$3)</f>
        <v>23.8</v>
      </c>
      <c r="L84" s="14">
        <f>SUMIFS('Store Forecast'!$D$5:$D$3540,'Store Forecast'!$C$5:$C$3540,$A84,'Store Forecast'!$A$5:$A$3540,L$3)</f>
        <v>23</v>
      </c>
      <c r="M84" s="14">
        <v>35.4</v>
      </c>
      <c r="N84">
        <v>35</v>
      </c>
      <c r="O84">
        <v>0</v>
      </c>
      <c r="P84" t="str">
        <f t="shared" si="2"/>
        <v>On plan</v>
      </c>
    </row>
    <row r="85" spans="1:16" x14ac:dyDescent="0.35">
      <c r="A85" t="s">
        <v>244</v>
      </c>
      <c r="B85" t="s">
        <v>80</v>
      </c>
      <c r="C85" t="s">
        <v>81</v>
      </c>
      <c r="D85" t="str">
        <f>INDEX('Pool Points'!$E:$E,MATCH(B85,'Pool Points'!$A:$A,0))</f>
        <v>CARR-C</v>
      </c>
      <c r="E85" t="s">
        <v>160</v>
      </c>
      <c r="F85" t="s">
        <v>163</v>
      </c>
      <c r="G85">
        <v>9</v>
      </c>
      <c r="H85" s="13">
        <v>42005</v>
      </c>
      <c r="I85" s="14">
        <f>SUMIFS('Store Forecast'!$D$5:$D$3540,'Store Forecast'!$C$5:$C$3540,$A85,'Store Forecast'!$A$5:$A$3540,I$3)</f>
        <v>17</v>
      </c>
      <c r="J85" s="14">
        <f>SUMIFS('Store Forecast'!$D$5:$D$3540,'Store Forecast'!$C$5:$C$3540,$A85,'Store Forecast'!$A$5:$A$3540,J$3)</f>
        <v>16.5</v>
      </c>
      <c r="K85" s="14">
        <f>SUMIFS('Store Forecast'!$D$5:$D$3540,'Store Forecast'!$C$5:$C$3540,$A85,'Store Forecast'!$A$5:$A$3540,K$3)</f>
        <v>16.5</v>
      </c>
      <c r="L85" s="14">
        <f>SUMIFS('Store Forecast'!$D$5:$D$3540,'Store Forecast'!$C$5:$C$3540,$A85,'Store Forecast'!$A$5:$A$3540,L$3)</f>
        <v>16</v>
      </c>
      <c r="M85" s="14">
        <v>24.5</v>
      </c>
      <c r="N85">
        <v>25</v>
      </c>
      <c r="O85">
        <v>0</v>
      </c>
      <c r="P85" t="str">
        <f t="shared" si="2"/>
        <v>On plan</v>
      </c>
    </row>
    <row r="86" spans="1:16" x14ac:dyDescent="0.35">
      <c r="A86" t="s">
        <v>245</v>
      </c>
      <c r="B86" t="s">
        <v>80</v>
      </c>
      <c r="C86" t="s">
        <v>81</v>
      </c>
      <c r="D86" t="str">
        <f>INDEX('Pool Points'!$E:$E,MATCH(B86,'Pool Points'!$A:$A,0))</f>
        <v>CARR-C</v>
      </c>
      <c r="E86" t="s">
        <v>160</v>
      </c>
      <c r="F86" t="s">
        <v>161</v>
      </c>
      <c r="G86">
        <v>12</v>
      </c>
      <c r="H86" s="13">
        <v>42005</v>
      </c>
      <c r="I86" s="14">
        <f>SUMIFS('Store Forecast'!$D$5:$D$3540,'Store Forecast'!$C$5:$C$3540,$A86,'Store Forecast'!$A$5:$A$3540,I$3)</f>
        <v>16.2</v>
      </c>
      <c r="J86" s="14">
        <f>SUMIFS('Store Forecast'!$D$5:$D$3540,'Store Forecast'!$C$5:$C$3540,$A86,'Store Forecast'!$A$5:$A$3540,J$3)</f>
        <v>15.7</v>
      </c>
      <c r="K86" s="14">
        <f>SUMIFS('Store Forecast'!$D$5:$D$3540,'Store Forecast'!$C$5:$C$3540,$A86,'Store Forecast'!$A$5:$A$3540,K$3)</f>
        <v>15.7</v>
      </c>
      <c r="L86" s="14">
        <f>SUMIFS('Store Forecast'!$D$5:$D$3540,'Store Forecast'!$C$5:$C$3540,$A86,'Store Forecast'!$A$5:$A$3540,L$3)</f>
        <v>15.2</v>
      </c>
      <c r="M86" s="14">
        <v>23.4</v>
      </c>
      <c r="N86">
        <v>23</v>
      </c>
      <c r="O86">
        <v>0</v>
      </c>
      <c r="P86" t="str">
        <f t="shared" si="2"/>
        <v>On plan</v>
      </c>
    </row>
    <row r="87" spans="1:16" x14ac:dyDescent="0.35">
      <c r="A87" t="s">
        <v>246</v>
      </c>
      <c r="B87" t="s">
        <v>80</v>
      </c>
      <c r="C87" t="s">
        <v>81</v>
      </c>
      <c r="D87" t="str">
        <f>INDEX('Pool Points'!$E:$E,MATCH(B87,'Pool Points'!$A:$A,0))</f>
        <v>CARR-C</v>
      </c>
      <c r="E87" t="s">
        <v>160</v>
      </c>
      <c r="F87" t="s">
        <v>161</v>
      </c>
      <c r="G87">
        <v>14</v>
      </c>
      <c r="H87" s="13">
        <v>42005</v>
      </c>
      <c r="I87" s="14">
        <f>SUMIFS('Store Forecast'!$D$5:$D$3540,'Store Forecast'!$C$5:$C$3540,$A87,'Store Forecast'!$A$5:$A$3540,I$3)</f>
        <v>16.8</v>
      </c>
      <c r="J87" s="14">
        <f>SUMIFS('Store Forecast'!$D$5:$D$3540,'Store Forecast'!$C$5:$C$3540,$A87,'Store Forecast'!$A$5:$A$3540,J$3)</f>
        <v>16.399999999999999</v>
      </c>
      <c r="K87" s="14">
        <f>SUMIFS('Store Forecast'!$D$5:$D$3540,'Store Forecast'!$C$5:$C$3540,$A87,'Store Forecast'!$A$5:$A$3540,K$3)</f>
        <v>16.3</v>
      </c>
      <c r="L87" s="14">
        <f>SUMIFS('Store Forecast'!$D$5:$D$3540,'Store Forecast'!$C$5:$C$3540,$A87,'Store Forecast'!$A$5:$A$3540,L$3)</f>
        <v>15.8</v>
      </c>
      <c r="M87" s="14">
        <v>24.3</v>
      </c>
      <c r="N87">
        <v>24</v>
      </c>
      <c r="O87">
        <v>0</v>
      </c>
      <c r="P87" t="str">
        <f t="shared" si="2"/>
        <v>On plan</v>
      </c>
    </row>
    <row r="88" spans="1:16" x14ac:dyDescent="0.35">
      <c r="A88" t="s">
        <v>247</v>
      </c>
      <c r="B88" t="s">
        <v>80</v>
      </c>
      <c r="C88" t="s">
        <v>81</v>
      </c>
      <c r="D88" t="str">
        <f>INDEX('Pool Points'!$E:$E,MATCH(B88,'Pool Points'!$A:$A,0))</f>
        <v>CARR-C</v>
      </c>
      <c r="E88" t="s">
        <v>156</v>
      </c>
      <c r="F88" t="s">
        <v>163</v>
      </c>
      <c r="G88">
        <v>15</v>
      </c>
      <c r="H88" s="13">
        <v>42005</v>
      </c>
      <c r="I88" s="14">
        <f>SUMIFS('Store Forecast'!$D$5:$D$3540,'Store Forecast'!$C$5:$C$3540,$A88,'Store Forecast'!$A$5:$A$3540,I$3)</f>
        <v>29.6</v>
      </c>
      <c r="J88" s="14">
        <f>SUMIFS('Store Forecast'!$D$5:$D$3540,'Store Forecast'!$C$5:$C$3540,$A88,'Store Forecast'!$A$5:$A$3540,J$3)</f>
        <v>28.8</v>
      </c>
      <c r="K88" s="14">
        <f>SUMIFS('Store Forecast'!$D$5:$D$3540,'Store Forecast'!$C$5:$C$3540,$A88,'Store Forecast'!$A$5:$A$3540,K$3)</f>
        <v>28.8</v>
      </c>
      <c r="L88" s="14">
        <f>SUMIFS('Store Forecast'!$D$5:$D$3540,'Store Forecast'!$C$5:$C$3540,$A88,'Store Forecast'!$A$5:$A$3540,L$3)</f>
        <v>27.9</v>
      </c>
      <c r="M88" s="14">
        <v>42.8</v>
      </c>
      <c r="N88">
        <v>43</v>
      </c>
      <c r="O88">
        <v>0</v>
      </c>
      <c r="P88" t="str">
        <f t="shared" si="2"/>
        <v>On plan</v>
      </c>
    </row>
    <row r="89" spans="1:16" x14ac:dyDescent="0.35">
      <c r="A89" t="s">
        <v>248</v>
      </c>
      <c r="B89" t="s">
        <v>82</v>
      </c>
      <c r="C89" t="s">
        <v>83</v>
      </c>
      <c r="D89" t="str">
        <f>INDEX('Pool Points'!$E:$E,MATCH(B89,'Pool Points'!$A:$A,0))</f>
        <v>CARR-D</v>
      </c>
      <c r="E89" t="s">
        <v>156</v>
      </c>
      <c r="F89" t="s">
        <v>157</v>
      </c>
      <c r="G89">
        <v>13</v>
      </c>
      <c r="H89" s="13">
        <v>42005</v>
      </c>
      <c r="I89" s="14">
        <f>SUMIFS('Store Forecast'!$D$5:$D$3540,'Store Forecast'!$C$5:$C$3540,$A89,'Store Forecast'!$A$5:$A$3540,I$3)</f>
        <v>23.1</v>
      </c>
      <c r="J89" s="14">
        <f>SUMIFS('Store Forecast'!$D$5:$D$3540,'Store Forecast'!$C$5:$C$3540,$A89,'Store Forecast'!$A$5:$A$3540,J$3)</f>
        <v>23.7</v>
      </c>
      <c r="K89" s="14">
        <f>SUMIFS('Store Forecast'!$D$5:$D$3540,'Store Forecast'!$C$5:$C$3540,$A89,'Store Forecast'!$A$5:$A$3540,K$3)</f>
        <v>23.8</v>
      </c>
      <c r="L89" s="14">
        <f>SUMIFS('Store Forecast'!$D$5:$D$3540,'Store Forecast'!$C$5:$C$3540,$A89,'Store Forecast'!$A$5:$A$3540,L$3)</f>
        <v>22.6</v>
      </c>
      <c r="M89" s="14">
        <v>34</v>
      </c>
      <c r="N89">
        <v>34</v>
      </c>
      <c r="O89">
        <v>0</v>
      </c>
      <c r="P89" t="str">
        <f t="shared" si="2"/>
        <v>On plan</v>
      </c>
    </row>
    <row r="90" spans="1:16" x14ac:dyDescent="0.35">
      <c r="A90" t="s">
        <v>249</v>
      </c>
      <c r="B90" t="s">
        <v>82</v>
      </c>
      <c r="C90" t="s">
        <v>83</v>
      </c>
      <c r="D90" t="str">
        <f>INDEX('Pool Points'!$E:$E,MATCH(B90,'Pool Points'!$A:$A,0))</f>
        <v>CARR-D</v>
      </c>
      <c r="E90" t="s">
        <v>165</v>
      </c>
      <c r="F90" t="s">
        <v>166</v>
      </c>
      <c r="G90">
        <v>9</v>
      </c>
      <c r="H90" s="13">
        <v>42005</v>
      </c>
      <c r="I90" s="14">
        <f>SUMIFS('Store Forecast'!$D$5:$D$3540,'Store Forecast'!$C$5:$C$3540,$A90,'Store Forecast'!$A$5:$A$3540,I$3)</f>
        <v>10.3</v>
      </c>
      <c r="J90" s="14">
        <f>SUMIFS('Store Forecast'!$D$5:$D$3540,'Store Forecast'!$C$5:$C$3540,$A90,'Store Forecast'!$A$5:$A$3540,J$3)</f>
        <v>10.5</v>
      </c>
      <c r="K90" s="14">
        <f>SUMIFS('Store Forecast'!$D$5:$D$3540,'Store Forecast'!$C$5:$C$3540,$A90,'Store Forecast'!$A$5:$A$3540,K$3)</f>
        <v>10.6</v>
      </c>
      <c r="L90" s="14">
        <f>SUMIFS('Store Forecast'!$D$5:$D$3540,'Store Forecast'!$C$5:$C$3540,$A90,'Store Forecast'!$A$5:$A$3540,L$3)</f>
        <v>10</v>
      </c>
      <c r="M90" s="14">
        <v>15.1</v>
      </c>
      <c r="N90">
        <v>15</v>
      </c>
      <c r="O90">
        <v>0</v>
      </c>
      <c r="P90" t="str">
        <f t="shared" si="2"/>
        <v>On plan</v>
      </c>
    </row>
    <row r="91" spans="1:16" x14ac:dyDescent="0.35">
      <c r="A91" t="s">
        <v>250</v>
      </c>
      <c r="B91" t="s">
        <v>82</v>
      </c>
      <c r="C91" t="s">
        <v>83</v>
      </c>
      <c r="D91" t="str">
        <f>INDEX('Pool Points'!$E:$E,MATCH(B91,'Pool Points'!$A:$A,0))</f>
        <v>CARR-D</v>
      </c>
      <c r="E91" t="s">
        <v>160</v>
      </c>
      <c r="F91" t="s">
        <v>168</v>
      </c>
      <c r="G91">
        <v>13</v>
      </c>
      <c r="H91" s="13">
        <v>42005</v>
      </c>
      <c r="I91" s="14">
        <f>SUMIFS('Store Forecast'!$D$5:$D$3540,'Store Forecast'!$C$5:$C$3540,$A91,'Store Forecast'!$A$5:$A$3540,I$3)</f>
        <v>16.3</v>
      </c>
      <c r="J91" s="14">
        <f>SUMIFS('Store Forecast'!$D$5:$D$3540,'Store Forecast'!$C$5:$C$3540,$A91,'Store Forecast'!$A$5:$A$3540,J$3)</f>
        <v>16.8</v>
      </c>
      <c r="K91" s="14">
        <f>SUMIFS('Store Forecast'!$D$5:$D$3540,'Store Forecast'!$C$5:$C$3540,$A91,'Store Forecast'!$A$5:$A$3540,K$3)</f>
        <v>16.899999999999999</v>
      </c>
      <c r="L91" s="14">
        <f>SUMIFS('Store Forecast'!$D$5:$D$3540,'Store Forecast'!$C$5:$C$3540,$A91,'Store Forecast'!$A$5:$A$3540,L$3)</f>
        <v>16</v>
      </c>
      <c r="M91" s="14">
        <v>24</v>
      </c>
      <c r="N91">
        <v>24</v>
      </c>
      <c r="O91">
        <v>0</v>
      </c>
      <c r="P91" t="str">
        <f t="shared" si="2"/>
        <v>On plan</v>
      </c>
    </row>
    <row r="92" spans="1:16" x14ac:dyDescent="0.35">
      <c r="A92" t="s">
        <v>251</v>
      </c>
      <c r="B92" t="s">
        <v>82</v>
      </c>
      <c r="C92" t="s">
        <v>83</v>
      </c>
      <c r="D92" t="str">
        <f>INDEX('Pool Points'!$E:$E,MATCH(B92,'Pool Points'!$A:$A,0))</f>
        <v>CARR-D</v>
      </c>
      <c r="E92" t="s">
        <v>160</v>
      </c>
      <c r="F92" t="s">
        <v>161</v>
      </c>
      <c r="G92">
        <v>9</v>
      </c>
      <c r="H92" s="13">
        <v>42005</v>
      </c>
      <c r="I92" s="14">
        <f>SUMIFS('Store Forecast'!$D$5:$D$3540,'Store Forecast'!$C$5:$C$3540,$A92,'Store Forecast'!$A$5:$A$3540,I$3)</f>
        <v>11.4</v>
      </c>
      <c r="J92" s="14">
        <f>SUMIFS('Store Forecast'!$D$5:$D$3540,'Store Forecast'!$C$5:$C$3540,$A92,'Store Forecast'!$A$5:$A$3540,J$3)</f>
        <v>11.7</v>
      </c>
      <c r="K92" s="14">
        <f>SUMIFS('Store Forecast'!$D$5:$D$3540,'Store Forecast'!$C$5:$C$3540,$A92,'Store Forecast'!$A$5:$A$3540,K$3)</f>
        <v>11.8</v>
      </c>
      <c r="L92" s="14">
        <f>SUMIFS('Store Forecast'!$D$5:$D$3540,'Store Forecast'!$C$5:$C$3540,$A92,'Store Forecast'!$A$5:$A$3540,L$3)</f>
        <v>11.2</v>
      </c>
      <c r="M92" s="14">
        <v>16.8</v>
      </c>
      <c r="N92">
        <v>17</v>
      </c>
      <c r="O92">
        <v>0</v>
      </c>
      <c r="P92" t="str">
        <f t="shared" si="2"/>
        <v>On plan</v>
      </c>
    </row>
    <row r="93" spans="1:16" x14ac:dyDescent="0.35">
      <c r="A93" t="s">
        <v>252</v>
      </c>
      <c r="B93" t="s">
        <v>82</v>
      </c>
      <c r="C93" t="s">
        <v>83</v>
      </c>
      <c r="D93" t="str">
        <f>INDEX('Pool Points'!$E:$E,MATCH(B93,'Pool Points'!$A:$A,0))</f>
        <v>CARR-D</v>
      </c>
      <c r="E93" t="s">
        <v>165</v>
      </c>
      <c r="F93" t="s">
        <v>166</v>
      </c>
      <c r="G93">
        <v>9</v>
      </c>
      <c r="H93" s="13">
        <v>42005</v>
      </c>
      <c r="I93" s="14">
        <f>SUMIFS('Store Forecast'!$D$5:$D$3540,'Store Forecast'!$C$5:$C$3540,$A93,'Store Forecast'!$A$5:$A$3540,I$3)</f>
        <v>10.4</v>
      </c>
      <c r="J93" s="14">
        <f>SUMIFS('Store Forecast'!$D$5:$D$3540,'Store Forecast'!$C$5:$C$3540,$A93,'Store Forecast'!$A$5:$A$3540,J$3)</f>
        <v>10.6</v>
      </c>
      <c r="K93" s="14">
        <f>SUMIFS('Store Forecast'!$D$5:$D$3540,'Store Forecast'!$C$5:$C$3540,$A93,'Store Forecast'!$A$5:$A$3540,K$3)</f>
        <v>10.7</v>
      </c>
      <c r="L93" s="14">
        <f>SUMIFS('Store Forecast'!$D$5:$D$3540,'Store Forecast'!$C$5:$C$3540,$A93,'Store Forecast'!$A$5:$A$3540,L$3)</f>
        <v>10.1</v>
      </c>
      <c r="M93" s="14">
        <v>15.2</v>
      </c>
      <c r="N93">
        <v>15</v>
      </c>
      <c r="O93">
        <v>0</v>
      </c>
      <c r="P93" t="str">
        <f t="shared" si="2"/>
        <v>On plan</v>
      </c>
    </row>
    <row r="94" spans="1:16" x14ac:dyDescent="0.35">
      <c r="A94" t="s">
        <v>253</v>
      </c>
      <c r="B94" t="s">
        <v>82</v>
      </c>
      <c r="C94" t="s">
        <v>83</v>
      </c>
      <c r="D94" t="str">
        <f>INDEX('Pool Points'!$E:$E,MATCH(B94,'Pool Points'!$A:$A,0))</f>
        <v>CARR-D</v>
      </c>
      <c r="E94" t="s">
        <v>160</v>
      </c>
      <c r="F94" t="s">
        <v>161</v>
      </c>
      <c r="G94">
        <v>14</v>
      </c>
      <c r="H94" s="13">
        <v>42005</v>
      </c>
      <c r="I94" s="14">
        <f>SUMIFS('Store Forecast'!$D$5:$D$3540,'Store Forecast'!$C$5:$C$3540,$A94,'Store Forecast'!$A$5:$A$3540,I$3)</f>
        <v>17.3</v>
      </c>
      <c r="J94" s="14">
        <f>SUMIFS('Store Forecast'!$D$5:$D$3540,'Store Forecast'!$C$5:$C$3540,$A94,'Store Forecast'!$A$5:$A$3540,J$3)</f>
        <v>17.7</v>
      </c>
      <c r="K94" s="14">
        <f>SUMIFS('Store Forecast'!$D$5:$D$3540,'Store Forecast'!$C$5:$C$3540,$A94,'Store Forecast'!$A$5:$A$3540,K$3)</f>
        <v>17.8</v>
      </c>
      <c r="L94" s="14">
        <f>SUMIFS('Store Forecast'!$D$5:$D$3540,'Store Forecast'!$C$5:$C$3540,$A94,'Store Forecast'!$A$5:$A$3540,L$3)</f>
        <v>16.899999999999999</v>
      </c>
      <c r="M94" s="14">
        <v>25.4</v>
      </c>
      <c r="N94">
        <v>25</v>
      </c>
      <c r="O94">
        <v>0</v>
      </c>
      <c r="P94" t="str">
        <f t="shared" si="2"/>
        <v>On plan</v>
      </c>
    </row>
    <row r="95" spans="1:16" x14ac:dyDescent="0.35">
      <c r="A95" t="s">
        <v>254</v>
      </c>
      <c r="B95" t="s">
        <v>82</v>
      </c>
      <c r="C95" t="s">
        <v>83</v>
      </c>
      <c r="D95" t="str">
        <f>INDEX('Pool Points'!$E:$E,MATCH(B95,'Pool Points'!$A:$A,0))</f>
        <v>CARR-D</v>
      </c>
      <c r="E95" t="s">
        <v>165</v>
      </c>
      <c r="F95" t="s">
        <v>161</v>
      </c>
      <c r="G95">
        <v>8</v>
      </c>
      <c r="H95" s="13">
        <v>42005</v>
      </c>
      <c r="I95" s="14">
        <f>SUMIFS('Store Forecast'!$D$5:$D$3540,'Store Forecast'!$C$5:$C$3540,$A95,'Store Forecast'!$A$5:$A$3540,I$3)</f>
        <v>8.6</v>
      </c>
      <c r="J95" s="14">
        <f>SUMIFS('Store Forecast'!$D$5:$D$3540,'Store Forecast'!$C$5:$C$3540,$A95,'Store Forecast'!$A$5:$A$3540,J$3)</f>
        <v>8.8000000000000007</v>
      </c>
      <c r="K95" s="14">
        <f>SUMIFS('Store Forecast'!$D$5:$D$3540,'Store Forecast'!$C$5:$C$3540,$A95,'Store Forecast'!$A$5:$A$3540,K$3)</f>
        <v>8.8000000000000007</v>
      </c>
      <c r="L95" s="14">
        <f>SUMIFS('Store Forecast'!$D$5:$D$3540,'Store Forecast'!$C$5:$C$3540,$A95,'Store Forecast'!$A$5:$A$3540,L$3)</f>
        <v>8.4</v>
      </c>
      <c r="M95" s="14">
        <v>12.6</v>
      </c>
      <c r="N95">
        <v>13</v>
      </c>
      <c r="O95">
        <v>0</v>
      </c>
      <c r="P95" t="str">
        <f t="shared" si="2"/>
        <v>On plan</v>
      </c>
    </row>
    <row r="96" spans="1:16" x14ac:dyDescent="0.35">
      <c r="A96" t="s">
        <v>255</v>
      </c>
      <c r="B96" t="s">
        <v>82</v>
      </c>
      <c r="C96" t="s">
        <v>83</v>
      </c>
      <c r="D96" t="str">
        <f>INDEX('Pool Points'!$E:$E,MATCH(B96,'Pool Points'!$A:$A,0))</f>
        <v>CARR-D</v>
      </c>
      <c r="E96" t="s">
        <v>165</v>
      </c>
      <c r="F96" t="s">
        <v>166</v>
      </c>
      <c r="G96">
        <v>9</v>
      </c>
      <c r="H96" s="13">
        <v>42005</v>
      </c>
      <c r="I96" s="14">
        <f>SUMIFS('Store Forecast'!$D$5:$D$3540,'Store Forecast'!$C$5:$C$3540,$A96,'Store Forecast'!$A$5:$A$3540,I$3)</f>
        <v>10.5</v>
      </c>
      <c r="J96" s="14">
        <f>SUMIFS('Store Forecast'!$D$5:$D$3540,'Store Forecast'!$C$5:$C$3540,$A96,'Store Forecast'!$A$5:$A$3540,J$3)</f>
        <v>10.8</v>
      </c>
      <c r="K96" s="14">
        <f>SUMIFS('Store Forecast'!$D$5:$D$3540,'Store Forecast'!$C$5:$C$3540,$A96,'Store Forecast'!$A$5:$A$3540,K$3)</f>
        <v>10.8</v>
      </c>
      <c r="L96" s="14">
        <f>SUMIFS('Store Forecast'!$D$5:$D$3540,'Store Forecast'!$C$5:$C$3540,$A96,'Store Forecast'!$A$5:$A$3540,L$3)</f>
        <v>10.3</v>
      </c>
      <c r="M96" s="14">
        <v>15.4</v>
      </c>
      <c r="N96">
        <v>15</v>
      </c>
      <c r="O96">
        <v>0</v>
      </c>
      <c r="P96" t="str">
        <f t="shared" si="2"/>
        <v>On plan</v>
      </c>
    </row>
    <row r="97" spans="1:16" x14ac:dyDescent="0.35">
      <c r="A97" t="s">
        <v>256</v>
      </c>
      <c r="B97" t="s">
        <v>82</v>
      </c>
      <c r="C97" t="s">
        <v>83</v>
      </c>
      <c r="D97" t="str">
        <f>INDEX('Pool Points'!$E:$E,MATCH(B97,'Pool Points'!$A:$A,0))</f>
        <v>CARR-D</v>
      </c>
      <c r="E97" t="s">
        <v>160</v>
      </c>
      <c r="F97" t="s">
        <v>161</v>
      </c>
      <c r="G97">
        <v>15</v>
      </c>
      <c r="H97" s="13">
        <v>42005</v>
      </c>
      <c r="I97" s="14">
        <f>SUMIFS('Store Forecast'!$D$5:$D$3540,'Store Forecast'!$C$5:$C$3540,$A97,'Store Forecast'!$A$5:$A$3540,I$3)</f>
        <v>18.600000000000001</v>
      </c>
      <c r="J97" s="14">
        <f>SUMIFS('Store Forecast'!$D$5:$D$3540,'Store Forecast'!$C$5:$C$3540,$A97,'Store Forecast'!$A$5:$A$3540,J$3)</f>
        <v>19.100000000000001</v>
      </c>
      <c r="K97" s="14">
        <f>SUMIFS('Store Forecast'!$D$5:$D$3540,'Store Forecast'!$C$5:$C$3540,$A97,'Store Forecast'!$A$5:$A$3540,K$3)</f>
        <v>19.2</v>
      </c>
      <c r="L97" s="14">
        <f>SUMIFS('Store Forecast'!$D$5:$D$3540,'Store Forecast'!$C$5:$C$3540,$A97,'Store Forecast'!$A$5:$A$3540,L$3)</f>
        <v>18.2</v>
      </c>
      <c r="M97" s="14">
        <v>27.3</v>
      </c>
      <c r="N97">
        <v>27</v>
      </c>
      <c r="O97">
        <v>0</v>
      </c>
      <c r="P97" t="str">
        <f t="shared" si="2"/>
        <v>On plan</v>
      </c>
    </row>
    <row r="98" spans="1:16" x14ac:dyDescent="0.35">
      <c r="A98" t="s">
        <v>257</v>
      </c>
      <c r="B98" t="s">
        <v>82</v>
      </c>
      <c r="C98" t="s">
        <v>83</v>
      </c>
      <c r="D98" t="str">
        <f>INDEX('Pool Points'!$E:$E,MATCH(B98,'Pool Points'!$A:$A,0))</f>
        <v>CARR-D</v>
      </c>
      <c r="E98" t="s">
        <v>160</v>
      </c>
      <c r="F98" t="s">
        <v>168</v>
      </c>
      <c r="G98">
        <v>14</v>
      </c>
      <c r="H98" s="13">
        <v>42005</v>
      </c>
      <c r="I98" s="14">
        <f>SUMIFS('Store Forecast'!$D$5:$D$3540,'Store Forecast'!$C$5:$C$3540,$A98,'Store Forecast'!$A$5:$A$3540,I$3)</f>
        <v>16.7</v>
      </c>
      <c r="J98" s="14">
        <f>SUMIFS('Store Forecast'!$D$5:$D$3540,'Store Forecast'!$C$5:$C$3540,$A98,'Store Forecast'!$A$5:$A$3540,J$3)</f>
        <v>17.2</v>
      </c>
      <c r="K98" s="14">
        <f>SUMIFS('Store Forecast'!$D$5:$D$3540,'Store Forecast'!$C$5:$C$3540,$A98,'Store Forecast'!$A$5:$A$3540,K$3)</f>
        <v>17.3</v>
      </c>
      <c r="L98" s="14">
        <f>SUMIFS('Store Forecast'!$D$5:$D$3540,'Store Forecast'!$C$5:$C$3540,$A98,'Store Forecast'!$A$5:$A$3540,L$3)</f>
        <v>16.399999999999999</v>
      </c>
      <c r="M98" s="14">
        <v>24.6</v>
      </c>
      <c r="N98">
        <v>25</v>
      </c>
      <c r="O98">
        <v>0</v>
      </c>
      <c r="P98" t="str">
        <f t="shared" si="2"/>
        <v>On plan</v>
      </c>
    </row>
    <row r="99" spans="1:16" x14ac:dyDescent="0.35">
      <c r="A99" t="s">
        <v>258</v>
      </c>
      <c r="B99" t="s">
        <v>82</v>
      </c>
      <c r="C99" t="s">
        <v>83</v>
      </c>
      <c r="D99" t="str">
        <f>INDEX('Pool Points'!$E:$E,MATCH(B99,'Pool Points'!$A:$A,0))</f>
        <v>CARR-D</v>
      </c>
      <c r="E99" t="s">
        <v>156</v>
      </c>
      <c r="F99" t="s">
        <v>157</v>
      </c>
      <c r="G99">
        <v>13</v>
      </c>
      <c r="H99" s="13">
        <v>42005</v>
      </c>
      <c r="I99" s="14">
        <f>SUMIFS('Store Forecast'!$D$5:$D$3540,'Store Forecast'!$C$5:$C$3540,$A99,'Store Forecast'!$A$5:$A$3540,I$3)</f>
        <v>23.8</v>
      </c>
      <c r="J99" s="14">
        <f>SUMIFS('Store Forecast'!$D$5:$D$3540,'Store Forecast'!$C$5:$C$3540,$A99,'Store Forecast'!$A$5:$A$3540,J$3)</f>
        <v>24.4</v>
      </c>
      <c r="K99" s="14">
        <f>SUMIFS('Store Forecast'!$D$5:$D$3540,'Store Forecast'!$C$5:$C$3540,$A99,'Store Forecast'!$A$5:$A$3540,K$3)</f>
        <v>24.6</v>
      </c>
      <c r="L99" s="14">
        <f>SUMIFS('Store Forecast'!$D$5:$D$3540,'Store Forecast'!$C$5:$C$3540,$A99,'Store Forecast'!$A$5:$A$3540,L$3)</f>
        <v>23.3</v>
      </c>
      <c r="M99" s="14">
        <v>35</v>
      </c>
      <c r="N99">
        <v>35</v>
      </c>
      <c r="O99">
        <v>0</v>
      </c>
      <c r="P99" t="str">
        <f t="shared" si="2"/>
        <v>On plan</v>
      </c>
    </row>
    <row r="100" spans="1:16" x14ac:dyDescent="0.35">
      <c r="A100" t="s">
        <v>259</v>
      </c>
      <c r="B100" t="s">
        <v>82</v>
      </c>
      <c r="C100" t="s">
        <v>83</v>
      </c>
      <c r="D100" t="str">
        <f>INDEX('Pool Points'!$E:$E,MATCH(B100,'Pool Points'!$A:$A,0))</f>
        <v>CARR-D</v>
      </c>
      <c r="E100" t="s">
        <v>160</v>
      </c>
      <c r="F100" t="s">
        <v>166</v>
      </c>
      <c r="G100">
        <v>9</v>
      </c>
      <c r="H100" s="13">
        <v>42005</v>
      </c>
      <c r="I100" s="14">
        <f>SUMIFS('Store Forecast'!$D$5:$D$3540,'Store Forecast'!$C$5:$C$3540,$A100,'Store Forecast'!$A$5:$A$3540,I$3)</f>
        <v>11.3</v>
      </c>
      <c r="J100" s="14">
        <f>SUMIFS('Store Forecast'!$D$5:$D$3540,'Store Forecast'!$C$5:$C$3540,$A100,'Store Forecast'!$A$5:$A$3540,J$3)</f>
        <v>11.6</v>
      </c>
      <c r="K100" s="14">
        <f>SUMIFS('Store Forecast'!$D$5:$D$3540,'Store Forecast'!$C$5:$C$3540,$A100,'Store Forecast'!$A$5:$A$3540,K$3)</f>
        <v>11.6</v>
      </c>
      <c r="L100" s="14">
        <f>SUMIFS('Store Forecast'!$D$5:$D$3540,'Store Forecast'!$C$5:$C$3540,$A100,'Store Forecast'!$A$5:$A$3540,L$3)</f>
        <v>11</v>
      </c>
      <c r="M100" s="14">
        <v>16.600000000000001</v>
      </c>
      <c r="N100">
        <v>17</v>
      </c>
      <c r="O100">
        <v>0</v>
      </c>
      <c r="P100" t="str">
        <f t="shared" si="2"/>
        <v>On plan</v>
      </c>
    </row>
    <row r="101" spans="1:16" x14ac:dyDescent="0.35">
      <c r="A101" t="s">
        <v>260</v>
      </c>
      <c r="B101" t="s">
        <v>82</v>
      </c>
      <c r="C101" t="s">
        <v>83</v>
      </c>
      <c r="D101" t="str">
        <f>INDEX('Pool Points'!$E:$E,MATCH(B101,'Pool Points'!$A:$A,0))</f>
        <v>CARR-D</v>
      </c>
      <c r="E101" t="s">
        <v>160</v>
      </c>
      <c r="F101" t="s">
        <v>157</v>
      </c>
      <c r="G101">
        <v>7</v>
      </c>
      <c r="H101" s="13">
        <v>45724</v>
      </c>
      <c r="I101" s="14">
        <f>SUMIFS('Store Forecast'!$D$5:$D$3540,'Store Forecast'!$C$5:$C$3540,$A101,'Store Forecast'!$A$5:$A$3540,I$3)</f>
        <v>11.4</v>
      </c>
      <c r="J101" s="14">
        <f>SUMIFS('Store Forecast'!$D$5:$D$3540,'Store Forecast'!$C$5:$C$3540,$A101,'Store Forecast'!$A$5:$A$3540,J$3)</f>
        <v>11.7</v>
      </c>
      <c r="K101" s="14">
        <f>SUMIFS('Store Forecast'!$D$5:$D$3540,'Store Forecast'!$C$5:$C$3540,$A101,'Store Forecast'!$A$5:$A$3540,K$3)</f>
        <v>11.7</v>
      </c>
      <c r="L101" s="14">
        <f>SUMIFS('Store Forecast'!$D$5:$D$3540,'Store Forecast'!$C$5:$C$3540,$A101,'Store Forecast'!$A$5:$A$3540,L$3)</f>
        <v>11.1</v>
      </c>
      <c r="M101" s="14">
        <v>16.7</v>
      </c>
      <c r="N101">
        <v>17</v>
      </c>
      <c r="O101">
        <v>0</v>
      </c>
      <c r="P101" t="str">
        <f t="shared" ref="P101:P132" si="3">IF(H101&gt;AsOfDate,"Opens "&amp;TEXT(H101,"mmm d"),IF(O101&gt;0,"Backlog in peak week","On plan"))</f>
        <v>On plan</v>
      </c>
    </row>
    <row r="102" spans="1:16" x14ac:dyDescent="0.35">
      <c r="A102" t="s">
        <v>261</v>
      </c>
      <c r="B102" t="s">
        <v>82</v>
      </c>
      <c r="C102" t="s">
        <v>83</v>
      </c>
      <c r="D102" t="str">
        <f>INDEX('Pool Points'!$E:$E,MATCH(B102,'Pool Points'!$A:$A,0))</f>
        <v>CARR-D</v>
      </c>
      <c r="E102" t="s">
        <v>160</v>
      </c>
      <c r="F102" t="s">
        <v>168</v>
      </c>
      <c r="G102">
        <v>13</v>
      </c>
      <c r="H102" s="13">
        <v>42005</v>
      </c>
      <c r="I102" s="14">
        <f>SUMIFS('Store Forecast'!$D$5:$D$3540,'Store Forecast'!$C$5:$C$3540,$A102,'Store Forecast'!$A$5:$A$3540,I$3)</f>
        <v>16.600000000000001</v>
      </c>
      <c r="J102" s="14">
        <f>SUMIFS('Store Forecast'!$D$5:$D$3540,'Store Forecast'!$C$5:$C$3540,$A102,'Store Forecast'!$A$5:$A$3540,J$3)</f>
        <v>17</v>
      </c>
      <c r="K102" s="14">
        <f>SUMIFS('Store Forecast'!$D$5:$D$3540,'Store Forecast'!$C$5:$C$3540,$A102,'Store Forecast'!$A$5:$A$3540,K$3)</f>
        <v>17.100000000000001</v>
      </c>
      <c r="L102" s="14">
        <f>SUMIFS('Store Forecast'!$D$5:$D$3540,'Store Forecast'!$C$5:$C$3540,$A102,'Store Forecast'!$A$5:$A$3540,L$3)</f>
        <v>16.2</v>
      </c>
      <c r="M102" s="14">
        <v>24.4</v>
      </c>
      <c r="N102">
        <v>24</v>
      </c>
      <c r="O102">
        <v>0</v>
      </c>
      <c r="P102" t="str">
        <f t="shared" si="3"/>
        <v>On plan</v>
      </c>
    </row>
    <row r="103" spans="1:16" x14ac:dyDescent="0.35">
      <c r="A103" t="s">
        <v>262</v>
      </c>
      <c r="B103" t="s">
        <v>82</v>
      </c>
      <c r="C103" t="s">
        <v>83</v>
      </c>
      <c r="D103" t="str">
        <f>INDEX('Pool Points'!$E:$E,MATCH(B103,'Pool Points'!$A:$A,0))</f>
        <v>CARR-D</v>
      </c>
      <c r="E103" t="s">
        <v>156</v>
      </c>
      <c r="F103" t="s">
        <v>157</v>
      </c>
      <c r="G103">
        <v>13</v>
      </c>
      <c r="H103" s="13">
        <v>42005</v>
      </c>
      <c r="I103" s="14">
        <f>SUMIFS('Store Forecast'!$D$5:$D$3540,'Store Forecast'!$C$5:$C$3540,$A103,'Store Forecast'!$A$5:$A$3540,I$3)</f>
        <v>22.6</v>
      </c>
      <c r="J103" s="14">
        <f>SUMIFS('Store Forecast'!$D$5:$D$3540,'Store Forecast'!$C$5:$C$3540,$A103,'Store Forecast'!$A$5:$A$3540,J$3)</f>
        <v>23.2</v>
      </c>
      <c r="K103" s="14">
        <f>SUMIFS('Store Forecast'!$D$5:$D$3540,'Store Forecast'!$C$5:$C$3540,$A103,'Store Forecast'!$A$5:$A$3540,K$3)</f>
        <v>23.3</v>
      </c>
      <c r="L103" s="14">
        <f>SUMIFS('Store Forecast'!$D$5:$D$3540,'Store Forecast'!$C$5:$C$3540,$A103,'Store Forecast'!$A$5:$A$3540,L$3)</f>
        <v>22.1</v>
      </c>
      <c r="M103" s="14">
        <v>33.200000000000003</v>
      </c>
      <c r="N103">
        <v>33</v>
      </c>
      <c r="O103">
        <v>0</v>
      </c>
      <c r="P103" t="str">
        <f t="shared" si="3"/>
        <v>On plan</v>
      </c>
    </row>
    <row r="104" spans="1:16" x14ac:dyDescent="0.35">
      <c r="A104" t="s">
        <v>263</v>
      </c>
      <c r="B104" t="s">
        <v>82</v>
      </c>
      <c r="C104" t="s">
        <v>83</v>
      </c>
      <c r="D104" t="str">
        <f>INDEX('Pool Points'!$E:$E,MATCH(B104,'Pool Points'!$A:$A,0))</f>
        <v>CARR-D</v>
      </c>
      <c r="E104" t="s">
        <v>165</v>
      </c>
      <c r="F104" t="s">
        <v>166</v>
      </c>
      <c r="G104">
        <v>8</v>
      </c>
      <c r="H104" s="13">
        <v>42005</v>
      </c>
      <c r="I104" s="14">
        <f>SUMIFS('Store Forecast'!$D$5:$D$3540,'Store Forecast'!$C$5:$C$3540,$A104,'Store Forecast'!$A$5:$A$3540,I$3)</f>
        <v>10</v>
      </c>
      <c r="J104" s="14">
        <f>SUMIFS('Store Forecast'!$D$5:$D$3540,'Store Forecast'!$C$5:$C$3540,$A104,'Store Forecast'!$A$5:$A$3540,J$3)</f>
        <v>10.199999999999999</v>
      </c>
      <c r="K104" s="14">
        <f>SUMIFS('Store Forecast'!$D$5:$D$3540,'Store Forecast'!$C$5:$C$3540,$A104,'Store Forecast'!$A$5:$A$3540,K$3)</f>
        <v>10.3</v>
      </c>
      <c r="L104" s="14">
        <f>SUMIFS('Store Forecast'!$D$5:$D$3540,'Store Forecast'!$C$5:$C$3540,$A104,'Store Forecast'!$A$5:$A$3540,L$3)</f>
        <v>9.6999999999999993</v>
      </c>
      <c r="M104" s="14">
        <v>14.6</v>
      </c>
      <c r="N104">
        <v>15</v>
      </c>
      <c r="O104">
        <v>0</v>
      </c>
      <c r="P104" t="str">
        <f t="shared" si="3"/>
        <v>On plan</v>
      </c>
    </row>
    <row r="105" spans="1:16" x14ac:dyDescent="0.35">
      <c r="A105" t="s">
        <v>264</v>
      </c>
      <c r="B105" t="s">
        <v>82</v>
      </c>
      <c r="C105" t="s">
        <v>83</v>
      </c>
      <c r="D105" t="str">
        <f>INDEX('Pool Points'!$E:$E,MATCH(B105,'Pool Points'!$A:$A,0))</f>
        <v>CARR-D</v>
      </c>
      <c r="E105" t="s">
        <v>156</v>
      </c>
      <c r="F105" t="s">
        <v>163</v>
      </c>
      <c r="G105">
        <v>13</v>
      </c>
      <c r="H105" s="13">
        <v>42005</v>
      </c>
      <c r="I105" s="14">
        <f>SUMIFS('Store Forecast'!$D$5:$D$3540,'Store Forecast'!$C$5:$C$3540,$A105,'Store Forecast'!$A$5:$A$3540,I$3)</f>
        <v>25.1</v>
      </c>
      <c r="J105" s="14">
        <f>SUMIFS('Store Forecast'!$D$5:$D$3540,'Store Forecast'!$C$5:$C$3540,$A105,'Store Forecast'!$A$5:$A$3540,J$3)</f>
        <v>25.8</v>
      </c>
      <c r="K105" s="14">
        <f>SUMIFS('Store Forecast'!$D$5:$D$3540,'Store Forecast'!$C$5:$C$3540,$A105,'Store Forecast'!$A$5:$A$3540,K$3)</f>
        <v>25.9</v>
      </c>
      <c r="L105" s="14">
        <f>SUMIFS('Store Forecast'!$D$5:$D$3540,'Store Forecast'!$C$5:$C$3540,$A105,'Store Forecast'!$A$5:$A$3540,L$3)</f>
        <v>24.6</v>
      </c>
      <c r="M105" s="14">
        <v>36.9</v>
      </c>
      <c r="N105">
        <v>37</v>
      </c>
      <c r="O105">
        <v>0</v>
      </c>
      <c r="P105" t="str">
        <f t="shared" si="3"/>
        <v>On plan</v>
      </c>
    </row>
    <row r="106" spans="1:16" x14ac:dyDescent="0.35">
      <c r="A106" t="s">
        <v>265</v>
      </c>
      <c r="B106" t="s">
        <v>82</v>
      </c>
      <c r="C106" t="s">
        <v>83</v>
      </c>
      <c r="D106" t="str">
        <f>INDEX('Pool Points'!$E:$E,MATCH(B106,'Pool Points'!$A:$A,0))</f>
        <v>CARR-D</v>
      </c>
      <c r="E106" t="s">
        <v>160</v>
      </c>
      <c r="F106" t="s">
        <v>166</v>
      </c>
      <c r="G106">
        <v>14</v>
      </c>
      <c r="H106" s="13">
        <v>42005</v>
      </c>
      <c r="I106" s="14">
        <f>SUMIFS('Store Forecast'!$D$5:$D$3540,'Store Forecast'!$C$5:$C$3540,$A106,'Store Forecast'!$A$5:$A$3540,I$3)</f>
        <v>17.100000000000001</v>
      </c>
      <c r="J106" s="14">
        <f>SUMIFS('Store Forecast'!$D$5:$D$3540,'Store Forecast'!$C$5:$C$3540,$A106,'Store Forecast'!$A$5:$A$3540,J$3)</f>
        <v>17.600000000000001</v>
      </c>
      <c r="K106" s="14">
        <f>SUMIFS('Store Forecast'!$D$5:$D$3540,'Store Forecast'!$C$5:$C$3540,$A106,'Store Forecast'!$A$5:$A$3540,K$3)</f>
        <v>17.7</v>
      </c>
      <c r="L106" s="14">
        <f>SUMIFS('Store Forecast'!$D$5:$D$3540,'Store Forecast'!$C$5:$C$3540,$A106,'Store Forecast'!$A$5:$A$3540,L$3)</f>
        <v>16.7</v>
      </c>
      <c r="M106" s="14">
        <v>25.2</v>
      </c>
      <c r="N106">
        <v>25</v>
      </c>
      <c r="O106">
        <v>0</v>
      </c>
      <c r="P106" t="str">
        <f t="shared" si="3"/>
        <v>On plan</v>
      </c>
    </row>
    <row r="107" spans="1:16" x14ac:dyDescent="0.35">
      <c r="A107" t="s">
        <v>266</v>
      </c>
      <c r="B107" t="s">
        <v>85</v>
      </c>
      <c r="C107" t="s">
        <v>86</v>
      </c>
      <c r="D107" t="str">
        <f>INDEX('Pool Points'!$E:$E,MATCH(B107,'Pool Points'!$A:$A,0))</f>
        <v>CARR-D</v>
      </c>
      <c r="E107" t="s">
        <v>165</v>
      </c>
      <c r="F107" t="s">
        <v>161</v>
      </c>
      <c r="G107">
        <v>9</v>
      </c>
      <c r="H107" s="13">
        <v>45689</v>
      </c>
      <c r="I107" s="14">
        <f>SUMIFS('Store Forecast'!$D$5:$D$3540,'Store Forecast'!$C$5:$C$3540,$A107,'Store Forecast'!$A$5:$A$3540,I$3)</f>
        <v>11.6</v>
      </c>
      <c r="J107" s="14">
        <f>SUMIFS('Store Forecast'!$D$5:$D$3540,'Store Forecast'!$C$5:$C$3540,$A107,'Store Forecast'!$A$5:$A$3540,J$3)</f>
        <v>11.8</v>
      </c>
      <c r="K107" s="14">
        <f>SUMIFS('Store Forecast'!$D$5:$D$3540,'Store Forecast'!$C$5:$C$3540,$A107,'Store Forecast'!$A$5:$A$3540,K$3)</f>
        <v>11.6</v>
      </c>
      <c r="L107" s="14">
        <f>SUMIFS('Store Forecast'!$D$5:$D$3540,'Store Forecast'!$C$5:$C$3540,$A107,'Store Forecast'!$A$5:$A$3540,L$3)</f>
        <v>11.3</v>
      </c>
      <c r="M107" s="14">
        <v>17.2</v>
      </c>
      <c r="N107">
        <v>17</v>
      </c>
      <c r="O107">
        <v>0</v>
      </c>
      <c r="P107" t="str">
        <f t="shared" si="3"/>
        <v>On plan</v>
      </c>
    </row>
    <row r="108" spans="1:16" x14ac:dyDescent="0.35">
      <c r="A108" t="s">
        <v>267</v>
      </c>
      <c r="B108" t="s">
        <v>85</v>
      </c>
      <c r="C108" t="s">
        <v>86</v>
      </c>
      <c r="D108" t="str">
        <f>INDEX('Pool Points'!$E:$E,MATCH(B108,'Pool Points'!$A:$A,0))</f>
        <v>CARR-D</v>
      </c>
      <c r="E108" t="s">
        <v>165</v>
      </c>
      <c r="F108" t="s">
        <v>168</v>
      </c>
      <c r="G108">
        <v>7</v>
      </c>
      <c r="H108" s="13">
        <v>42005</v>
      </c>
      <c r="I108" s="14">
        <f>SUMIFS('Store Forecast'!$D$5:$D$3540,'Store Forecast'!$C$5:$C$3540,$A108,'Store Forecast'!$A$5:$A$3540,I$3)</f>
        <v>7.2</v>
      </c>
      <c r="J108" s="14">
        <f>SUMIFS('Store Forecast'!$D$5:$D$3540,'Store Forecast'!$C$5:$C$3540,$A108,'Store Forecast'!$A$5:$A$3540,J$3)</f>
        <v>7.3</v>
      </c>
      <c r="K108" s="14">
        <f>SUMIFS('Store Forecast'!$D$5:$D$3540,'Store Forecast'!$C$5:$C$3540,$A108,'Store Forecast'!$A$5:$A$3540,K$3)</f>
        <v>7.2</v>
      </c>
      <c r="L108" s="14">
        <f>SUMIFS('Store Forecast'!$D$5:$D$3540,'Store Forecast'!$C$5:$C$3540,$A108,'Store Forecast'!$A$5:$A$3540,L$3)</f>
        <v>7</v>
      </c>
      <c r="M108" s="14">
        <v>10.7</v>
      </c>
      <c r="N108">
        <v>11</v>
      </c>
      <c r="O108">
        <v>0</v>
      </c>
      <c r="P108" t="str">
        <f t="shared" si="3"/>
        <v>On plan</v>
      </c>
    </row>
    <row r="109" spans="1:16" x14ac:dyDescent="0.35">
      <c r="A109" t="s">
        <v>268</v>
      </c>
      <c r="B109" t="s">
        <v>85</v>
      </c>
      <c r="C109" t="s">
        <v>86</v>
      </c>
      <c r="D109" t="str">
        <f>INDEX('Pool Points'!$E:$E,MATCH(B109,'Pool Points'!$A:$A,0))</f>
        <v>CARR-D</v>
      </c>
      <c r="E109" t="s">
        <v>156</v>
      </c>
      <c r="F109" t="s">
        <v>163</v>
      </c>
      <c r="G109">
        <v>12</v>
      </c>
      <c r="H109" s="13">
        <v>42005</v>
      </c>
      <c r="I109" s="14">
        <f>SUMIFS('Store Forecast'!$D$5:$D$3540,'Store Forecast'!$C$5:$C$3540,$A109,'Store Forecast'!$A$5:$A$3540,I$3)</f>
        <v>22.9</v>
      </c>
      <c r="J109" s="14">
        <f>SUMIFS('Store Forecast'!$D$5:$D$3540,'Store Forecast'!$C$5:$C$3540,$A109,'Store Forecast'!$A$5:$A$3540,J$3)</f>
        <v>23.2</v>
      </c>
      <c r="K109" s="14">
        <f>SUMIFS('Store Forecast'!$D$5:$D$3540,'Store Forecast'!$C$5:$C$3540,$A109,'Store Forecast'!$A$5:$A$3540,K$3)</f>
        <v>22.8</v>
      </c>
      <c r="L109" s="14">
        <f>SUMIFS('Store Forecast'!$D$5:$D$3540,'Store Forecast'!$C$5:$C$3540,$A109,'Store Forecast'!$A$5:$A$3540,L$3)</f>
        <v>22.2</v>
      </c>
      <c r="M109" s="14">
        <v>33.799999999999997</v>
      </c>
      <c r="N109">
        <v>34</v>
      </c>
      <c r="O109">
        <v>0</v>
      </c>
      <c r="P109" t="str">
        <f t="shared" si="3"/>
        <v>On plan</v>
      </c>
    </row>
    <row r="110" spans="1:16" x14ac:dyDescent="0.35">
      <c r="A110" t="s">
        <v>269</v>
      </c>
      <c r="B110" t="s">
        <v>85</v>
      </c>
      <c r="C110" t="s">
        <v>86</v>
      </c>
      <c r="D110" t="str">
        <f>INDEX('Pool Points'!$E:$E,MATCH(B110,'Pool Points'!$A:$A,0))</f>
        <v>CARR-D</v>
      </c>
      <c r="E110" t="s">
        <v>156</v>
      </c>
      <c r="F110" t="s">
        <v>157</v>
      </c>
      <c r="G110">
        <v>13</v>
      </c>
      <c r="H110" s="13">
        <v>42005</v>
      </c>
      <c r="I110" s="14">
        <f>SUMIFS('Store Forecast'!$D$5:$D$3540,'Store Forecast'!$C$5:$C$3540,$A110,'Store Forecast'!$A$5:$A$3540,I$3)</f>
        <v>23.2</v>
      </c>
      <c r="J110" s="14">
        <f>SUMIFS('Store Forecast'!$D$5:$D$3540,'Store Forecast'!$C$5:$C$3540,$A110,'Store Forecast'!$A$5:$A$3540,J$3)</f>
        <v>23.5</v>
      </c>
      <c r="K110" s="14">
        <f>SUMIFS('Store Forecast'!$D$5:$D$3540,'Store Forecast'!$C$5:$C$3540,$A110,'Store Forecast'!$A$5:$A$3540,K$3)</f>
        <v>23.1</v>
      </c>
      <c r="L110" s="14">
        <f>SUMIFS('Store Forecast'!$D$5:$D$3540,'Store Forecast'!$C$5:$C$3540,$A110,'Store Forecast'!$A$5:$A$3540,L$3)</f>
        <v>22.5</v>
      </c>
      <c r="M110" s="14">
        <v>34.299999999999997</v>
      </c>
      <c r="N110">
        <v>34</v>
      </c>
      <c r="O110">
        <v>0</v>
      </c>
      <c r="P110" t="str">
        <f t="shared" si="3"/>
        <v>On plan</v>
      </c>
    </row>
    <row r="111" spans="1:16" x14ac:dyDescent="0.35">
      <c r="A111" t="s">
        <v>270</v>
      </c>
      <c r="B111" t="s">
        <v>85</v>
      </c>
      <c r="C111" t="s">
        <v>86</v>
      </c>
      <c r="D111" t="str">
        <f>INDEX('Pool Points'!$E:$E,MATCH(B111,'Pool Points'!$A:$A,0))</f>
        <v>CARR-D</v>
      </c>
      <c r="E111" t="s">
        <v>160</v>
      </c>
      <c r="F111" t="s">
        <v>166</v>
      </c>
      <c r="G111">
        <v>15</v>
      </c>
      <c r="H111" s="13">
        <v>42005</v>
      </c>
      <c r="I111" s="14">
        <f>SUMIFS('Store Forecast'!$D$5:$D$3540,'Store Forecast'!$C$5:$C$3540,$A111,'Store Forecast'!$A$5:$A$3540,I$3)</f>
        <v>19.2</v>
      </c>
      <c r="J111" s="14">
        <f>SUMIFS('Store Forecast'!$D$5:$D$3540,'Store Forecast'!$C$5:$C$3540,$A111,'Store Forecast'!$A$5:$A$3540,J$3)</f>
        <v>19.5</v>
      </c>
      <c r="K111" s="14">
        <f>SUMIFS('Store Forecast'!$D$5:$D$3540,'Store Forecast'!$C$5:$C$3540,$A111,'Store Forecast'!$A$5:$A$3540,K$3)</f>
        <v>19.100000000000001</v>
      </c>
      <c r="L111" s="14">
        <f>SUMIFS('Store Forecast'!$D$5:$D$3540,'Store Forecast'!$C$5:$C$3540,$A111,'Store Forecast'!$A$5:$A$3540,L$3)</f>
        <v>18.600000000000001</v>
      </c>
      <c r="M111" s="14">
        <v>28.4</v>
      </c>
      <c r="N111">
        <v>28</v>
      </c>
      <c r="O111">
        <v>0</v>
      </c>
      <c r="P111" t="str">
        <f t="shared" si="3"/>
        <v>On plan</v>
      </c>
    </row>
    <row r="112" spans="1:16" x14ac:dyDescent="0.35">
      <c r="A112" t="s">
        <v>271</v>
      </c>
      <c r="B112" t="s">
        <v>85</v>
      </c>
      <c r="C112" t="s">
        <v>86</v>
      </c>
      <c r="D112" t="str">
        <f>INDEX('Pool Points'!$E:$E,MATCH(B112,'Pool Points'!$A:$A,0))</f>
        <v>CARR-D</v>
      </c>
      <c r="E112" t="s">
        <v>160</v>
      </c>
      <c r="F112" t="s">
        <v>157</v>
      </c>
      <c r="G112">
        <v>8</v>
      </c>
      <c r="H112" s="13">
        <v>42005</v>
      </c>
      <c r="I112" s="14">
        <f>SUMIFS('Store Forecast'!$D$5:$D$3540,'Store Forecast'!$C$5:$C$3540,$A112,'Store Forecast'!$A$5:$A$3540,I$3)</f>
        <v>14</v>
      </c>
      <c r="J112" s="14">
        <f>SUMIFS('Store Forecast'!$D$5:$D$3540,'Store Forecast'!$C$5:$C$3540,$A112,'Store Forecast'!$A$5:$A$3540,J$3)</f>
        <v>14.3</v>
      </c>
      <c r="K112" s="14">
        <f>SUMIFS('Store Forecast'!$D$5:$D$3540,'Store Forecast'!$C$5:$C$3540,$A112,'Store Forecast'!$A$5:$A$3540,K$3)</f>
        <v>14</v>
      </c>
      <c r="L112" s="14">
        <f>SUMIFS('Store Forecast'!$D$5:$D$3540,'Store Forecast'!$C$5:$C$3540,$A112,'Store Forecast'!$A$5:$A$3540,L$3)</f>
        <v>13.6</v>
      </c>
      <c r="M112" s="14">
        <v>20.8</v>
      </c>
      <c r="N112">
        <v>21</v>
      </c>
      <c r="O112">
        <v>0</v>
      </c>
      <c r="P112" t="str">
        <f t="shared" si="3"/>
        <v>On plan</v>
      </c>
    </row>
    <row r="113" spans="1:16" x14ac:dyDescent="0.35">
      <c r="A113" t="s">
        <v>272</v>
      </c>
      <c r="B113" t="s">
        <v>85</v>
      </c>
      <c r="C113" t="s">
        <v>86</v>
      </c>
      <c r="D113" t="str">
        <f>INDEX('Pool Points'!$E:$E,MATCH(B113,'Pool Points'!$A:$A,0))</f>
        <v>CARR-D</v>
      </c>
      <c r="E113" t="s">
        <v>156</v>
      </c>
      <c r="F113" t="s">
        <v>157</v>
      </c>
      <c r="G113">
        <v>10</v>
      </c>
      <c r="H113" s="13">
        <v>42005</v>
      </c>
      <c r="I113" s="14">
        <f>SUMIFS('Store Forecast'!$D$5:$D$3540,'Store Forecast'!$C$5:$C$3540,$A113,'Store Forecast'!$A$5:$A$3540,I$3)</f>
        <v>19.399999999999999</v>
      </c>
      <c r="J113" s="14">
        <f>SUMIFS('Store Forecast'!$D$5:$D$3540,'Store Forecast'!$C$5:$C$3540,$A113,'Store Forecast'!$A$5:$A$3540,J$3)</f>
        <v>19.7</v>
      </c>
      <c r="K113" s="14">
        <f>SUMIFS('Store Forecast'!$D$5:$D$3540,'Store Forecast'!$C$5:$C$3540,$A113,'Store Forecast'!$A$5:$A$3540,K$3)</f>
        <v>19.399999999999999</v>
      </c>
      <c r="L113" s="14">
        <f>SUMIFS('Store Forecast'!$D$5:$D$3540,'Store Forecast'!$C$5:$C$3540,$A113,'Store Forecast'!$A$5:$A$3540,L$3)</f>
        <v>18.8</v>
      </c>
      <c r="M113" s="14">
        <v>28.7</v>
      </c>
      <c r="N113">
        <v>29</v>
      </c>
      <c r="O113">
        <v>0</v>
      </c>
      <c r="P113" t="str">
        <f t="shared" si="3"/>
        <v>On plan</v>
      </c>
    </row>
    <row r="114" spans="1:16" x14ac:dyDescent="0.35">
      <c r="A114" t="s">
        <v>273</v>
      </c>
      <c r="B114" t="s">
        <v>85</v>
      </c>
      <c r="C114" t="s">
        <v>86</v>
      </c>
      <c r="D114" t="str">
        <f>INDEX('Pool Points'!$E:$E,MATCH(B114,'Pool Points'!$A:$A,0))</f>
        <v>CARR-D</v>
      </c>
      <c r="E114" t="s">
        <v>165</v>
      </c>
      <c r="F114" t="s">
        <v>166</v>
      </c>
      <c r="G114">
        <v>8</v>
      </c>
      <c r="H114" s="13">
        <v>42005</v>
      </c>
      <c r="I114" s="14">
        <f>SUMIFS('Store Forecast'!$D$5:$D$3540,'Store Forecast'!$C$5:$C$3540,$A114,'Store Forecast'!$A$5:$A$3540,I$3)</f>
        <v>9.6</v>
      </c>
      <c r="J114" s="14">
        <f>SUMIFS('Store Forecast'!$D$5:$D$3540,'Store Forecast'!$C$5:$C$3540,$A114,'Store Forecast'!$A$5:$A$3540,J$3)</f>
        <v>9.8000000000000007</v>
      </c>
      <c r="K114" s="14">
        <f>SUMIFS('Store Forecast'!$D$5:$D$3540,'Store Forecast'!$C$5:$C$3540,$A114,'Store Forecast'!$A$5:$A$3540,K$3)</f>
        <v>9.6</v>
      </c>
      <c r="L114" s="14">
        <f>SUMIFS('Store Forecast'!$D$5:$D$3540,'Store Forecast'!$C$5:$C$3540,$A114,'Store Forecast'!$A$5:$A$3540,L$3)</f>
        <v>9.3000000000000007</v>
      </c>
      <c r="M114" s="14">
        <v>14.3</v>
      </c>
      <c r="N114">
        <v>14</v>
      </c>
      <c r="O114">
        <v>0</v>
      </c>
      <c r="P114" t="str">
        <f t="shared" si="3"/>
        <v>On plan</v>
      </c>
    </row>
    <row r="115" spans="1:16" x14ac:dyDescent="0.35">
      <c r="A115" t="s">
        <v>274</v>
      </c>
      <c r="B115" t="s">
        <v>85</v>
      </c>
      <c r="C115" t="s">
        <v>86</v>
      </c>
      <c r="D115" t="str">
        <f>INDEX('Pool Points'!$E:$E,MATCH(B115,'Pool Points'!$A:$A,0))</f>
        <v>CARR-D</v>
      </c>
      <c r="E115" t="s">
        <v>165</v>
      </c>
      <c r="F115" t="s">
        <v>161</v>
      </c>
      <c r="G115">
        <v>8</v>
      </c>
      <c r="H115" s="13">
        <v>42005</v>
      </c>
      <c r="I115" s="14">
        <f>SUMIFS('Store Forecast'!$D$5:$D$3540,'Store Forecast'!$C$5:$C$3540,$A115,'Store Forecast'!$A$5:$A$3540,I$3)</f>
        <v>9.1</v>
      </c>
      <c r="J115" s="14">
        <f>SUMIFS('Store Forecast'!$D$5:$D$3540,'Store Forecast'!$C$5:$C$3540,$A115,'Store Forecast'!$A$5:$A$3540,J$3)</f>
        <v>9.1999999999999993</v>
      </c>
      <c r="K115" s="14">
        <f>SUMIFS('Store Forecast'!$D$5:$D$3540,'Store Forecast'!$C$5:$C$3540,$A115,'Store Forecast'!$A$5:$A$3540,K$3)</f>
        <v>9</v>
      </c>
      <c r="L115" s="14">
        <f>SUMIFS('Store Forecast'!$D$5:$D$3540,'Store Forecast'!$C$5:$C$3540,$A115,'Store Forecast'!$A$5:$A$3540,L$3)</f>
        <v>8.8000000000000007</v>
      </c>
      <c r="M115" s="14">
        <v>13.4</v>
      </c>
      <c r="N115">
        <v>13</v>
      </c>
      <c r="O115">
        <v>0</v>
      </c>
      <c r="P115" t="str">
        <f t="shared" si="3"/>
        <v>On plan</v>
      </c>
    </row>
    <row r="116" spans="1:16" x14ac:dyDescent="0.35">
      <c r="A116" t="s">
        <v>275</v>
      </c>
      <c r="B116" t="s">
        <v>85</v>
      </c>
      <c r="C116" t="s">
        <v>86</v>
      </c>
      <c r="D116" t="str">
        <f>INDEX('Pool Points'!$E:$E,MATCH(B116,'Pool Points'!$A:$A,0))</f>
        <v>CARR-D</v>
      </c>
      <c r="E116" t="s">
        <v>160</v>
      </c>
      <c r="F116" t="s">
        <v>166</v>
      </c>
      <c r="G116">
        <v>13</v>
      </c>
      <c r="H116" s="13">
        <v>42005</v>
      </c>
      <c r="I116" s="14">
        <f>SUMIFS('Store Forecast'!$D$5:$D$3540,'Store Forecast'!$C$5:$C$3540,$A116,'Store Forecast'!$A$5:$A$3540,I$3)</f>
        <v>17.7</v>
      </c>
      <c r="J116" s="14">
        <f>SUMIFS('Store Forecast'!$D$5:$D$3540,'Store Forecast'!$C$5:$C$3540,$A116,'Store Forecast'!$A$5:$A$3540,J$3)</f>
        <v>18</v>
      </c>
      <c r="K116" s="14">
        <f>SUMIFS('Store Forecast'!$D$5:$D$3540,'Store Forecast'!$C$5:$C$3540,$A116,'Store Forecast'!$A$5:$A$3540,K$3)</f>
        <v>17.7</v>
      </c>
      <c r="L116" s="14">
        <f>SUMIFS('Store Forecast'!$D$5:$D$3540,'Store Forecast'!$C$5:$C$3540,$A116,'Store Forecast'!$A$5:$A$3540,L$3)</f>
        <v>17.2</v>
      </c>
      <c r="M116" s="14">
        <v>26.2</v>
      </c>
      <c r="N116">
        <v>26</v>
      </c>
      <c r="O116">
        <v>0</v>
      </c>
      <c r="P116" t="str">
        <f t="shared" si="3"/>
        <v>On plan</v>
      </c>
    </row>
    <row r="117" spans="1:16" x14ac:dyDescent="0.35">
      <c r="A117" t="s">
        <v>276</v>
      </c>
      <c r="B117" t="s">
        <v>85</v>
      </c>
      <c r="C117" t="s">
        <v>86</v>
      </c>
      <c r="D117" t="str">
        <f>INDEX('Pool Points'!$E:$E,MATCH(B117,'Pool Points'!$A:$A,0))</f>
        <v>CARR-D</v>
      </c>
      <c r="E117" t="s">
        <v>165</v>
      </c>
      <c r="F117" t="s">
        <v>168</v>
      </c>
      <c r="G117">
        <v>10</v>
      </c>
      <c r="H117" s="13">
        <v>42005</v>
      </c>
      <c r="I117" s="14">
        <f>SUMIFS('Store Forecast'!$D$5:$D$3540,'Store Forecast'!$C$5:$C$3540,$A117,'Store Forecast'!$A$5:$A$3540,I$3)</f>
        <v>12</v>
      </c>
      <c r="J117" s="14">
        <f>SUMIFS('Store Forecast'!$D$5:$D$3540,'Store Forecast'!$C$5:$C$3540,$A117,'Store Forecast'!$A$5:$A$3540,J$3)</f>
        <v>12.1</v>
      </c>
      <c r="K117" s="14">
        <f>SUMIFS('Store Forecast'!$D$5:$D$3540,'Store Forecast'!$C$5:$C$3540,$A117,'Store Forecast'!$A$5:$A$3540,K$3)</f>
        <v>11.9</v>
      </c>
      <c r="L117" s="14">
        <f>SUMIFS('Store Forecast'!$D$5:$D$3540,'Store Forecast'!$C$5:$C$3540,$A117,'Store Forecast'!$A$5:$A$3540,L$3)</f>
        <v>11.6</v>
      </c>
      <c r="M117" s="14">
        <v>17.7</v>
      </c>
      <c r="N117">
        <v>18</v>
      </c>
      <c r="O117">
        <v>0</v>
      </c>
      <c r="P117" t="str">
        <f t="shared" si="3"/>
        <v>On plan</v>
      </c>
    </row>
    <row r="118" spans="1:16" x14ac:dyDescent="0.35">
      <c r="A118" t="s">
        <v>277</v>
      </c>
      <c r="B118" t="s">
        <v>85</v>
      </c>
      <c r="C118" t="s">
        <v>86</v>
      </c>
      <c r="D118" t="str">
        <f>INDEX('Pool Points'!$E:$E,MATCH(B118,'Pool Points'!$A:$A,0))</f>
        <v>CARR-D</v>
      </c>
      <c r="E118" t="s">
        <v>160</v>
      </c>
      <c r="F118" t="s">
        <v>166</v>
      </c>
      <c r="G118">
        <v>12</v>
      </c>
      <c r="H118" s="13">
        <v>42005</v>
      </c>
      <c r="I118" s="14">
        <f>SUMIFS('Store Forecast'!$D$5:$D$3540,'Store Forecast'!$C$5:$C$3540,$A118,'Store Forecast'!$A$5:$A$3540,I$3)</f>
        <v>14.7</v>
      </c>
      <c r="J118" s="14">
        <f>SUMIFS('Store Forecast'!$D$5:$D$3540,'Store Forecast'!$C$5:$C$3540,$A118,'Store Forecast'!$A$5:$A$3540,J$3)</f>
        <v>14.9</v>
      </c>
      <c r="K118" s="14">
        <f>SUMIFS('Store Forecast'!$D$5:$D$3540,'Store Forecast'!$C$5:$C$3540,$A118,'Store Forecast'!$A$5:$A$3540,K$3)</f>
        <v>14.6</v>
      </c>
      <c r="L118" s="14">
        <f>SUMIFS('Store Forecast'!$D$5:$D$3540,'Store Forecast'!$C$5:$C$3540,$A118,'Store Forecast'!$A$5:$A$3540,L$3)</f>
        <v>14.2</v>
      </c>
      <c r="M118" s="14">
        <v>21.7</v>
      </c>
      <c r="N118">
        <v>22</v>
      </c>
      <c r="O118">
        <v>0</v>
      </c>
      <c r="P118" t="str">
        <f t="shared" si="3"/>
        <v>On plan</v>
      </c>
    </row>
    <row r="119" spans="1:16" x14ac:dyDescent="0.35">
      <c r="A119" t="s">
        <v>278</v>
      </c>
      <c r="B119" t="s">
        <v>85</v>
      </c>
      <c r="C119" t="s">
        <v>86</v>
      </c>
      <c r="D119" t="str">
        <f>INDEX('Pool Points'!$E:$E,MATCH(B119,'Pool Points'!$A:$A,0))</f>
        <v>CARR-D</v>
      </c>
      <c r="E119" t="s">
        <v>160</v>
      </c>
      <c r="F119" t="s">
        <v>166</v>
      </c>
      <c r="G119">
        <v>13</v>
      </c>
      <c r="H119" s="13">
        <v>42005</v>
      </c>
      <c r="I119" s="14">
        <f>SUMIFS('Store Forecast'!$D$5:$D$3540,'Store Forecast'!$C$5:$C$3540,$A119,'Store Forecast'!$A$5:$A$3540,I$3)</f>
        <v>17.3</v>
      </c>
      <c r="J119" s="14">
        <f>SUMIFS('Store Forecast'!$D$5:$D$3540,'Store Forecast'!$C$5:$C$3540,$A119,'Store Forecast'!$A$5:$A$3540,J$3)</f>
        <v>17.600000000000001</v>
      </c>
      <c r="K119" s="14">
        <f>SUMIFS('Store Forecast'!$D$5:$D$3540,'Store Forecast'!$C$5:$C$3540,$A119,'Store Forecast'!$A$5:$A$3540,K$3)</f>
        <v>17.3</v>
      </c>
      <c r="L119" s="14">
        <f>SUMIFS('Store Forecast'!$D$5:$D$3540,'Store Forecast'!$C$5:$C$3540,$A119,'Store Forecast'!$A$5:$A$3540,L$3)</f>
        <v>16.8</v>
      </c>
      <c r="M119" s="14">
        <v>25.7</v>
      </c>
      <c r="N119">
        <v>26</v>
      </c>
      <c r="O119">
        <v>0</v>
      </c>
      <c r="P119" t="str">
        <f t="shared" si="3"/>
        <v>On plan</v>
      </c>
    </row>
    <row r="120" spans="1:16" x14ac:dyDescent="0.35">
      <c r="A120" t="s">
        <v>279</v>
      </c>
      <c r="B120" t="s">
        <v>85</v>
      </c>
      <c r="C120" t="s">
        <v>86</v>
      </c>
      <c r="D120" t="str">
        <f>INDEX('Pool Points'!$E:$E,MATCH(B120,'Pool Points'!$A:$A,0))</f>
        <v>CARR-D</v>
      </c>
      <c r="E120" t="s">
        <v>165</v>
      </c>
      <c r="F120" t="s">
        <v>166</v>
      </c>
      <c r="G120">
        <v>9</v>
      </c>
      <c r="H120" s="13">
        <v>42005</v>
      </c>
      <c r="I120" s="14">
        <f>SUMIFS('Store Forecast'!$D$5:$D$3540,'Store Forecast'!$C$5:$C$3540,$A120,'Store Forecast'!$A$5:$A$3540,I$3)</f>
        <v>11.7</v>
      </c>
      <c r="J120" s="14">
        <f>SUMIFS('Store Forecast'!$D$5:$D$3540,'Store Forecast'!$C$5:$C$3540,$A120,'Store Forecast'!$A$5:$A$3540,J$3)</f>
        <v>11.9</v>
      </c>
      <c r="K120" s="14">
        <f>SUMIFS('Store Forecast'!$D$5:$D$3540,'Store Forecast'!$C$5:$C$3540,$A120,'Store Forecast'!$A$5:$A$3540,K$3)</f>
        <v>11.7</v>
      </c>
      <c r="L120" s="14">
        <f>SUMIFS('Store Forecast'!$D$5:$D$3540,'Store Forecast'!$C$5:$C$3540,$A120,'Store Forecast'!$A$5:$A$3540,L$3)</f>
        <v>11.4</v>
      </c>
      <c r="M120" s="14">
        <v>17.3</v>
      </c>
      <c r="N120">
        <v>17</v>
      </c>
      <c r="O120">
        <v>0</v>
      </c>
      <c r="P120" t="str">
        <f t="shared" si="3"/>
        <v>On plan</v>
      </c>
    </row>
    <row r="121" spans="1:16" x14ac:dyDescent="0.35">
      <c r="A121" t="s">
        <v>280</v>
      </c>
      <c r="B121" t="s">
        <v>85</v>
      </c>
      <c r="C121" t="s">
        <v>86</v>
      </c>
      <c r="D121" t="str">
        <f>INDEX('Pool Points'!$E:$E,MATCH(B121,'Pool Points'!$A:$A,0))</f>
        <v>CARR-D</v>
      </c>
      <c r="E121" t="s">
        <v>160</v>
      </c>
      <c r="F121" t="s">
        <v>166</v>
      </c>
      <c r="G121">
        <v>13</v>
      </c>
      <c r="H121" s="13">
        <v>42005</v>
      </c>
      <c r="I121" s="14">
        <f>SUMIFS('Store Forecast'!$D$5:$D$3540,'Store Forecast'!$C$5:$C$3540,$A121,'Store Forecast'!$A$5:$A$3540,I$3)</f>
        <v>15.6</v>
      </c>
      <c r="J121" s="14">
        <f>SUMIFS('Store Forecast'!$D$5:$D$3540,'Store Forecast'!$C$5:$C$3540,$A121,'Store Forecast'!$A$5:$A$3540,J$3)</f>
        <v>15.8</v>
      </c>
      <c r="K121" s="14">
        <f>SUMIFS('Store Forecast'!$D$5:$D$3540,'Store Forecast'!$C$5:$C$3540,$A121,'Store Forecast'!$A$5:$A$3540,K$3)</f>
        <v>15.5</v>
      </c>
      <c r="L121" s="14">
        <f>SUMIFS('Store Forecast'!$D$5:$D$3540,'Store Forecast'!$C$5:$C$3540,$A121,'Store Forecast'!$A$5:$A$3540,L$3)</f>
        <v>15.1</v>
      </c>
      <c r="M121" s="14">
        <v>23</v>
      </c>
      <c r="N121">
        <v>23</v>
      </c>
      <c r="O121">
        <v>0</v>
      </c>
      <c r="P121" t="str">
        <f t="shared" si="3"/>
        <v>On plan</v>
      </c>
    </row>
    <row r="122" spans="1:16" x14ac:dyDescent="0.35">
      <c r="A122" t="s">
        <v>281</v>
      </c>
      <c r="B122" t="s">
        <v>85</v>
      </c>
      <c r="C122" t="s">
        <v>86</v>
      </c>
      <c r="D122" t="str">
        <f>INDEX('Pool Points'!$E:$E,MATCH(B122,'Pool Points'!$A:$A,0))</f>
        <v>CARR-D</v>
      </c>
      <c r="E122" t="s">
        <v>160</v>
      </c>
      <c r="F122" t="s">
        <v>163</v>
      </c>
      <c r="G122">
        <v>8</v>
      </c>
      <c r="H122" s="13">
        <v>42005</v>
      </c>
      <c r="I122" s="14">
        <f>SUMIFS('Store Forecast'!$D$5:$D$3540,'Store Forecast'!$C$5:$C$3540,$A122,'Store Forecast'!$A$5:$A$3540,I$3)</f>
        <v>12.7</v>
      </c>
      <c r="J122" s="14">
        <f>SUMIFS('Store Forecast'!$D$5:$D$3540,'Store Forecast'!$C$5:$C$3540,$A122,'Store Forecast'!$A$5:$A$3540,J$3)</f>
        <v>12.9</v>
      </c>
      <c r="K122" s="14">
        <f>SUMIFS('Store Forecast'!$D$5:$D$3540,'Store Forecast'!$C$5:$C$3540,$A122,'Store Forecast'!$A$5:$A$3540,K$3)</f>
        <v>12.6</v>
      </c>
      <c r="L122" s="14">
        <f>SUMIFS('Store Forecast'!$D$5:$D$3540,'Store Forecast'!$C$5:$C$3540,$A122,'Store Forecast'!$A$5:$A$3540,L$3)</f>
        <v>12.3</v>
      </c>
      <c r="M122" s="14">
        <v>18.8</v>
      </c>
      <c r="N122">
        <v>19</v>
      </c>
      <c r="O122">
        <v>0</v>
      </c>
      <c r="P122" t="str">
        <f t="shared" si="3"/>
        <v>On plan</v>
      </c>
    </row>
    <row r="123" spans="1:16" x14ac:dyDescent="0.35">
      <c r="A123" t="s">
        <v>282</v>
      </c>
      <c r="B123" t="s">
        <v>87</v>
      </c>
      <c r="C123" t="s">
        <v>88</v>
      </c>
      <c r="D123" t="str">
        <f>INDEX('Pool Points'!$E:$E,MATCH(B123,'Pool Points'!$A:$A,0))</f>
        <v>CARR-B</v>
      </c>
      <c r="E123" t="s">
        <v>165</v>
      </c>
      <c r="F123" t="s">
        <v>188</v>
      </c>
      <c r="G123">
        <v>6</v>
      </c>
      <c r="H123" s="13">
        <v>42005</v>
      </c>
      <c r="I123" s="14">
        <f>SUMIFS('Store Forecast'!$D$5:$D$3540,'Store Forecast'!$C$5:$C$3540,$A123,'Store Forecast'!$A$5:$A$3540,I$3)</f>
        <v>8.3000000000000007</v>
      </c>
      <c r="J123" s="14">
        <f>SUMIFS('Store Forecast'!$D$5:$D$3540,'Store Forecast'!$C$5:$C$3540,$A123,'Store Forecast'!$A$5:$A$3540,J$3)</f>
        <v>8.1999999999999993</v>
      </c>
      <c r="K123" s="14">
        <f>SUMIFS('Store Forecast'!$D$5:$D$3540,'Store Forecast'!$C$5:$C$3540,$A123,'Store Forecast'!$A$5:$A$3540,K$3)</f>
        <v>7.9</v>
      </c>
      <c r="L123" s="14">
        <f>SUMIFS('Store Forecast'!$D$5:$D$3540,'Store Forecast'!$C$5:$C$3540,$A123,'Store Forecast'!$A$5:$A$3540,L$3)</f>
        <v>8</v>
      </c>
      <c r="M123" s="14">
        <v>12.2</v>
      </c>
      <c r="N123">
        <v>12</v>
      </c>
      <c r="O123">
        <v>0</v>
      </c>
      <c r="P123" t="str">
        <f t="shared" si="3"/>
        <v>On plan</v>
      </c>
    </row>
    <row r="124" spans="1:16" x14ac:dyDescent="0.35">
      <c r="A124" t="s">
        <v>283</v>
      </c>
      <c r="B124" t="s">
        <v>87</v>
      </c>
      <c r="C124" t="s">
        <v>88</v>
      </c>
      <c r="D124" t="str">
        <f>INDEX('Pool Points'!$E:$E,MATCH(B124,'Pool Points'!$A:$A,0))</f>
        <v>CARR-B</v>
      </c>
      <c r="E124" t="s">
        <v>160</v>
      </c>
      <c r="F124" t="s">
        <v>168</v>
      </c>
      <c r="G124">
        <v>12</v>
      </c>
      <c r="H124" s="13">
        <v>42005</v>
      </c>
      <c r="I124" s="14">
        <f>SUMIFS('Store Forecast'!$D$5:$D$3540,'Store Forecast'!$C$5:$C$3540,$A124,'Store Forecast'!$A$5:$A$3540,I$3)</f>
        <v>15.7</v>
      </c>
      <c r="J124" s="14">
        <f>SUMIFS('Store Forecast'!$D$5:$D$3540,'Store Forecast'!$C$5:$C$3540,$A124,'Store Forecast'!$A$5:$A$3540,J$3)</f>
        <v>15.5</v>
      </c>
      <c r="K124" s="14">
        <f>SUMIFS('Store Forecast'!$D$5:$D$3540,'Store Forecast'!$C$5:$C$3540,$A124,'Store Forecast'!$A$5:$A$3540,K$3)</f>
        <v>15</v>
      </c>
      <c r="L124" s="14">
        <f>SUMIFS('Store Forecast'!$D$5:$D$3540,'Store Forecast'!$C$5:$C$3540,$A124,'Store Forecast'!$A$5:$A$3540,L$3)</f>
        <v>15.2</v>
      </c>
      <c r="M124" s="14">
        <v>23.1</v>
      </c>
      <c r="N124">
        <v>23</v>
      </c>
      <c r="O124">
        <v>0</v>
      </c>
      <c r="P124" t="str">
        <f t="shared" si="3"/>
        <v>On plan</v>
      </c>
    </row>
    <row r="125" spans="1:16" x14ac:dyDescent="0.35">
      <c r="A125" t="s">
        <v>284</v>
      </c>
      <c r="B125" t="s">
        <v>87</v>
      </c>
      <c r="C125" t="s">
        <v>88</v>
      </c>
      <c r="D125" t="str">
        <f>INDEX('Pool Points'!$E:$E,MATCH(B125,'Pool Points'!$A:$A,0))</f>
        <v>CARR-B</v>
      </c>
      <c r="E125" t="s">
        <v>160</v>
      </c>
      <c r="F125" t="s">
        <v>166</v>
      </c>
      <c r="G125">
        <v>10</v>
      </c>
      <c r="H125" s="13">
        <v>42005</v>
      </c>
      <c r="I125" s="14">
        <f>SUMIFS('Store Forecast'!$D$5:$D$3540,'Store Forecast'!$C$5:$C$3540,$A125,'Store Forecast'!$A$5:$A$3540,I$3)</f>
        <v>13.5</v>
      </c>
      <c r="J125" s="14">
        <f>SUMIFS('Store Forecast'!$D$5:$D$3540,'Store Forecast'!$C$5:$C$3540,$A125,'Store Forecast'!$A$5:$A$3540,J$3)</f>
        <v>13.3</v>
      </c>
      <c r="K125" s="14">
        <f>SUMIFS('Store Forecast'!$D$5:$D$3540,'Store Forecast'!$C$5:$C$3540,$A125,'Store Forecast'!$A$5:$A$3540,K$3)</f>
        <v>12.9</v>
      </c>
      <c r="L125" s="14">
        <f>SUMIFS('Store Forecast'!$D$5:$D$3540,'Store Forecast'!$C$5:$C$3540,$A125,'Store Forecast'!$A$5:$A$3540,L$3)</f>
        <v>13</v>
      </c>
      <c r="M125" s="14">
        <v>19.8</v>
      </c>
      <c r="N125">
        <v>20</v>
      </c>
      <c r="O125">
        <v>0</v>
      </c>
      <c r="P125" t="str">
        <f t="shared" si="3"/>
        <v>On plan</v>
      </c>
    </row>
    <row r="126" spans="1:16" x14ac:dyDescent="0.35">
      <c r="A126" t="s">
        <v>285</v>
      </c>
      <c r="B126" t="s">
        <v>87</v>
      </c>
      <c r="C126" t="s">
        <v>88</v>
      </c>
      <c r="D126" t="str">
        <f>INDEX('Pool Points'!$E:$E,MATCH(B126,'Pool Points'!$A:$A,0))</f>
        <v>CARR-B</v>
      </c>
      <c r="E126" t="s">
        <v>160</v>
      </c>
      <c r="F126" t="s">
        <v>166</v>
      </c>
      <c r="G126">
        <v>15</v>
      </c>
      <c r="H126" s="13">
        <v>42005</v>
      </c>
      <c r="I126" s="14">
        <f>SUMIFS('Store Forecast'!$D$5:$D$3540,'Store Forecast'!$C$5:$C$3540,$A126,'Store Forecast'!$A$5:$A$3540,I$3)</f>
        <v>19.399999999999999</v>
      </c>
      <c r="J126" s="14">
        <f>SUMIFS('Store Forecast'!$D$5:$D$3540,'Store Forecast'!$C$5:$C$3540,$A126,'Store Forecast'!$A$5:$A$3540,J$3)</f>
        <v>19.2</v>
      </c>
      <c r="K126" s="14">
        <f>SUMIFS('Store Forecast'!$D$5:$D$3540,'Store Forecast'!$C$5:$C$3540,$A126,'Store Forecast'!$A$5:$A$3540,K$3)</f>
        <v>18.600000000000001</v>
      </c>
      <c r="L126" s="14">
        <f>SUMIFS('Store Forecast'!$D$5:$D$3540,'Store Forecast'!$C$5:$C$3540,$A126,'Store Forecast'!$A$5:$A$3540,L$3)</f>
        <v>18.8</v>
      </c>
      <c r="M126" s="14">
        <v>28.6</v>
      </c>
      <c r="N126">
        <v>29</v>
      </c>
      <c r="O126">
        <v>0</v>
      </c>
      <c r="P126" t="str">
        <f t="shared" si="3"/>
        <v>On plan</v>
      </c>
    </row>
    <row r="127" spans="1:16" x14ac:dyDescent="0.35">
      <c r="A127" t="s">
        <v>286</v>
      </c>
      <c r="B127" t="s">
        <v>87</v>
      </c>
      <c r="C127" t="s">
        <v>88</v>
      </c>
      <c r="D127" t="str">
        <f>INDEX('Pool Points'!$E:$E,MATCH(B127,'Pool Points'!$A:$A,0))</f>
        <v>CARR-B</v>
      </c>
      <c r="E127" t="s">
        <v>160</v>
      </c>
      <c r="F127" t="s">
        <v>161</v>
      </c>
      <c r="G127">
        <v>12</v>
      </c>
      <c r="H127" s="13">
        <v>42005</v>
      </c>
      <c r="I127" s="14">
        <f>SUMIFS('Store Forecast'!$D$5:$D$3540,'Store Forecast'!$C$5:$C$3540,$A127,'Store Forecast'!$A$5:$A$3540,I$3)</f>
        <v>13.9</v>
      </c>
      <c r="J127" s="14">
        <f>SUMIFS('Store Forecast'!$D$5:$D$3540,'Store Forecast'!$C$5:$C$3540,$A127,'Store Forecast'!$A$5:$A$3540,J$3)</f>
        <v>13.8</v>
      </c>
      <c r="K127" s="14">
        <f>SUMIFS('Store Forecast'!$D$5:$D$3540,'Store Forecast'!$C$5:$C$3540,$A127,'Store Forecast'!$A$5:$A$3540,K$3)</f>
        <v>13.3</v>
      </c>
      <c r="L127" s="14">
        <f>SUMIFS('Store Forecast'!$D$5:$D$3540,'Store Forecast'!$C$5:$C$3540,$A127,'Store Forecast'!$A$5:$A$3540,L$3)</f>
        <v>13.5</v>
      </c>
      <c r="M127" s="14">
        <v>20.5</v>
      </c>
      <c r="N127">
        <v>21</v>
      </c>
      <c r="O127">
        <v>0</v>
      </c>
      <c r="P127" t="str">
        <f t="shared" si="3"/>
        <v>On plan</v>
      </c>
    </row>
    <row r="128" spans="1:16" x14ac:dyDescent="0.35">
      <c r="A128" t="s">
        <v>287</v>
      </c>
      <c r="B128" t="s">
        <v>87</v>
      </c>
      <c r="C128" t="s">
        <v>88</v>
      </c>
      <c r="D128" t="str">
        <f>INDEX('Pool Points'!$E:$E,MATCH(B128,'Pool Points'!$A:$A,0))</f>
        <v>CARR-B</v>
      </c>
      <c r="E128" t="s">
        <v>160</v>
      </c>
      <c r="F128" t="s">
        <v>157</v>
      </c>
      <c r="G128">
        <v>9</v>
      </c>
      <c r="H128" s="13">
        <v>42005</v>
      </c>
      <c r="I128" s="14">
        <f>SUMIFS('Store Forecast'!$D$5:$D$3540,'Store Forecast'!$C$5:$C$3540,$A128,'Store Forecast'!$A$5:$A$3540,I$3)</f>
        <v>18</v>
      </c>
      <c r="J128" s="14">
        <f>SUMIFS('Store Forecast'!$D$5:$D$3540,'Store Forecast'!$C$5:$C$3540,$A128,'Store Forecast'!$A$5:$A$3540,J$3)</f>
        <v>17.8</v>
      </c>
      <c r="K128" s="14">
        <f>SUMIFS('Store Forecast'!$D$5:$D$3540,'Store Forecast'!$C$5:$C$3540,$A128,'Store Forecast'!$A$5:$A$3540,K$3)</f>
        <v>17.2</v>
      </c>
      <c r="L128" s="14">
        <f>SUMIFS('Store Forecast'!$D$5:$D$3540,'Store Forecast'!$C$5:$C$3540,$A128,'Store Forecast'!$A$5:$A$3540,L$3)</f>
        <v>17.399999999999999</v>
      </c>
      <c r="M128" s="14">
        <v>26.5</v>
      </c>
      <c r="N128">
        <v>27</v>
      </c>
      <c r="O128">
        <v>0</v>
      </c>
      <c r="P128" t="str">
        <f t="shared" si="3"/>
        <v>On plan</v>
      </c>
    </row>
    <row r="129" spans="1:16" x14ac:dyDescent="0.35">
      <c r="A129" t="s">
        <v>288</v>
      </c>
      <c r="B129" t="s">
        <v>87</v>
      </c>
      <c r="C129" t="s">
        <v>88</v>
      </c>
      <c r="D129" t="str">
        <f>INDEX('Pool Points'!$E:$E,MATCH(B129,'Pool Points'!$A:$A,0))</f>
        <v>CARR-B</v>
      </c>
      <c r="E129" t="s">
        <v>165</v>
      </c>
      <c r="F129" t="s">
        <v>161</v>
      </c>
      <c r="G129">
        <v>9</v>
      </c>
      <c r="H129" s="13">
        <v>42005</v>
      </c>
      <c r="I129" s="14">
        <f>SUMIFS('Store Forecast'!$D$5:$D$3540,'Store Forecast'!$C$5:$C$3540,$A129,'Store Forecast'!$A$5:$A$3540,I$3)</f>
        <v>11.4</v>
      </c>
      <c r="J129" s="14">
        <f>SUMIFS('Store Forecast'!$D$5:$D$3540,'Store Forecast'!$C$5:$C$3540,$A129,'Store Forecast'!$A$5:$A$3540,J$3)</f>
        <v>11.2</v>
      </c>
      <c r="K129" s="14">
        <f>SUMIFS('Store Forecast'!$D$5:$D$3540,'Store Forecast'!$C$5:$C$3540,$A129,'Store Forecast'!$A$5:$A$3540,K$3)</f>
        <v>10.9</v>
      </c>
      <c r="L129" s="14">
        <f>SUMIFS('Store Forecast'!$D$5:$D$3540,'Store Forecast'!$C$5:$C$3540,$A129,'Store Forecast'!$A$5:$A$3540,L$3)</f>
        <v>11</v>
      </c>
      <c r="M129" s="14">
        <v>16.7</v>
      </c>
      <c r="N129">
        <v>17</v>
      </c>
      <c r="O129">
        <v>0</v>
      </c>
      <c r="P129" t="str">
        <f t="shared" si="3"/>
        <v>On plan</v>
      </c>
    </row>
    <row r="130" spans="1:16" x14ac:dyDescent="0.35">
      <c r="A130" t="s">
        <v>289</v>
      </c>
      <c r="B130" t="s">
        <v>87</v>
      </c>
      <c r="C130" t="s">
        <v>88</v>
      </c>
      <c r="D130" t="str">
        <f>INDEX('Pool Points'!$E:$E,MATCH(B130,'Pool Points'!$A:$A,0))</f>
        <v>CARR-B</v>
      </c>
      <c r="E130" t="s">
        <v>160</v>
      </c>
      <c r="F130" t="s">
        <v>163</v>
      </c>
      <c r="G130">
        <v>7</v>
      </c>
      <c r="H130" s="13">
        <v>42005</v>
      </c>
      <c r="I130" s="14">
        <f>SUMIFS('Store Forecast'!$D$5:$D$3540,'Store Forecast'!$C$5:$C$3540,$A130,'Store Forecast'!$A$5:$A$3540,I$3)</f>
        <v>12.3</v>
      </c>
      <c r="J130" s="14">
        <f>SUMIFS('Store Forecast'!$D$5:$D$3540,'Store Forecast'!$C$5:$C$3540,$A130,'Store Forecast'!$A$5:$A$3540,J$3)</f>
        <v>12.2</v>
      </c>
      <c r="K130" s="14">
        <f>SUMIFS('Store Forecast'!$D$5:$D$3540,'Store Forecast'!$C$5:$C$3540,$A130,'Store Forecast'!$A$5:$A$3540,K$3)</f>
        <v>11.8</v>
      </c>
      <c r="L130" s="14">
        <f>SUMIFS('Store Forecast'!$D$5:$D$3540,'Store Forecast'!$C$5:$C$3540,$A130,'Store Forecast'!$A$5:$A$3540,L$3)</f>
        <v>12</v>
      </c>
      <c r="M130" s="14">
        <v>18.100000000000001</v>
      </c>
      <c r="N130">
        <v>18</v>
      </c>
      <c r="O130">
        <v>0</v>
      </c>
      <c r="P130" t="str">
        <f t="shared" si="3"/>
        <v>On plan</v>
      </c>
    </row>
    <row r="131" spans="1:16" x14ac:dyDescent="0.35">
      <c r="A131" t="s">
        <v>290</v>
      </c>
      <c r="B131" t="s">
        <v>87</v>
      </c>
      <c r="C131" t="s">
        <v>88</v>
      </c>
      <c r="D131" t="str">
        <f>INDEX('Pool Points'!$E:$E,MATCH(B131,'Pool Points'!$A:$A,0))</f>
        <v>CARR-B</v>
      </c>
      <c r="E131" t="s">
        <v>160</v>
      </c>
      <c r="F131" t="s">
        <v>161</v>
      </c>
      <c r="G131">
        <v>14</v>
      </c>
      <c r="H131" s="13">
        <v>42005</v>
      </c>
      <c r="I131" s="14">
        <f>SUMIFS('Store Forecast'!$D$5:$D$3540,'Store Forecast'!$C$5:$C$3540,$A131,'Store Forecast'!$A$5:$A$3540,I$3)</f>
        <v>18.5</v>
      </c>
      <c r="J131" s="14">
        <f>SUMIFS('Store Forecast'!$D$5:$D$3540,'Store Forecast'!$C$5:$C$3540,$A131,'Store Forecast'!$A$5:$A$3540,J$3)</f>
        <v>18.3</v>
      </c>
      <c r="K131" s="14">
        <f>SUMIFS('Store Forecast'!$D$5:$D$3540,'Store Forecast'!$C$5:$C$3540,$A131,'Store Forecast'!$A$5:$A$3540,K$3)</f>
        <v>17.7</v>
      </c>
      <c r="L131" s="14">
        <f>SUMIFS('Store Forecast'!$D$5:$D$3540,'Store Forecast'!$C$5:$C$3540,$A131,'Store Forecast'!$A$5:$A$3540,L$3)</f>
        <v>18</v>
      </c>
      <c r="M131" s="14">
        <v>27.3</v>
      </c>
      <c r="N131">
        <v>27</v>
      </c>
      <c r="O131">
        <v>0</v>
      </c>
      <c r="P131" t="str">
        <f t="shared" si="3"/>
        <v>On plan</v>
      </c>
    </row>
    <row r="132" spans="1:16" x14ac:dyDescent="0.35">
      <c r="A132" t="s">
        <v>291</v>
      </c>
      <c r="B132" t="s">
        <v>87</v>
      </c>
      <c r="C132" t="s">
        <v>88</v>
      </c>
      <c r="D132" t="str">
        <f>INDEX('Pool Points'!$E:$E,MATCH(B132,'Pool Points'!$A:$A,0))</f>
        <v>CARR-B</v>
      </c>
      <c r="E132" t="s">
        <v>160</v>
      </c>
      <c r="F132" t="s">
        <v>168</v>
      </c>
      <c r="G132">
        <v>12</v>
      </c>
      <c r="H132" s="13">
        <v>42005</v>
      </c>
      <c r="I132" s="14">
        <f>SUMIFS('Store Forecast'!$D$5:$D$3540,'Store Forecast'!$C$5:$C$3540,$A132,'Store Forecast'!$A$5:$A$3540,I$3)</f>
        <v>14.3</v>
      </c>
      <c r="J132" s="14">
        <f>SUMIFS('Store Forecast'!$D$5:$D$3540,'Store Forecast'!$C$5:$C$3540,$A132,'Store Forecast'!$A$5:$A$3540,J$3)</f>
        <v>14.2</v>
      </c>
      <c r="K132" s="14">
        <f>SUMIFS('Store Forecast'!$D$5:$D$3540,'Store Forecast'!$C$5:$C$3540,$A132,'Store Forecast'!$A$5:$A$3540,K$3)</f>
        <v>13.7</v>
      </c>
      <c r="L132" s="14">
        <f>SUMIFS('Store Forecast'!$D$5:$D$3540,'Store Forecast'!$C$5:$C$3540,$A132,'Store Forecast'!$A$5:$A$3540,L$3)</f>
        <v>13.9</v>
      </c>
      <c r="M132" s="14">
        <v>21.1</v>
      </c>
      <c r="N132">
        <v>21</v>
      </c>
      <c r="O132">
        <v>0</v>
      </c>
      <c r="P132" t="str">
        <f t="shared" si="3"/>
        <v>On plan</v>
      </c>
    </row>
    <row r="133" spans="1:16" x14ac:dyDescent="0.35">
      <c r="A133" t="s">
        <v>292</v>
      </c>
      <c r="B133" t="s">
        <v>87</v>
      </c>
      <c r="C133" t="s">
        <v>88</v>
      </c>
      <c r="D133" t="str">
        <f>INDEX('Pool Points'!$E:$E,MATCH(B133,'Pool Points'!$A:$A,0))</f>
        <v>CARR-B</v>
      </c>
      <c r="E133" t="s">
        <v>160</v>
      </c>
      <c r="F133" t="s">
        <v>161</v>
      </c>
      <c r="G133">
        <v>10</v>
      </c>
      <c r="H133" s="13">
        <v>42005</v>
      </c>
      <c r="I133" s="14">
        <f>SUMIFS('Store Forecast'!$D$5:$D$3540,'Store Forecast'!$C$5:$C$3540,$A133,'Store Forecast'!$A$5:$A$3540,I$3)</f>
        <v>12</v>
      </c>
      <c r="J133" s="14">
        <f>SUMIFS('Store Forecast'!$D$5:$D$3540,'Store Forecast'!$C$5:$C$3540,$A133,'Store Forecast'!$A$5:$A$3540,J$3)</f>
        <v>11.9</v>
      </c>
      <c r="K133" s="14">
        <f>SUMIFS('Store Forecast'!$D$5:$D$3540,'Store Forecast'!$C$5:$C$3540,$A133,'Store Forecast'!$A$5:$A$3540,K$3)</f>
        <v>11.5</v>
      </c>
      <c r="L133" s="14">
        <f>SUMIFS('Store Forecast'!$D$5:$D$3540,'Store Forecast'!$C$5:$C$3540,$A133,'Store Forecast'!$A$5:$A$3540,L$3)</f>
        <v>11.7</v>
      </c>
      <c r="M133" s="14">
        <v>17.7</v>
      </c>
      <c r="N133">
        <v>18</v>
      </c>
      <c r="O133">
        <v>0</v>
      </c>
      <c r="P133" t="str">
        <f t="shared" ref="P133:P164" si="4">IF(H133&gt;AsOfDate,"Opens "&amp;TEXT(H133,"mmm d"),IF(O133&gt;0,"Backlog in peak week","On plan"))</f>
        <v>On plan</v>
      </c>
    </row>
    <row r="134" spans="1:16" x14ac:dyDescent="0.35">
      <c r="A134" t="s">
        <v>293</v>
      </c>
      <c r="B134" t="s">
        <v>87</v>
      </c>
      <c r="C134" t="s">
        <v>88</v>
      </c>
      <c r="D134" t="str">
        <f>INDEX('Pool Points'!$E:$E,MATCH(B134,'Pool Points'!$A:$A,0))</f>
        <v>CARR-B</v>
      </c>
      <c r="E134" t="s">
        <v>165</v>
      </c>
      <c r="F134" t="s">
        <v>161</v>
      </c>
      <c r="G134">
        <v>9</v>
      </c>
      <c r="H134" s="13">
        <v>42005</v>
      </c>
      <c r="I134" s="14">
        <f>SUMIFS('Store Forecast'!$D$5:$D$3540,'Store Forecast'!$C$5:$C$3540,$A134,'Store Forecast'!$A$5:$A$3540,I$3)</f>
        <v>11.1</v>
      </c>
      <c r="J134" s="14">
        <f>SUMIFS('Store Forecast'!$D$5:$D$3540,'Store Forecast'!$C$5:$C$3540,$A134,'Store Forecast'!$A$5:$A$3540,J$3)</f>
        <v>11</v>
      </c>
      <c r="K134" s="14">
        <f>SUMIFS('Store Forecast'!$D$5:$D$3540,'Store Forecast'!$C$5:$C$3540,$A134,'Store Forecast'!$A$5:$A$3540,K$3)</f>
        <v>10.7</v>
      </c>
      <c r="L134" s="14">
        <f>SUMIFS('Store Forecast'!$D$5:$D$3540,'Store Forecast'!$C$5:$C$3540,$A134,'Store Forecast'!$A$5:$A$3540,L$3)</f>
        <v>10.8</v>
      </c>
      <c r="M134" s="14">
        <v>16.399999999999999</v>
      </c>
      <c r="N134">
        <v>16</v>
      </c>
      <c r="O134">
        <v>0</v>
      </c>
      <c r="P134" t="str">
        <f t="shared" si="4"/>
        <v>On plan</v>
      </c>
    </row>
    <row r="135" spans="1:16" x14ac:dyDescent="0.35">
      <c r="A135" t="s">
        <v>294</v>
      </c>
      <c r="B135" t="s">
        <v>87</v>
      </c>
      <c r="C135" t="s">
        <v>88</v>
      </c>
      <c r="D135" t="str">
        <f>INDEX('Pool Points'!$E:$E,MATCH(B135,'Pool Points'!$A:$A,0))</f>
        <v>CARR-B</v>
      </c>
      <c r="E135" t="s">
        <v>165</v>
      </c>
      <c r="F135" t="s">
        <v>168</v>
      </c>
      <c r="G135">
        <v>9</v>
      </c>
      <c r="H135" s="13">
        <v>42005</v>
      </c>
      <c r="I135" s="14">
        <f>SUMIFS('Store Forecast'!$D$5:$D$3540,'Store Forecast'!$C$5:$C$3540,$A135,'Store Forecast'!$A$5:$A$3540,I$3)</f>
        <v>11</v>
      </c>
      <c r="J135" s="14">
        <f>SUMIFS('Store Forecast'!$D$5:$D$3540,'Store Forecast'!$C$5:$C$3540,$A135,'Store Forecast'!$A$5:$A$3540,J$3)</f>
        <v>10.9</v>
      </c>
      <c r="K135" s="14">
        <f>SUMIFS('Store Forecast'!$D$5:$D$3540,'Store Forecast'!$C$5:$C$3540,$A135,'Store Forecast'!$A$5:$A$3540,K$3)</f>
        <v>10.5</v>
      </c>
      <c r="L135" s="14">
        <f>SUMIFS('Store Forecast'!$D$5:$D$3540,'Store Forecast'!$C$5:$C$3540,$A135,'Store Forecast'!$A$5:$A$3540,L$3)</f>
        <v>10.7</v>
      </c>
      <c r="M135" s="14">
        <v>16.2</v>
      </c>
      <c r="N135">
        <v>16</v>
      </c>
      <c r="O135">
        <v>0</v>
      </c>
      <c r="P135" t="str">
        <f t="shared" si="4"/>
        <v>On plan</v>
      </c>
    </row>
    <row r="136" spans="1:16" x14ac:dyDescent="0.35">
      <c r="A136" t="s">
        <v>295</v>
      </c>
      <c r="B136" t="s">
        <v>87</v>
      </c>
      <c r="C136" t="s">
        <v>88</v>
      </c>
      <c r="D136" t="str">
        <f>INDEX('Pool Points'!$E:$E,MATCH(B136,'Pool Points'!$A:$A,0))</f>
        <v>CARR-B</v>
      </c>
      <c r="E136" t="s">
        <v>160</v>
      </c>
      <c r="F136" t="s">
        <v>168</v>
      </c>
      <c r="G136">
        <v>10</v>
      </c>
      <c r="H136" s="13">
        <v>42005</v>
      </c>
      <c r="I136" s="14">
        <f>SUMIFS('Store Forecast'!$D$5:$D$3540,'Store Forecast'!$C$5:$C$3540,$A136,'Store Forecast'!$A$5:$A$3540,I$3)</f>
        <v>13.7</v>
      </c>
      <c r="J136" s="14">
        <f>SUMIFS('Store Forecast'!$D$5:$D$3540,'Store Forecast'!$C$5:$C$3540,$A136,'Store Forecast'!$A$5:$A$3540,J$3)</f>
        <v>13.5</v>
      </c>
      <c r="K136" s="14">
        <f>SUMIFS('Store Forecast'!$D$5:$D$3540,'Store Forecast'!$C$5:$C$3540,$A136,'Store Forecast'!$A$5:$A$3540,K$3)</f>
        <v>13.1</v>
      </c>
      <c r="L136" s="14">
        <f>SUMIFS('Store Forecast'!$D$5:$D$3540,'Store Forecast'!$C$5:$C$3540,$A136,'Store Forecast'!$A$5:$A$3540,L$3)</f>
        <v>13.3</v>
      </c>
      <c r="M136" s="14">
        <v>20.100000000000001</v>
      </c>
      <c r="N136">
        <v>20</v>
      </c>
      <c r="O136">
        <v>0</v>
      </c>
      <c r="P136" t="str">
        <f t="shared" si="4"/>
        <v>On plan</v>
      </c>
    </row>
    <row r="137" spans="1:16" x14ac:dyDescent="0.35">
      <c r="A137" t="s">
        <v>296</v>
      </c>
      <c r="B137" t="s">
        <v>87</v>
      </c>
      <c r="C137" t="s">
        <v>88</v>
      </c>
      <c r="D137" t="str">
        <f>INDEX('Pool Points'!$E:$E,MATCH(B137,'Pool Points'!$A:$A,0))</f>
        <v>CARR-B</v>
      </c>
      <c r="E137" t="s">
        <v>160</v>
      </c>
      <c r="F137" t="s">
        <v>166</v>
      </c>
      <c r="G137">
        <v>15</v>
      </c>
      <c r="H137" s="13">
        <v>42005</v>
      </c>
      <c r="I137" s="14">
        <f>SUMIFS('Store Forecast'!$D$5:$D$3540,'Store Forecast'!$C$5:$C$3540,$A137,'Store Forecast'!$A$5:$A$3540,I$3)</f>
        <v>20.6</v>
      </c>
      <c r="J137" s="14">
        <f>SUMIFS('Store Forecast'!$D$5:$D$3540,'Store Forecast'!$C$5:$C$3540,$A137,'Store Forecast'!$A$5:$A$3540,J$3)</f>
        <v>20.399999999999999</v>
      </c>
      <c r="K137" s="14">
        <f>SUMIFS('Store Forecast'!$D$5:$D$3540,'Store Forecast'!$C$5:$C$3540,$A137,'Store Forecast'!$A$5:$A$3540,K$3)</f>
        <v>19.7</v>
      </c>
      <c r="L137" s="14">
        <f>SUMIFS('Store Forecast'!$D$5:$D$3540,'Store Forecast'!$C$5:$C$3540,$A137,'Store Forecast'!$A$5:$A$3540,L$3)</f>
        <v>20</v>
      </c>
      <c r="M137" s="14">
        <v>30.3</v>
      </c>
      <c r="N137">
        <v>30</v>
      </c>
      <c r="O137">
        <v>0</v>
      </c>
      <c r="P137" t="str">
        <f t="shared" si="4"/>
        <v>On plan</v>
      </c>
    </row>
    <row r="138" spans="1:16" x14ac:dyDescent="0.35">
      <c r="A138" t="s">
        <v>297</v>
      </c>
      <c r="B138" t="s">
        <v>87</v>
      </c>
      <c r="C138" t="s">
        <v>88</v>
      </c>
      <c r="D138" t="str">
        <f>INDEX('Pool Points'!$E:$E,MATCH(B138,'Pool Points'!$A:$A,0))</f>
        <v>CARR-B</v>
      </c>
      <c r="E138" t="s">
        <v>160</v>
      </c>
      <c r="F138" t="s">
        <v>163</v>
      </c>
      <c r="G138">
        <v>8</v>
      </c>
      <c r="H138" s="13">
        <v>42005</v>
      </c>
      <c r="I138" s="14">
        <f>SUMIFS('Store Forecast'!$D$5:$D$3540,'Store Forecast'!$C$5:$C$3540,$A138,'Store Forecast'!$A$5:$A$3540,I$3)</f>
        <v>15</v>
      </c>
      <c r="J138" s="14">
        <f>SUMIFS('Store Forecast'!$D$5:$D$3540,'Store Forecast'!$C$5:$C$3540,$A138,'Store Forecast'!$A$5:$A$3540,J$3)</f>
        <v>14.8</v>
      </c>
      <c r="K138" s="14">
        <f>SUMIFS('Store Forecast'!$D$5:$D$3540,'Store Forecast'!$C$5:$C$3540,$A138,'Store Forecast'!$A$5:$A$3540,K$3)</f>
        <v>14.3</v>
      </c>
      <c r="L138" s="14">
        <f>SUMIFS('Store Forecast'!$D$5:$D$3540,'Store Forecast'!$C$5:$C$3540,$A138,'Store Forecast'!$A$5:$A$3540,L$3)</f>
        <v>14.5</v>
      </c>
      <c r="M138" s="14">
        <v>22</v>
      </c>
      <c r="N138">
        <v>22</v>
      </c>
      <c r="O138">
        <v>0</v>
      </c>
      <c r="P138" t="str">
        <f t="shared" si="4"/>
        <v>On plan</v>
      </c>
    </row>
    <row r="139" spans="1:16" x14ac:dyDescent="0.35">
      <c r="A139" t="s">
        <v>298</v>
      </c>
      <c r="B139" t="s">
        <v>77</v>
      </c>
      <c r="C139" t="s">
        <v>78</v>
      </c>
      <c r="D139" t="str">
        <f>INDEX('Pool Points'!$E:$E,MATCH(B139,'Pool Points'!$A:$A,0))</f>
        <v>CARR-C</v>
      </c>
      <c r="E139" t="s">
        <v>160</v>
      </c>
      <c r="F139" t="s">
        <v>157</v>
      </c>
      <c r="G139">
        <v>9</v>
      </c>
      <c r="H139" s="13">
        <v>46277</v>
      </c>
      <c r="I139" s="14">
        <f>SUMIFS('Store Forecast'!$D$5:$D$3540,'Store Forecast'!$C$5:$C$3540,$A139,'Store Forecast'!$A$5:$A$3540,I$3)</f>
        <v>0</v>
      </c>
      <c r="J139" s="14">
        <f>SUMIFS('Store Forecast'!$D$5:$D$3540,'Store Forecast'!$C$5:$C$3540,$A139,'Store Forecast'!$A$5:$A$3540,J$3)</f>
        <v>0</v>
      </c>
      <c r="K139" s="14">
        <f>SUMIFS('Store Forecast'!$D$5:$D$3540,'Store Forecast'!$C$5:$C$3540,$A139,'Store Forecast'!$A$5:$A$3540,K$3)</f>
        <v>0</v>
      </c>
      <c r="L139" s="14">
        <f>SUMIFS('Store Forecast'!$D$5:$D$3540,'Store Forecast'!$C$5:$C$3540,$A139,'Store Forecast'!$A$5:$A$3540,L$3)</f>
        <v>0</v>
      </c>
      <c r="M139" s="14">
        <v>21.8</v>
      </c>
      <c r="N139">
        <v>22</v>
      </c>
      <c r="O139">
        <v>0</v>
      </c>
      <c r="P139" t="str">
        <f t="shared" si="4"/>
        <v>Opens Sep 12</v>
      </c>
    </row>
    <row r="140" spans="1:16" x14ac:dyDescent="0.35">
      <c r="A140" t="s">
        <v>299</v>
      </c>
      <c r="B140" t="s">
        <v>85</v>
      </c>
      <c r="C140" t="s">
        <v>86</v>
      </c>
      <c r="D140" t="str">
        <f>INDEX('Pool Points'!$E:$E,MATCH(B140,'Pool Points'!$A:$A,0))</f>
        <v>CARR-D</v>
      </c>
      <c r="E140" t="s">
        <v>160</v>
      </c>
      <c r="F140" t="s">
        <v>300</v>
      </c>
      <c r="G140">
        <v>11</v>
      </c>
      <c r="H140" s="13">
        <v>46312</v>
      </c>
      <c r="I140" s="14">
        <f>SUMIFS('Store Forecast'!$D$5:$D$3540,'Store Forecast'!$C$5:$C$3540,$A140,'Store Forecast'!$A$5:$A$3540,I$3)</f>
        <v>0</v>
      </c>
      <c r="J140" s="14">
        <f>SUMIFS('Store Forecast'!$D$5:$D$3540,'Store Forecast'!$C$5:$C$3540,$A140,'Store Forecast'!$A$5:$A$3540,J$3)</f>
        <v>0</v>
      </c>
      <c r="K140" s="14">
        <f>SUMIFS('Store Forecast'!$D$5:$D$3540,'Store Forecast'!$C$5:$C$3540,$A140,'Store Forecast'!$A$5:$A$3540,K$3)</f>
        <v>0</v>
      </c>
      <c r="L140" s="14">
        <f>SUMIFS('Store Forecast'!$D$5:$D$3540,'Store Forecast'!$C$5:$C$3540,$A140,'Store Forecast'!$A$5:$A$3540,L$3)</f>
        <v>0</v>
      </c>
      <c r="M140" s="14">
        <v>21.1</v>
      </c>
      <c r="N140">
        <v>21</v>
      </c>
      <c r="O140">
        <v>0</v>
      </c>
      <c r="P140" t="str">
        <f t="shared" si="4"/>
        <v>Opens Oct 17</v>
      </c>
    </row>
    <row r="141" spans="1:16" x14ac:dyDescent="0.35">
      <c r="A141" t="s">
        <v>301</v>
      </c>
      <c r="B141" t="s">
        <v>77</v>
      </c>
      <c r="C141" t="s">
        <v>78</v>
      </c>
      <c r="D141" t="str">
        <f>INDEX('Pool Points'!$E:$E,MATCH(B141,'Pool Points'!$A:$A,0))</f>
        <v>CARR-C</v>
      </c>
      <c r="E141" t="s">
        <v>160</v>
      </c>
      <c r="F141" t="s">
        <v>168</v>
      </c>
      <c r="G141">
        <v>13</v>
      </c>
      <c r="H141" s="13">
        <v>46361</v>
      </c>
      <c r="I141" s="14">
        <f>SUMIFS('Store Forecast'!$D$5:$D$3540,'Store Forecast'!$C$5:$C$3540,$A141,'Store Forecast'!$A$5:$A$3540,I$3)</f>
        <v>0</v>
      </c>
      <c r="J141" s="14">
        <f>SUMIFS('Store Forecast'!$D$5:$D$3540,'Store Forecast'!$C$5:$C$3540,$A141,'Store Forecast'!$A$5:$A$3540,J$3)</f>
        <v>0</v>
      </c>
      <c r="K141" s="14">
        <f>SUMIFS('Store Forecast'!$D$5:$D$3540,'Store Forecast'!$C$5:$C$3540,$A141,'Store Forecast'!$A$5:$A$3540,K$3)</f>
        <v>0</v>
      </c>
      <c r="L141" s="14">
        <f>SUMIFS('Store Forecast'!$D$5:$D$3540,'Store Forecast'!$C$5:$C$3540,$A141,'Store Forecast'!$A$5:$A$3540,L$3)</f>
        <v>0</v>
      </c>
      <c r="M141" s="14">
        <v>26</v>
      </c>
      <c r="N141">
        <v>26</v>
      </c>
      <c r="O141">
        <v>0</v>
      </c>
      <c r="P141" t="str">
        <f t="shared" si="4"/>
        <v>Opens Dec 5</v>
      </c>
    </row>
  </sheetData>
  <conditionalFormatting sqref="P5:P141">
    <cfRule type="cellIs" dxfId="4" priority="1" operator="equal">
      <formula>"On plan"</formula>
    </cfRule>
    <cfRule type="cellIs" dxfId="3" priority="2" operator="equal">
      <formula>"Backlog in peak week"</formula>
    </cfRule>
    <cfRule type="expression" dxfId="2" priority="3">
      <formula>LEFT(P5,5)="Opens"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2" width="11" customWidth="1"/>
    <col min="3" max="3" width="15" customWidth="1"/>
    <col min="4" max="4" width="10" customWidth="1"/>
    <col min="5" max="10" width="7" customWidth="1"/>
    <col min="11" max="11" width="12" customWidth="1"/>
    <col min="12" max="13" width="10" customWidth="1"/>
  </cols>
  <sheetData>
    <row r="1" spans="1:13" ht="21" x14ac:dyDescent="0.5">
      <c r="A1" s="1" t="s">
        <v>302</v>
      </c>
    </row>
    <row r="2" spans="1:13" x14ac:dyDescent="0.35">
      <c r="A2" s="2" t="s">
        <v>303</v>
      </c>
    </row>
    <row r="4" spans="1:13" ht="30" customHeight="1" x14ac:dyDescent="0.35">
      <c r="A4" s="12" t="s">
        <v>141</v>
      </c>
      <c r="B4" s="12" t="s">
        <v>2</v>
      </c>
      <c r="C4" s="12" t="s">
        <v>144</v>
      </c>
      <c r="D4" s="12" t="s">
        <v>145</v>
      </c>
      <c r="E4" s="12" t="s">
        <v>304</v>
      </c>
      <c r="F4" s="12" t="s">
        <v>305</v>
      </c>
      <c r="G4" s="12" t="s">
        <v>306</v>
      </c>
      <c r="H4" s="12" t="s">
        <v>307</v>
      </c>
      <c r="I4" s="12" t="s">
        <v>308</v>
      </c>
      <c r="J4" s="12" t="s">
        <v>309</v>
      </c>
      <c r="K4" s="12" t="s">
        <v>310</v>
      </c>
      <c r="L4" s="12" t="s">
        <v>34</v>
      </c>
      <c r="M4" s="12" t="s">
        <v>54</v>
      </c>
    </row>
    <row r="5" spans="1:13" x14ac:dyDescent="0.35">
      <c r="A5" t="s">
        <v>155</v>
      </c>
      <c r="B5" t="s">
        <v>70</v>
      </c>
      <c r="C5" t="s">
        <v>157</v>
      </c>
      <c r="D5">
        <v>7</v>
      </c>
      <c r="F5">
        <v>7</v>
      </c>
      <c r="H5">
        <v>7</v>
      </c>
      <c r="I5">
        <v>7</v>
      </c>
      <c r="J5">
        <v>7</v>
      </c>
      <c r="K5">
        <f t="shared" ref="K5:K36" si="0">SUM(E5:J5)</f>
        <v>28</v>
      </c>
      <c r="L5" s="14">
        <v>38.9</v>
      </c>
      <c r="M5">
        <f t="shared" ref="M5:M36" si="1">MAX(0,ROUND(L5,0)-K5)</f>
        <v>11</v>
      </c>
    </row>
    <row r="6" spans="1:13" x14ac:dyDescent="0.35">
      <c r="A6" t="s">
        <v>158</v>
      </c>
      <c r="B6" t="s">
        <v>70</v>
      </c>
      <c r="C6" t="s">
        <v>157</v>
      </c>
      <c r="D6">
        <v>13</v>
      </c>
      <c r="F6">
        <v>9</v>
      </c>
      <c r="H6">
        <v>9</v>
      </c>
      <c r="I6">
        <v>8</v>
      </c>
      <c r="J6">
        <v>8</v>
      </c>
      <c r="K6">
        <f t="shared" si="0"/>
        <v>34</v>
      </c>
      <c r="L6" s="14">
        <v>33.6</v>
      </c>
      <c r="M6">
        <f t="shared" si="1"/>
        <v>0</v>
      </c>
    </row>
    <row r="7" spans="1:13" x14ac:dyDescent="0.35">
      <c r="A7" t="s">
        <v>159</v>
      </c>
      <c r="B7" t="s">
        <v>70</v>
      </c>
      <c r="C7" t="s">
        <v>161</v>
      </c>
      <c r="D7">
        <v>14</v>
      </c>
      <c r="G7">
        <v>9</v>
      </c>
      <c r="I7">
        <v>9</v>
      </c>
      <c r="J7">
        <v>8</v>
      </c>
      <c r="K7">
        <f t="shared" si="0"/>
        <v>26</v>
      </c>
      <c r="L7" s="14">
        <v>25.6</v>
      </c>
      <c r="M7">
        <f t="shared" si="1"/>
        <v>0</v>
      </c>
    </row>
    <row r="8" spans="1:13" x14ac:dyDescent="0.35">
      <c r="A8" t="s">
        <v>162</v>
      </c>
      <c r="B8" t="s">
        <v>70</v>
      </c>
      <c r="C8" t="s">
        <v>163</v>
      </c>
      <c r="D8">
        <v>13</v>
      </c>
      <c r="E8">
        <v>10</v>
      </c>
      <c r="G8">
        <v>9</v>
      </c>
      <c r="I8">
        <v>9</v>
      </c>
      <c r="J8">
        <v>9</v>
      </c>
      <c r="K8">
        <f t="shared" si="0"/>
        <v>37</v>
      </c>
      <c r="L8" s="14">
        <v>36.799999999999997</v>
      </c>
      <c r="M8">
        <f t="shared" si="1"/>
        <v>0</v>
      </c>
    </row>
    <row r="9" spans="1:13" x14ac:dyDescent="0.35">
      <c r="A9" t="s">
        <v>164</v>
      </c>
      <c r="B9" t="s">
        <v>70</v>
      </c>
      <c r="C9" t="s">
        <v>166</v>
      </c>
      <c r="D9">
        <v>9</v>
      </c>
      <c r="E9">
        <v>6</v>
      </c>
      <c r="H9">
        <v>5</v>
      </c>
      <c r="J9">
        <v>5</v>
      </c>
      <c r="K9">
        <f t="shared" si="0"/>
        <v>16</v>
      </c>
      <c r="L9" s="14">
        <v>16.100000000000001</v>
      </c>
      <c r="M9">
        <f t="shared" si="1"/>
        <v>0</v>
      </c>
    </row>
    <row r="10" spans="1:13" x14ac:dyDescent="0.35">
      <c r="A10" t="s">
        <v>167</v>
      </c>
      <c r="B10" t="s">
        <v>70</v>
      </c>
      <c r="C10" t="s">
        <v>168</v>
      </c>
      <c r="D10">
        <v>12</v>
      </c>
      <c r="F10">
        <v>7</v>
      </c>
      <c r="I10">
        <v>7</v>
      </c>
      <c r="J10">
        <v>7</v>
      </c>
      <c r="K10">
        <f t="shared" si="0"/>
        <v>21</v>
      </c>
      <c r="L10" s="14">
        <v>20.6</v>
      </c>
      <c r="M10">
        <f t="shared" si="1"/>
        <v>0</v>
      </c>
    </row>
    <row r="11" spans="1:13" x14ac:dyDescent="0.35">
      <c r="A11" t="s">
        <v>169</v>
      </c>
      <c r="B11" t="s">
        <v>70</v>
      </c>
      <c r="C11" t="s">
        <v>161</v>
      </c>
      <c r="D11">
        <v>9</v>
      </c>
      <c r="G11">
        <v>6</v>
      </c>
      <c r="I11">
        <v>5</v>
      </c>
      <c r="J11">
        <v>5</v>
      </c>
      <c r="K11">
        <f t="shared" si="0"/>
        <v>16</v>
      </c>
      <c r="L11" s="14">
        <v>15.5</v>
      </c>
      <c r="M11">
        <f t="shared" si="1"/>
        <v>0</v>
      </c>
    </row>
    <row r="12" spans="1:13" x14ac:dyDescent="0.35">
      <c r="A12" t="s">
        <v>170</v>
      </c>
      <c r="B12" t="s">
        <v>70</v>
      </c>
      <c r="C12" t="s">
        <v>166</v>
      </c>
      <c r="D12">
        <v>17</v>
      </c>
      <c r="E12">
        <v>10</v>
      </c>
      <c r="H12">
        <v>10</v>
      </c>
      <c r="J12">
        <v>10</v>
      </c>
      <c r="K12">
        <f t="shared" si="0"/>
        <v>30</v>
      </c>
      <c r="L12" s="14">
        <v>30.4</v>
      </c>
      <c r="M12">
        <f t="shared" si="1"/>
        <v>0</v>
      </c>
    </row>
    <row r="13" spans="1:13" x14ac:dyDescent="0.35">
      <c r="A13" t="s">
        <v>171</v>
      </c>
      <c r="B13" t="s">
        <v>70</v>
      </c>
      <c r="C13" t="s">
        <v>163</v>
      </c>
      <c r="D13">
        <v>9</v>
      </c>
      <c r="E13">
        <v>6</v>
      </c>
      <c r="G13">
        <v>6</v>
      </c>
      <c r="I13">
        <v>6</v>
      </c>
      <c r="J13">
        <v>6</v>
      </c>
      <c r="K13">
        <f t="shared" si="0"/>
        <v>24</v>
      </c>
      <c r="L13" s="14">
        <v>24.1</v>
      </c>
      <c r="M13">
        <f t="shared" si="1"/>
        <v>0</v>
      </c>
    </row>
    <row r="14" spans="1:13" x14ac:dyDescent="0.35">
      <c r="A14" t="s">
        <v>172</v>
      </c>
      <c r="B14" t="s">
        <v>70</v>
      </c>
      <c r="C14" t="s">
        <v>166</v>
      </c>
      <c r="D14">
        <v>9</v>
      </c>
      <c r="E14">
        <v>6</v>
      </c>
      <c r="H14">
        <v>5</v>
      </c>
      <c r="J14">
        <v>5</v>
      </c>
      <c r="K14">
        <f t="shared" si="0"/>
        <v>16</v>
      </c>
      <c r="L14" s="14">
        <v>15.6</v>
      </c>
      <c r="M14">
        <f t="shared" si="1"/>
        <v>0</v>
      </c>
    </row>
    <row r="15" spans="1:13" x14ac:dyDescent="0.35">
      <c r="A15" t="s">
        <v>173</v>
      </c>
      <c r="B15" t="s">
        <v>70</v>
      </c>
      <c r="C15" t="s">
        <v>163</v>
      </c>
      <c r="D15">
        <v>10</v>
      </c>
      <c r="E15">
        <v>7</v>
      </c>
      <c r="G15">
        <v>7</v>
      </c>
      <c r="I15">
        <v>7</v>
      </c>
      <c r="J15">
        <v>7</v>
      </c>
      <c r="K15">
        <f t="shared" si="0"/>
        <v>28</v>
      </c>
      <c r="L15" s="14">
        <v>28.4</v>
      </c>
      <c r="M15">
        <f t="shared" si="1"/>
        <v>0</v>
      </c>
    </row>
    <row r="16" spans="1:13" x14ac:dyDescent="0.35">
      <c r="A16" t="s">
        <v>174</v>
      </c>
      <c r="B16" t="s">
        <v>70</v>
      </c>
      <c r="C16" t="s">
        <v>163</v>
      </c>
      <c r="D16">
        <v>13</v>
      </c>
      <c r="E16">
        <v>9</v>
      </c>
      <c r="G16">
        <v>9</v>
      </c>
      <c r="I16">
        <v>9</v>
      </c>
      <c r="J16">
        <v>8</v>
      </c>
      <c r="K16">
        <f t="shared" si="0"/>
        <v>35</v>
      </c>
      <c r="L16" s="14">
        <v>34.6</v>
      </c>
      <c r="M16">
        <f t="shared" si="1"/>
        <v>0</v>
      </c>
    </row>
    <row r="17" spans="1:13" x14ac:dyDescent="0.35">
      <c r="A17" t="s">
        <v>175</v>
      </c>
      <c r="B17" t="s">
        <v>70</v>
      </c>
      <c r="C17" t="s">
        <v>157</v>
      </c>
      <c r="D17">
        <v>9</v>
      </c>
      <c r="F17">
        <v>6</v>
      </c>
      <c r="H17">
        <v>6</v>
      </c>
      <c r="I17">
        <v>6</v>
      </c>
      <c r="J17">
        <v>6</v>
      </c>
      <c r="K17">
        <f t="shared" si="0"/>
        <v>24</v>
      </c>
      <c r="L17" s="14">
        <v>23.8</v>
      </c>
      <c r="M17">
        <f t="shared" si="1"/>
        <v>0</v>
      </c>
    </row>
    <row r="18" spans="1:13" x14ac:dyDescent="0.35">
      <c r="A18" t="s">
        <v>176</v>
      </c>
      <c r="B18" t="s">
        <v>70</v>
      </c>
      <c r="C18" t="s">
        <v>166</v>
      </c>
      <c r="D18">
        <v>10</v>
      </c>
      <c r="E18">
        <v>7</v>
      </c>
      <c r="H18">
        <v>6</v>
      </c>
      <c r="J18">
        <v>6</v>
      </c>
      <c r="K18">
        <f t="shared" si="0"/>
        <v>19</v>
      </c>
      <c r="L18" s="14">
        <v>18.600000000000001</v>
      </c>
      <c r="M18">
        <f t="shared" si="1"/>
        <v>0</v>
      </c>
    </row>
    <row r="19" spans="1:13" x14ac:dyDescent="0.35">
      <c r="A19" t="s">
        <v>177</v>
      </c>
      <c r="B19" t="s">
        <v>73</v>
      </c>
      <c r="C19" t="s">
        <v>168</v>
      </c>
      <c r="D19">
        <v>10</v>
      </c>
      <c r="F19">
        <v>7</v>
      </c>
      <c r="I19">
        <v>7</v>
      </c>
      <c r="J19">
        <v>6</v>
      </c>
      <c r="K19">
        <f t="shared" si="0"/>
        <v>20</v>
      </c>
      <c r="L19" s="14">
        <v>19.5</v>
      </c>
      <c r="M19">
        <f t="shared" si="1"/>
        <v>0</v>
      </c>
    </row>
    <row r="20" spans="1:13" x14ac:dyDescent="0.35">
      <c r="A20" t="s">
        <v>178</v>
      </c>
      <c r="B20" t="s">
        <v>73</v>
      </c>
      <c r="C20" t="s">
        <v>168</v>
      </c>
      <c r="D20">
        <v>10</v>
      </c>
      <c r="F20">
        <v>6</v>
      </c>
      <c r="I20">
        <v>6</v>
      </c>
      <c r="J20">
        <v>5</v>
      </c>
      <c r="K20">
        <f t="shared" si="0"/>
        <v>17</v>
      </c>
      <c r="L20" s="14">
        <v>17</v>
      </c>
      <c r="M20">
        <f t="shared" si="1"/>
        <v>0</v>
      </c>
    </row>
    <row r="21" spans="1:13" x14ac:dyDescent="0.35">
      <c r="A21" t="s">
        <v>179</v>
      </c>
      <c r="B21" t="s">
        <v>73</v>
      </c>
      <c r="C21" t="s">
        <v>157</v>
      </c>
      <c r="D21">
        <v>9</v>
      </c>
      <c r="F21">
        <v>7</v>
      </c>
      <c r="H21">
        <v>6</v>
      </c>
      <c r="I21">
        <v>6</v>
      </c>
      <c r="J21">
        <v>6</v>
      </c>
      <c r="K21">
        <f t="shared" si="0"/>
        <v>25</v>
      </c>
      <c r="L21" s="14">
        <v>25.2</v>
      </c>
      <c r="M21">
        <f t="shared" si="1"/>
        <v>0</v>
      </c>
    </row>
    <row r="22" spans="1:13" x14ac:dyDescent="0.35">
      <c r="A22" t="s">
        <v>180</v>
      </c>
      <c r="B22" t="s">
        <v>73</v>
      </c>
      <c r="C22" t="s">
        <v>161</v>
      </c>
      <c r="D22">
        <v>8</v>
      </c>
      <c r="G22">
        <v>5</v>
      </c>
      <c r="I22">
        <v>5</v>
      </c>
      <c r="J22">
        <v>4</v>
      </c>
      <c r="K22">
        <f t="shared" si="0"/>
        <v>14</v>
      </c>
      <c r="L22" s="14">
        <v>14.2</v>
      </c>
      <c r="M22">
        <f t="shared" si="1"/>
        <v>0</v>
      </c>
    </row>
    <row r="23" spans="1:13" x14ac:dyDescent="0.35">
      <c r="A23" t="s">
        <v>181</v>
      </c>
      <c r="B23" t="s">
        <v>73</v>
      </c>
      <c r="C23" t="s">
        <v>161</v>
      </c>
      <c r="D23">
        <v>9</v>
      </c>
      <c r="G23">
        <v>6</v>
      </c>
      <c r="I23">
        <v>5</v>
      </c>
      <c r="J23">
        <v>5</v>
      </c>
      <c r="K23">
        <f t="shared" si="0"/>
        <v>16</v>
      </c>
      <c r="L23" s="14">
        <v>16</v>
      </c>
      <c r="M23">
        <f t="shared" si="1"/>
        <v>0</v>
      </c>
    </row>
    <row r="24" spans="1:13" x14ac:dyDescent="0.35">
      <c r="A24" t="s">
        <v>182</v>
      </c>
      <c r="B24" t="s">
        <v>73</v>
      </c>
      <c r="C24" t="s">
        <v>161</v>
      </c>
      <c r="D24">
        <v>12</v>
      </c>
      <c r="G24">
        <v>7</v>
      </c>
      <c r="I24">
        <v>7</v>
      </c>
      <c r="J24">
        <v>7</v>
      </c>
      <c r="K24">
        <f t="shared" si="0"/>
        <v>21</v>
      </c>
      <c r="L24" s="14">
        <v>21.1</v>
      </c>
      <c r="M24">
        <f t="shared" si="1"/>
        <v>0</v>
      </c>
    </row>
    <row r="25" spans="1:13" x14ac:dyDescent="0.35">
      <c r="A25" t="s">
        <v>183</v>
      </c>
      <c r="B25" t="s">
        <v>73</v>
      </c>
      <c r="C25" t="s">
        <v>157</v>
      </c>
      <c r="D25">
        <v>12</v>
      </c>
      <c r="F25">
        <v>8</v>
      </c>
      <c r="H25">
        <v>8</v>
      </c>
      <c r="I25">
        <v>8</v>
      </c>
      <c r="J25">
        <v>8</v>
      </c>
      <c r="K25">
        <f t="shared" si="0"/>
        <v>32</v>
      </c>
      <c r="L25" s="14">
        <v>31.5</v>
      </c>
      <c r="M25">
        <f t="shared" si="1"/>
        <v>0</v>
      </c>
    </row>
    <row r="26" spans="1:13" x14ac:dyDescent="0.35">
      <c r="A26" t="s">
        <v>184</v>
      </c>
      <c r="B26" t="s">
        <v>73</v>
      </c>
      <c r="C26" t="s">
        <v>163</v>
      </c>
      <c r="D26">
        <v>9</v>
      </c>
      <c r="E26">
        <v>7</v>
      </c>
      <c r="G26">
        <v>6</v>
      </c>
      <c r="I26">
        <v>6</v>
      </c>
      <c r="J26">
        <v>6</v>
      </c>
      <c r="K26">
        <f t="shared" si="0"/>
        <v>25</v>
      </c>
      <c r="L26" s="14">
        <v>25</v>
      </c>
      <c r="M26">
        <f t="shared" si="1"/>
        <v>0</v>
      </c>
    </row>
    <row r="27" spans="1:13" x14ac:dyDescent="0.35">
      <c r="A27" t="s">
        <v>185</v>
      </c>
      <c r="B27" t="s">
        <v>73</v>
      </c>
      <c r="C27" t="s">
        <v>168</v>
      </c>
      <c r="D27">
        <v>9</v>
      </c>
      <c r="F27">
        <v>6</v>
      </c>
      <c r="I27">
        <v>5</v>
      </c>
      <c r="J27">
        <v>5</v>
      </c>
      <c r="K27">
        <f t="shared" si="0"/>
        <v>16</v>
      </c>
      <c r="L27" s="14">
        <v>15.8</v>
      </c>
      <c r="M27">
        <f t="shared" si="1"/>
        <v>0</v>
      </c>
    </row>
    <row r="28" spans="1:13" x14ac:dyDescent="0.35">
      <c r="A28" t="s">
        <v>186</v>
      </c>
      <c r="B28" t="s">
        <v>73</v>
      </c>
      <c r="C28" t="s">
        <v>168</v>
      </c>
      <c r="D28">
        <v>12</v>
      </c>
      <c r="F28">
        <v>8</v>
      </c>
      <c r="I28">
        <v>8</v>
      </c>
      <c r="J28">
        <v>7</v>
      </c>
      <c r="K28">
        <f t="shared" si="0"/>
        <v>23</v>
      </c>
      <c r="L28" s="14">
        <v>22.8</v>
      </c>
      <c r="M28">
        <f t="shared" si="1"/>
        <v>0</v>
      </c>
    </row>
    <row r="29" spans="1:13" x14ac:dyDescent="0.35">
      <c r="A29" t="s">
        <v>187</v>
      </c>
      <c r="B29" t="s">
        <v>73</v>
      </c>
      <c r="C29" t="s">
        <v>188</v>
      </c>
      <c r="D29">
        <v>6</v>
      </c>
      <c r="F29">
        <v>6</v>
      </c>
      <c r="I29">
        <v>6</v>
      </c>
      <c r="K29">
        <f t="shared" si="0"/>
        <v>12</v>
      </c>
      <c r="L29" s="14">
        <v>12.3</v>
      </c>
      <c r="M29">
        <f t="shared" si="1"/>
        <v>0</v>
      </c>
    </row>
    <row r="30" spans="1:13" x14ac:dyDescent="0.35">
      <c r="A30" t="s">
        <v>189</v>
      </c>
      <c r="B30" t="s">
        <v>73</v>
      </c>
      <c r="C30" t="s">
        <v>161</v>
      </c>
      <c r="D30">
        <v>10</v>
      </c>
      <c r="G30">
        <v>6</v>
      </c>
      <c r="I30">
        <v>6</v>
      </c>
      <c r="J30">
        <v>5</v>
      </c>
      <c r="K30">
        <f t="shared" si="0"/>
        <v>17</v>
      </c>
      <c r="L30" s="14">
        <v>17</v>
      </c>
      <c r="M30">
        <f t="shared" si="1"/>
        <v>0</v>
      </c>
    </row>
    <row r="31" spans="1:13" x14ac:dyDescent="0.35">
      <c r="A31" t="s">
        <v>190</v>
      </c>
      <c r="B31" t="s">
        <v>73</v>
      </c>
      <c r="C31" t="s">
        <v>163</v>
      </c>
      <c r="D31">
        <v>8</v>
      </c>
      <c r="E31">
        <v>5</v>
      </c>
      <c r="G31">
        <v>5</v>
      </c>
      <c r="I31">
        <v>5</v>
      </c>
      <c r="J31">
        <v>5</v>
      </c>
      <c r="K31">
        <f t="shared" si="0"/>
        <v>20</v>
      </c>
      <c r="L31" s="14">
        <v>19.7</v>
      </c>
      <c r="M31">
        <f t="shared" si="1"/>
        <v>0</v>
      </c>
    </row>
    <row r="32" spans="1:13" x14ac:dyDescent="0.35">
      <c r="A32" t="s">
        <v>191</v>
      </c>
      <c r="B32" t="s">
        <v>73</v>
      </c>
      <c r="C32" t="s">
        <v>166</v>
      </c>
      <c r="D32">
        <v>10</v>
      </c>
      <c r="E32">
        <v>7</v>
      </c>
      <c r="H32">
        <v>6</v>
      </c>
      <c r="J32">
        <v>6</v>
      </c>
      <c r="K32">
        <f t="shared" si="0"/>
        <v>19</v>
      </c>
      <c r="L32" s="14">
        <v>18.600000000000001</v>
      </c>
      <c r="M32">
        <f t="shared" si="1"/>
        <v>0</v>
      </c>
    </row>
    <row r="33" spans="1:13" x14ac:dyDescent="0.35">
      <c r="A33" t="s">
        <v>192</v>
      </c>
      <c r="B33" t="s">
        <v>73</v>
      </c>
      <c r="C33" t="s">
        <v>166</v>
      </c>
      <c r="D33">
        <v>7</v>
      </c>
      <c r="E33">
        <v>4</v>
      </c>
      <c r="H33">
        <v>4</v>
      </c>
      <c r="J33">
        <v>4</v>
      </c>
      <c r="K33">
        <f t="shared" si="0"/>
        <v>12</v>
      </c>
      <c r="L33" s="14">
        <v>11.8</v>
      </c>
      <c r="M33">
        <f t="shared" si="1"/>
        <v>0</v>
      </c>
    </row>
    <row r="34" spans="1:13" x14ac:dyDescent="0.35">
      <c r="A34" t="s">
        <v>193</v>
      </c>
      <c r="B34" t="s">
        <v>73</v>
      </c>
      <c r="C34" t="s">
        <v>161</v>
      </c>
      <c r="D34">
        <v>13</v>
      </c>
      <c r="G34">
        <v>8</v>
      </c>
      <c r="I34">
        <v>8</v>
      </c>
      <c r="J34">
        <v>8</v>
      </c>
      <c r="K34">
        <f t="shared" si="0"/>
        <v>24</v>
      </c>
      <c r="L34" s="14">
        <v>23.5</v>
      </c>
      <c r="M34">
        <f t="shared" si="1"/>
        <v>0</v>
      </c>
    </row>
    <row r="35" spans="1:13" x14ac:dyDescent="0.35">
      <c r="A35" t="s">
        <v>194</v>
      </c>
      <c r="B35" t="s">
        <v>73</v>
      </c>
      <c r="C35" t="s">
        <v>161</v>
      </c>
      <c r="D35">
        <v>9</v>
      </c>
      <c r="G35">
        <v>5</v>
      </c>
      <c r="I35">
        <v>5</v>
      </c>
      <c r="J35">
        <v>5</v>
      </c>
      <c r="K35">
        <f t="shared" si="0"/>
        <v>15</v>
      </c>
      <c r="L35" s="14">
        <v>15.1</v>
      </c>
      <c r="M35">
        <f t="shared" si="1"/>
        <v>0</v>
      </c>
    </row>
    <row r="36" spans="1:13" x14ac:dyDescent="0.35">
      <c r="A36" t="s">
        <v>195</v>
      </c>
      <c r="B36" t="s">
        <v>73</v>
      </c>
      <c r="C36" t="s">
        <v>163</v>
      </c>
      <c r="D36">
        <v>9</v>
      </c>
      <c r="E36">
        <v>6</v>
      </c>
      <c r="G36">
        <v>6</v>
      </c>
      <c r="I36">
        <v>6</v>
      </c>
      <c r="J36">
        <v>6</v>
      </c>
      <c r="K36">
        <f t="shared" si="0"/>
        <v>24</v>
      </c>
      <c r="L36" s="14">
        <v>23.8</v>
      </c>
      <c r="M36">
        <f t="shared" si="1"/>
        <v>0</v>
      </c>
    </row>
    <row r="37" spans="1:13" x14ac:dyDescent="0.35">
      <c r="A37" t="s">
        <v>196</v>
      </c>
      <c r="B37" t="s">
        <v>73</v>
      </c>
      <c r="C37" t="s">
        <v>161</v>
      </c>
      <c r="D37">
        <v>8</v>
      </c>
      <c r="G37">
        <v>5</v>
      </c>
      <c r="I37">
        <v>4</v>
      </c>
      <c r="J37">
        <v>4</v>
      </c>
      <c r="K37">
        <f t="shared" ref="K37:K68" si="2">SUM(E37:J37)</f>
        <v>13</v>
      </c>
      <c r="L37" s="14">
        <v>12.9</v>
      </c>
      <c r="M37">
        <f t="shared" ref="M37:M68" si="3">MAX(0,ROUND(L37,0)-K37)</f>
        <v>0</v>
      </c>
    </row>
    <row r="38" spans="1:13" x14ac:dyDescent="0.35">
      <c r="A38" t="s">
        <v>197</v>
      </c>
      <c r="B38" t="s">
        <v>3</v>
      </c>
      <c r="C38" t="s">
        <v>168</v>
      </c>
      <c r="D38">
        <v>12</v>
      </c>
      <c r="I38">
        <v>11</v>
      </c>
      <c r="J38">
        <v>10</v>
      </c>
      <c r="K38">
        <f t="shared" si="2"/>
        <v>21</v>
      </c>
      <c r="L38" s="14">
        <v>21.3</v>
      </c>
      <c r="M38">
        <f t="shared" si="3"/>
        <v>0</v>
      </c>
    </row>
    <row r="39" spans="1:13" x14ac:dyDescent="0.35">
      <c r="A39" t="s">
        <v>198</v>
      </c>
      <c r="B39" t="s">
        <v>3</v>
      </c>
      <c r="C39" t="s">
        <v>168</v>
      </c>
      <c r="D39">
        <v>10</v>
      </c>
      <c r="I39">
        <v>10</v>
      </c>
      <c r="J39">
        <v>9</v>
      </c>
      <c r="K39">
        <f t="shared" si="2"/>
        <v>19</v>
      </c>
      <c r="L39" s="14">
        <v>18.8</v>
      </c>
      <c r="M39">
        <f t="shared" si="3"/>
        <v>0</v>
      </c>
    </row>
    <row r="40" spans="1:13" x14ac:dyDescent="0.35">
      <c r="A40" t="s">
        <v>199</v>
      </c>
      <c r="B40" t="s">
        <v>3</v>
      </c>
      <c r="C40" t="s">
        <v>157</v>
      </c>
      <c r="D40">
        <v>10</v>
      </c>
      <c r="H40">
        <v>10</v>
      </c>
      <c r="I40">
        <v>10</v>
      </c>
      <c r="J40">
        <v>9</v>
      </c>
      <c r="K40">
        <f t="shared" si="2"/>
        <v>29</v>
      </c>
      <c r="L40" s="14">
        <v>29.1</v>
      </c>
      <c r="M40">
        <f t="shared" si="3"/>
        <v>0</v>
      </c>
    </row>
    <row r="41" spans="1:13" x14ac:dyDescent="0.35">
      <c r="A41" t="s">
        <v>200</v>
      </c>
      <c r="B41" t="s">
        <v>3</v>
      </c>
      <c r="C41" t="s">
        <v>168</v>
      </c>
      <c r="D41">
        <v>12</v>
      </c>
      <c r="I41">
        <v>11</v>
      </c>
      <c r="J41">
        <v>10</v>
      </c>
      <c r="K41">
        <f t="shared" si="2"/>
        <v>21</v>
      </c>
      <c r="L41" s="14">
        <v>20.9</v>
      </c>
      <c r="M41">
        <f t="shared" si="3"/>
        <v>0</v>
      </c>
    </row>
    <row r="42" spans="1:13" x14ac:dyDescent="0.35">
      <c r="A42" t="s">
        <v>201</v>
      </c>
      <c r="B42" t="s">
        <v>3</v>
      </c>
      <c r="C42" t="s">
        <v>157</v>
      </c>
      <c r="D42">
        <v>12</v>
      </c>
      <c r="H42">
        <v>11</v>
      </c>
      <c r="I42">
        <v>11</v>
      </c>
      <c r="J42">
        <v>11</v>
      </c>
      <c r="K42">
        <f t="shared" si="2"/>
        <v>33</v>
      </c>
      <c r="L42" s="14">
        <v>33.200000000000003</v>
      </c>
      <c r="M42">
        <f t="shared" si="3"/>
        <v>0</v>
      </c>
    </row>
    <row r="43" spans="1:13" x14ac:dyDescent="0.35">
      <c r="A43" t="s">
        <v>202</v>
      </c>
      <c r="B43" t="s">
        <v>3</v>
      </c>
      <c r="C43" t="s">
        <v>166</v>
      </c>
      <c r="D43">
        <v>8</v>
      </c>
      <c r="E43">
        <v>5</v>
      </c>
      <c r="H43">
        <v>5</v>
      </c>
      <c r="J43">
        <v>4</v>
      </c>
      <c r="K43">
        <f t="shared" si="2"/>
        <v>14</v>
      </c>
      <c r="L43" s="14">
        <v>13.5</v>
      </c>
      <c r="M43">
        <f t="shared" si="3"/>
        <v>0</v>
      </c>
    </row>
    <row r="44" spans="1:13" x14ac:dyDescent="0.35">
      <c r="A44" t="s">
        <v>203</v>
      </c>
      <c r="B44" t="s">
        <v>3</v>
      </c>
      <c r="C44" t="s">
        <v>163</v>
      </c>
      <c r="D44">
        <v>9</v>
      </c>
      <c r="E44">
        <v>6</v>
      </c>
      <c r="G44">
        <v>6</v>
      </c>
      <c r="I44">
        <v>6</v>
      </c>
      <c r="J44">
        <v>5</v>
      </c>
      <c r="K44">
        <f t="shared" si="2"/>
        <v>23</v>
      </c>
      <c r="L44" s="14">
        <v>22.9</v>
      </c>
      <c r="M44">
        <f t="shared" si="3"/>
        <v>0</v>
      </c>
    </row>
    <row r="45" spans="1:13" x14ac:dyDescent="0.35">
      <c r="A45" t="s">
        <v>204</v>
      </c>
      <c r="B45" t="s">
        <v>3</v>
      </c>
      <c r="C45" t="s">
        <v>166</v>
      </c>
      <c r="D45">
        <v>8</v>
      </c>
      <c r="E45">
        <v>5</v>
      </c>
      <c r="H45">
        <v>4</v>
      </c>
      <c r="J45">
        <v>4</v>
      </c>
      <c r="K45">
        <f t="shared" si="2"/>
        <v>13</v>
      </c>
      <c r="L45" s="14">
        <v>13</v>
      </c>
      <c r="M45">
        <f t="shared" si="3"/>
        <v>0</v>
      </c>
    </row>
    <row r="46" spans="1:13" x14ac:dyDescent="0.35">
      <c r="A46" t="s">
        <v>205</v>
      </c>
      <c r="B46" t="s">
        <v>3</v>
      </c>
      <c r="C46" t="s">
        <v>157</v>
      </c>
      <c r="D46">
        <v>14</v>
      </c>
      <c r="H46">
        <v>13</v>
      </c>
      <c r="I46">
        <v>12</v>
      </c>
      <c r="J46">
        <v>12</v>
      </c>
      <c r="K46">
        <f t="shared" si="2"/>
        <v>37</v>
      </c>
      <c r="L46" s="14">
        <v>37.1</v>
      </c>
      <c r="M46">
        <f t="shared" si="3"/>
        <v>0</v>
      </c>
    </row>
    <row r="47" spans="1:13" x14ac:dyDescent="0.35">
      <c r="A47" t="s">
        <v>206</v>
      </c>
      <c r="B47" t="s">
        <v>3</v>
      </c>
      <c r="C47" t="s">
        <v>157</v>
      </c>
      <c r="D47">
        <v>13</v>
      </c>
      <c r="H47">
        <v>12</v>
      </c>
      <c r="I47">
        <v>12</v>
      </c>
      <c r="J47">
        <v>11</v>
      </c>
      <c r="K47">
        <f t="shared" si="2"/>
        <v>35</v>
      </c>
      <c r="L47" s="14">
        <v>35.1</v>
      </c>
      <c r="M47">
        <f t="shared" si="3"/>
        <v>0</v>
      </c>
    </row>
    <row r="48" spans="1:13" x14ac:dyDescent="0.35">
      <c r="A48" t="s">
        <v>207</v>
      </c>
      <c r="B48" t="s">
        <v>3</v>
      </c>
      <c r="C48" t="s">
        <v>157</v>
      </c>
      <c r="D48">
        <v>13</v>
      </c>
      <c r="H48">
        <v>12</v>
      </c>
      <c r="I48">
        <v>12</v>
      </c>
      <c r="J48">
        <v>12</v>
      </c>
      <c r="K48">
        <f t="shared" si="2"/>
        <v>36</v>
      </c>
      <c r="L48" s="14">
        <v>35.5</v>
      </c>
      <c r="M48">
        <f t="shared" si="3"/>
        <v>0</v>
      </c>
    </row>
    <row r="49" spans="1:13" x14ac:dyDescent="0.35">
      <c r="A49" t="s">
        <v>208</v>
      </c>
      <c r="B49" t="s">
        <v>3</v>
      </c>
      <c r="C49" t="s">
        <v>163</v>
      </c>
      <c r="D49">
        <v>13</v>
      </c>
      <c r="E49">
        <v>9</v>
      </c>
      <c r="G49">
        <v>9</v>
      </c>
      <c r="I49">
        <v>8</v>
      </c>
      <c r="J49">
        <v>8</v>
      </c>
      <c r="K49">
        <f t="shared" si="2"/>
        <v>34</v>
      </c>
      <c r="L49" s="14">
        <v>34.299999999999997</v>
      </c>
      <c r="M49">
        <f t="shared" si="3"/>
        <v>0</v>
      </c>
    </row>
    <row r="50" spans="1:13" x14ac:dyDescent="0.35">
      <c r="A50" t="s">
        <v>209</v>
      </c>
      <c r="B50" t="s">
        <v>3</v>
      </c>
      <c r="C50" t="s">
        <v>163</v>
      </c>
      <c r="D50">
        <v>12</v>
      </c>
      <c r="E50">
        <v>8</v>
      </c>
      <c r="G50">
        <v>8</v>
      </c>
      <c r="I50">
        <v>8</v>
      </c>
      <c r="J50">
        <v>8</v>
      </c>
      <c r="K50">
        <f t="shared" si="2"/>
        <v>32</v>
      </c>
      <c r="L50" s="14">
        <v>32.4</v>
      </c>
      <c r="M50">
        <f t="shared" si="3"/>
        <v>0</v>
      </c>
    </row>
    <row r="51" spans="1:13" x14ac:dyDescent="0.35">
      <c r="A51" t="s">
        <v>210</v>
      </c>
      <c r="B51" t="s">
        <v>3</v>
      </c>
      <c r="C51" t="s">
        <v>168</v>
      </c>
      <c r="D51">
        <v>12</v>
      </c>
      <c r="I51">
        <v>11</v>
      </c>
      <c r="J51">
        <v>10</v>
      </c>
      <c r="K51">
        <f t="shared" si="2"/>
        <v>21</v>
      </c>
      <c r="L51" s="14">
        <v>20.7</v>
      </c>
      <c r="M51">
        <f t="shared" si="3"/>
        <v>0</v>
      </c>
    </row>
    <row r="52" spans="1:13" x14ac:dyDescent="0.35">
      <c r="A52" t="s">
        <v>211</v>
      </c>
      <c r="B52" t="s">
        <v>3</v>
      </c>
      <c r="C52" t="s">
        <v>161</v>
      </c>
      <c r="D52">
        <v>13</v>
      </c>
      <c r="G52">
        <v>8</v>
      </c>
      <c r="I52">
        <v>8</v>
      </c>
      <c r="J52">
        <v>7</v>
      </c>
      <c r="K52">
        <f t="shared" si="2"/>
        <v>23</v>
      </c>
      <c r="L52" s="14">
        <v>22.8</v>
      </c>
      <c r="M52">
        <f t="shared" si="3"/>
        <v>0</v>
      </c>
    </row>
    <row r="53" spans="1:13" x14ac:dyDescent="0.35">
      <c r="A53" t="s">
        <v>212</v>
      </c>
      <c r="B53" t="s">
        <v>3</v>
      </c>
      <c r="C53" t="s">
        <v>163</v>
      </c>
      <c r="D53">
        <v>12</v>
      </c>
      <c r="E53">
        <v>8</v>
      </c>
      <c r="G53">
        <v>8</v>
      </c>
      <c r="I53">
        <v>8</v>
      </c>
      <c r="J53">
        <v>8</v>
      </c>
      <c r="K53">
        <f t="shared" si="2"/>
        <v>32</v>
      </c>
      <c r="L53" s="14">
        <v>32</v>
      </c>
      <c r="M53">
        <f t="shared" si="3"/>
        <v>0</v>
      </c>
    </row>
    <row r="54" spans="1:13" x14ac:dyDescent="0.35">
      <c r="A54" t="s">
        <v>213</v>
      </c>
      <c r="B54" t="s">
        <v>3</v>
      </c>
      <c r="C54" t="s">
        <v>161</v>
      </c>
      <c r="D54">
        <v>10</v>
      </c>
      <c r="G54">
        <v>7</v>
      </c>
      <c r="I54">
        <v>6</v>
      </c>
      <c r="J54">
        <v>6</v>
      </c>
      <c r="K54">
        <f t="shared" si="2"/>
        <v>19</v>
      </c>
      <c r="L54" s="14">
        <v>18.600000000000001</v>
      </c>
      <c r="M54">
        <f t="shared" si="3"/>
        <v>0</v>
      </c>
    </row>
    <row r="55" spans="1:13" x14ac:dyDescent="0.35">
      <c r="A55" t="s">
        <v>214</v>
      </c>
      <c r="B55" t="s">
        <v>3</v>
      </c>
      <c r="C55" t="s">
        <v>157</v>
      </c>
      <c r="D55">
        <v>8</v>
      </c>
      <c r="H55">
        <v>8</v>
      </c>
      <c r="I55">
        <v>7</v>
      </c>
      <c r="J55">
        <v>7</v>
      </c>
      <c r="K55">
        <f t="shared" si="2"/>
        <v>22</v>
      </c>
      <c r="L55" s="14">
        <v>22.1</v>
      </c>
      <c r="M55">
        <f t="shared" si="3"/>
        <v>0</v>
      </c>
    </row>
    <row r="56" spans="1:13" x14ac:dyDescent="0.35">
      <c r="A56" t="s">
        <v>215</v>
      </c>
      <c r="B56" t="s">
        <v>3</v>
      </c>
      <c r="C56" t="s">
        <v>161</v>
      </c>
      <c r="D56">
        <v>9</v>
      </c>
      <c r="G56">
        <v>6</v>
      </c>
      <c r="I56">
        <v>5</v>
      </c>
      <c r="J56">
        <v>5</v>
      </c>
      <c r="K56">
        <f t="shared" si="2"/>
        <v>16</v>
      </c>
      <c r="L56" s="14">
        <v>15.9</v>
      </c>
      <c r="M56">
        <f t="shared" si="3"/>
        <v>0</v>
      </c>
    </row>
    <row r="57" spans="1:13" x14ac:dyDescent="0.35">
      <c r="A57" t="s">
        <v>216</v>
      </c>
      <c r="B57" t="s">
        <v>77</v>
      </c>
      <c r="C57" t="s">
        <v>157</v>
      </c>
      <c r="D57">
        <v>8</v>
      </c>
      <c r="F57">
        <v>5</v>
      </c>
      <c r="H57">
        <v>5</v>
      </c>
      <c r="I57">
        <v>5</v>
      </c>
      <c r="J57">
        <v>4</v>
      </c>
      <c r="K57">
        <f t="shared" si="2"/>
        <v>19</v>
      </c>
      <c r="L57" s="14">
        <v>19.399999999999999</v>
      </c>
      <c r="M57">
        <f t="shared" si="3"/>
        <v>0</v>
      </c>
    </row>
    <row r="58" spans="1:13" x14ac:dyDescent="0.35">
      <c r="A58" t="s">
        <v>217</v>
      </c>
      <c r="B58" t="s">
        <v>77</v>
      </c>
      <c r="C58" t="s">
        <v>157</v>
      </c>
      <c r="D58">
        <v>9</v>
      </c>
      <c r="F58">
        <v>6</v>
      </c>
      <c r="H58">
        <v>6</v>
      </c>
      <c r="I58">
        <v>5</v>
      </c>
      <c r="J58">
        <v>5</v>
      </c>
      <c r="K58">
        <f t="shared" si="2"/>
        <v>22</v>
      </c>
      <c r="L58" s="14">
        <v>22.1</v>
      </c>
      <c r="M58">
        <f t="shared" si="3"/>
        <v>0</v>
      </c>
    </row>
    <row r="59" spans="1:13" x14ac:dyDescent="0.35">
      <c r="A59" t="s">
        <v>218</v>
      </c>
      <c r="B59" t="s">
        <v>77</v>
      </c>
      <c r="C59" t="s">
        <v>168</v>
      </c>
      <c r="D59">
        <v>12</v>
      </c>
      <c r="F59">
        <v>8</v>
      </c>
      <c r="I59">
        <v>7</v>
      </c>
      <c r="J59">
        <v>7</v>
      </c>
      <c r="K59">
        <f t="shared" si="2"/>
        <v>22</v>
      </c>
      <c r="L59" s="14">
        <v>22.2</v>
      </c>
      <c r="M59">
        <f t="shared" si="3"/>
        <v>0</v>
      </c>
    </row>
    <row r="60" spans="1:13" x14ac:dyDescent="0.35">
      <c r="A60" t="s">
        <v>219</v>
      </c>
      <c r="B60" t="s">
        <v>77</v>
      </c>
      <c r="C60" t="s">
        <v>168</v>
      </c>
      <c r="D60">
        <v>8</v>
      </c>
      <c r="F60">
        <v>5</v>
      </c>
      <c r="I60">
        <v>4</v>
      </c>
      <c r="J60">
        <v>4</v>
      </c>
      <c r="K60">
        <f t="shared" si="2"/>
        <v>13</v>
      </c>
      <c r="L60" s="14">
        <v>12.7</v>
      </c>
      <c r="M60">
        <f t="shared" si="3"/>
        <v>0</v>
      </c>
    </row>
    <row r="61" spans="1:13" x14ac:dyDescent="0.35">
      <c r="A61" t="s">
        <v>220</v>
      </c>
      <c r="B61" t="s">
        <v>77</v>
      </c>
      <c r="C61" t="s">
        <v>157</v>
      </c>
      <c r="D61">
        <v>8</v>
      </c>
      <c r="F61">
        <v>5</v>
      </c>
      <c r="H61">
        <v>5</v>
      </c>
      <c r="I61">
        <v>5</v>
      </c>
      <c r="J61">
        <v>4</v>
      </c>
      <c r="K61">
        <f t="shared" si="2"/>
        <v>19</v>
      </c>
      <c r="L61" s="14">
        <v>19.2</v>
      </c>
      <c r="M61">
        <f t="shared" si="3"/>
        <v>0</v>
      </c>
    </row>
    <row r="62" spans="1:13" x14ac:dyDescent="0.35">
      <c r="A62" t="s">
        <v>221</v>
      </c>
      <c r="B62" t="s">
        <v>77</v>
      </c>
      <c r="C62" t="s">
        <v>163</v>
      </c>
      <c r="D62">
        <v>17</v>
      </c>
      <c r="E62">
        <v>12</v>
      </c>
      <c r="G62">
        <v>12</v>
      </c>
      <c r="I62">
        <v>11</v>
      </c>
      <c r="J62">
        <v>11</v>
      </c>
      <c r="K62">
        <f t="shared" si="2"/>
        <v>46</v>
      </c>
      <c r="L62" s="14">
        <v>46.2</v>
      </c>
      <c r="M62">
        <f t="shared" si="3"/>
        <v>0</v>
      </c>
    </row>
    <row r="63" spans="1:13" x14ac:dyDescent="0.35">
      <c r="A63" t="s">
        <v>222</v>
      </c>
      <c r="B63" t="s">
        <v>77</v>
      </c>
      <c r="C63" t="s">
        <v>157</v>
      </c>
      <c r="D63">
        <v>8</v>
      </c>
      <c r="F63">
        <v>6</v>
      </c>
      <c r="H63">
        <v>5</v>
      </c>
      <c r="I63">
        <v>5</v>
      </c>
      <c r="J63">
        <v>5</v>
      </c>
      <c r="K63">
        <f t="shared" si="2"/>
        <v>21</v>
      </c>
      <c r="L63" s="14">
        <v>21</v>
      </c>
      <c r="M63">
        <f t="shared" si="3"/>
        <v>0</v>
      </c>
    </row>
    <row r="64" spans="1:13" x14ac:dyDescent="0.35">
      <c r="A64" t="s">
        <v>223</v>
      </c>
      <c r="B64" t="s">
        <v>77</v>
      </c>
      <c r="C64" t="s">
        <v>163</v>
      </c>
      <c r="D64">
        <v>12</v>
      </c>
      <c r="E64">
        <v>8</v>
      </c>
      <c r="G64">
        <v>8</v>
      </c>
      <c r="I64">
        <v>7</v>
      </c>
      <c r="J64">
        <v>7</v>
      </c>
      <c r="K64">
        <f t="shared" si="2"/>
        <v>30</v>
      </c>
      <c r="L64" s="14">
        <v>30.3</v>
      </c>
      <c r="M64">
        <f t="shared" si="3"/>
        <v>0</v>
      </c>
    </row>
    <row r="65" spans="1:13" x14ac:dyDescent="0.35">
      <c r="A65" t="s">
        <v>224</v>
      </c>
      <c r="B65" t="s">
        <v>77</v>
      </c>
      <c r="C65" t="s">
        <v>166</v>
      </c>
      <c r="D65">
        <v>12</v>
      </c>
      <c r="E65">
        <v>8</v>
      </c>
      <c r="H65">
        <v>7</v>
      </c>
      <c r="J65">
        <v>7</v>
      </c>
      <c r="K65">
        <f t="shared" si="2"/>
        <v>22</v>
      </c>
      <c r="L65" s="14">
        <v>21.6</v>
      </c>
      <c r="M65">
        <f t="shared" si="3"/>
        <v>0</v>
      </c>
    </row>
    <row r="66" spans="1:13" x14ac:dyDescent="0.35">
      <c r="A66" t="s">
        <v>225</v>
      </c>
      <c r="B66" t="s">
        <v>77</v>
      </c>
      <c r="C66" t="s">
        <v>168</v>
      </c>
      <c r="D66">
        <v>9</v>
      </c>
      <c r="F66">
        <v>6</v>
      </c>
      <c r="I66">
        <v>6</v>
      </c>
      <c r="J66">
        <v>6</v>
      </c>
      <c r="K66">
        <f t="shared" si="2"/>
        <v>18</v>
      </c>
      <c r="L66" s="14">
        <v>17.899999999999999</v>
      </c>
      <c r="M66">
        <f t="shared" si="3"/>
        <v>0</v>
      </c>
    </row>
    <row r="67" spans="1:13" x14ac:dyDescent="0.35">
      <c r="A67" t="s">
        <v>226</v>
      </c>
      <c r="B67" t="s">
        <v>77</v>
      </c>
      <c r="C67" t="s">
        <v>163</v>
      </c>
      <c r="D67">
        <v>10</v>
      </c>
      <c r="E67">
        <v>8</v>
      </c>
      <c r="G67">
        <v>8</v>
      </c>
      <c r="I67">
        <v>7</v>
      </c>
      <c r="J67">
        <v>7</v>
      </c>
      <c r="K67">
        <f t="shared" si="2"/>
        <v>30</v>
      </c>
      <c r="L67" s="14">
        <v>30.1</v>
      </c>
      <c r="M67">
        <f t="shared" si="3"/>
        <v>0</v>
      </c>
    </row>
    <row r="68" spans="1:13" x14ac:dyDescent="0.35">
      <c r="A68" t="s">
        <v>227</v>
      </c>
      <c r="B68" t="s">
        <v>77</v>
      </c>
      <c r="C68" t="s">
        <v>166</v>
      </c>
      <c r="D68">
        <v>13</v>
      </c>
      <c r="E68">
        <v>8</v>
      </c>
      <c r="H68">
        <v>8</v>
      </c>
      <c r="J68">
        <v>7</v>
      </c>
      <c r="K68">
        <f t="shared" si="2"/>
        <v>23</v>
      </c>
      <c r="L68" s="14">
        <v>23.3</v>
      </c>
      <c r="M68">
        <f t="shared" si="3"/>
        <v>0</v>
      </c>
    </row>
    <row r="69" spans="1:13" x14ac:dyDescent="0.35">
      <c r="A69" t="s">
        <v>228</v>
      </c>
      <c r="B69" t="s">
        <v>77</v>
      </c>
      <c r="C69" t="s">
        <v>163</v>
      </c>
      <c r="D69">
        <v>13</v>
      </c>
      <c r="E69">
        <v>9</v>
      </c>
      <c r="G69">
        <v>9</v>
      </c>
      <c r="I69">
        <v>9</v>
      </c>
      <c r="J69">
        <v>9</v>
      </c>
      <c r="K69">
        <f t="shared" ref="K69:K100" si="4">SUM(E69:J69)</f>
        <v>36</v>
      </c>
      <c r="L69" s="14">
        <v>36</v>
      </c>
      <c r="M69">
        <f t="shared" ref="M69:M100" si="5">MAX(0,ROUND(L69,0)-K69)</f>
        <v>0</v>
      </c>
    </row>
    <row r="70" spans="1:13" x14ac:dyDescent="0.35">
      <c r="A70" t="s">
        <v>229</v>
      </c>
      <c r="B70" t="s">
        <v>77</v>
      </c>
      <c r="C70" t="s">
        <v>168</v>
      </c>
      <c r="D70">
        <v>7</v>
      </c>
      <c r="F70">
        <v>4</v>
      </c>
      <c r="I70">
        <v>4</v>
      </c>
      <c r="J70">
        <v>4</v>
      </c>
      <c r="K70">
        <f t="shared" si="4"/>
        <v>12</v>
      </c>
      <c r="L70" s="14">
        <v>11.9</v>
      </c>
      <c r="M70">
        <f t="shared" si="5"/>
        <v>0</v>
      </c>
    </row>
    <row r="71" spans="1:13" x14ac:dyDescent="0.35">
      <c r="A71" t="s">
        <v>230</v>
      </c>
      <c r="B71" t="s">
        <v>77</v>
      </c>
      <c r="C71" t="s">
        <v>166</v>
      </c>
      <c r="D71">
        <v>8</v>
      </c>
      <c r="E71">
        <v>5</v>
      </c>
      <c r="H71">
        <v>5</v>
      </c>
      <c r="J71">
        <v>4</v>
      </c>
      <c r="K71">
        <f t="shared" si="4"/>
        <v>14</v>
      </c>
      <c r="L71" s="14">
        <v>13.8</v>
      </c>
      <c r="M71">
        <f t="shared" si="5"/>
        <v>0</v>
      </c>
    </row>
    <row r="72" spans="1:13" x14ac:dyDescent="0.35">
      <c r="A72" t="s">
        <v>231</v>
      </c>
      <c r="B72" t="s">
        <v>80</v>
      </c>
      <c r="C72" t="s">
        <v>168</v>
      </c>
      <c r="D72">
        <v>13</v>
      </c>
      <c r="F72">
        <v>8</v>
      </c>
      <c r="I72">
        <v>8</v>
      </c>
      <c r="J72">
        <v>7</v>
      </c>
      <c r="K72">
        <f t="shared" si="4"/>
        <v>23</v>
      </c>
      <c r="L72" s="14">
        <v>23.3</v>
      </c>
      <c r="M72">
        <f t="shared" si="5"/>
        <v>0</v>
      </c>
    </row>
    <row r="73" spans="1:13" x14ac:dyDescent="0.35">
      <c r="A73" t="s">
        <v>232</v>
      </c>
      <c r="B73" t="s">
        <v>80</v>
      </c>
      <c r="C73" t="s">
        <v>163</v>
      </c>
      <c r="D73">
        <v>13</v>
      </c>
      <c r="E73">
        <v>9</v>
      </c>
      <c r="G73">
        <v>9</v>
      </c>
      <c r="I73">
        <v>9</v>
      </c>
      <c r="J73">
        <v>8</v>
      </c>
      <c r="K73">
        <f t="shared" si="4"/>
        <v>35</v>
      </c>
      <c r="L73" s="14">
        <v>35.4</v>
      </c>
      <c r="M73">
        <f t="shared" si="5"/>
        <v>0</v>
      </c>
    </row>
    <row r="74" spans="1:13" x14ac:dyDescent="0.35">
      <c r="A74" t="s">
        <v>233</v>
      </c>
      <c r="B74" t="s">
        <v>80</v>
      </c>
      <c r="C74" t="s">
        <v>166</v>
      </c>
      <c r="D74">
        <v>10</v>
      </c>
      <c r="E74">
        <v>6</v>
      </c>
      <c r="H74">
        <v>6</v>
      </c>
      <c r="J74">
        <v>6</v>
      </c>
      <c r="K74">
        <f t="shared" si="4"/>
        <v>18</v>
      </c>
      <c r="L74" s="14">
        <v>18.3</v>
      </c>
      <c r="M74">
        <f t="shared" si="5"/>
        <v>0</v>
      </c>
    </row>
    <row r="75" spans="1:13" x14ac:dyDescent="0.35">
      <c r="A75" t="s">
        <v>234</v>
      </c>
      <c r="B75" t="s">
        <v>80</v>
      </c>
      <c r="C75" t="s">
        <v>166</v>
      </c>
      <c r="D75">
        <v>7</v>
      </c>
      <c r="E75">
        <v>4</v>
      </c>
      <c r="H75">
        <v>4</v>
      </c>
      <c r="J75">
        <v>4</v>
      </c>
      <c r="K75">
        <f t="shared" si="4"/>
        <v>12</v>
      </c>
      <c r="L75" s="14">
        <v>12.3</v>
      </c>
      <c r="M75">
        <f t="shared" si="5"/>
        <v>0</v>
      </c>
    </row>
    <row r="76" spans="1:13" x14ac:dyDescent="0.35">
      <c r="A76" t="s">
        <v>235</v>
      </c>
      <c r="B76" t="s">
        <v>80</v>
      </c>
      <c r="C76" t="s">
        <v>157</v>
      </c>
      <c r="D76">
        <v>10</v>
      </c>
      <c r="F76">
        <v>7</v>
      </c>
      <c r="H76">
        <v>7</v>
      </c>
      <c r="I76">
        <v>7</v>
      </c>
      <c r="J76">
        <v>7</v>
      </c>
      <c r="K76">
        <f t="shared" si="4"/>
        <v>28</v>
      </c>
      <c r="L76" s="14">
        <v>27.7</v>
      </c>
      <c r="M76">
        <f t="shared" si="5"/>
        <v>0</v>
      </c>
    </row>
    <row r="77" spans="1:13" x14ac:dyDescent="0.35">
      <c r="A77" t="s">
        <v>236</v>
      </c>
      <c r="B77" t="s">
        <v>80</v>
      </c>
      <c r="C77" t="s">
        <v>163</v>
      </c>
      <c r="D77">
        <v>10</v>
      </c>
      <c r="E77">
        <v>8</v>
      </c>
      <c r="G77">
        <v>8</v>
      </c>
      <c r="I77">
        <v>8</v>
      </c>
      <c r="J77">
        <v>7</v>
      </c>
      <c r="K77">
        <f t="shared" si="4"/>
        <v>31</v>
      </c>
      <c r="L77" s="14">
        <v>30.5</v>
      </c>
      <c r="M77">
        <f t="shared" si="5"/>
        <v>0</v>
      </c>
    </row>
    <row r="78" spans="1:13" x14ac:dyDescent="0.35">
      <c r="A78" t="s">
        <v>237</v>
      </c>
      <c r="B78" t="s">
        <v>80</v>
      </c>
      <c r="C78" t="s">
        <v>157</v>
      </c>
      <c r="D78">
        <v>8</v>
      </c>
      <c r="F78">
        <v>6</v>
      </c>
      <c r="H78">
        <v>5</v>
      </c>
      <c r="I78">
        <v>5</v>
      </c>
      <c r="J78">
        <v>5</v>
      </c>
      <c r="K78">
        <f t="shared" si="4"/>
        <v>21</v>
      </c>
      <c r="L78" s="14">
        <v>20.9</v>
      </c>
      <c r="M78">
        <f t="shared" si="5"/>
        <v>0</v>
      </c>
    </row>
    <row r="79" spans="1:13" x14ac:dyDescent="0.35">
      <c r="A79" t="s">
        <v>238</v>
      </c>
      <c r="B79" t="s">
        <v>80</v>
      </c>
      <c r="C79" t="s">
        <v>161</v>
      </c>
      <c r="D79">
        <v>15</v>
      </c>
      <c r="G79">
        <v>10</v>
      </c>
      <c r="I79">
        <v>9</v>
      </c>
      <c r="J79">
        <v>9</v>
      </c>
      <c r="K79">
        <f t="shared" si="4"/>
        <v>28</v>
      </c>
      <c r="L79" s="14">
        <v>27.9</v>
      </c>
      <c r="M79">
        <f t="shared" si="5"/>
        <v>0</v>
      </c>
    </row>
    <row r="80" spans="1:13" x14ac:dyDescent="0.35">
      <c r="A80" t="s">
        <v>239</v>
      </c>
      <c r="B80" t="s">
        <v>80</v>
      </c>
      <c r="C80" t="s">
        <v>168</v>
      </c>
      <c r="D80">
        <v>8</v>
      </c>
      <c r="F80">
        <v>5</v>
      </c>
      <c r="I80">
        <v>5</v>
      </c>
      <c r="J80">
        <v>4</v>
      </c>
      <c r="K80">
        <f t="shared" si="4"/>
        <v>14</v>
      </c>
      <c r="L80" s="14">
        <v>14.1</v>
      </c>
      <c r="M80">
        <f t="shared" si="5"/>
        <v>0</v>
      </c>
    </row>
    <row r="81" spans="1:13" x14ac:dyDescent="0.35">
      <c r="A81" t="s">
        <v>240</v>
      </c>
      <c r="B81" t="s">
        <v>80</v>
      </c>
      <c r="C81" t="s">
        <v>168</v>
      </c>
      <c r="D81">
        <v>15</v>
      </c>
      <c r="F81">
        <v>11</v>
      </c>
      <c r="I81">
        <v>10</v>
      </c>
      <c r="J81">
        <v>10</v>
      </c>
      <c r="K81">
        <f t="shared" si="4"/>
        <v>31</v>
      </c>
      <c r="L81" s="14">
        <v>30.8</v>
      </c>
      <c r="M81">
        <f t="shared" si="5"/>
        <v>0</v>
      </c>
    </row>
    <row r="82" spans="1:13" x14ac:dyDescent="0.35">
      <c r="A82" t="s">
        <v>241</v>
      </c>
      <c r="B82" t="s">
        <v>80</v>
      </c>
      <c r="C82" t="s">
        <v>163</v>
      </c>
      <c r="D82">
        <v>8</v>
      </c>
      <c r="E82">
        <v>5</v>
      </c>
      <c r="G82">
        <v>5</v>
      </c>
      <c r="I82">
        <v>5</v>
      </c>
      <c r="J82">
        <v>5</v>
      </c>
      <c r="K82">
        <f t="shared" si="4"/>
        <v>20</v>
      </c>
      <c r="L82" s="14">
        <v>19.5</v>
      </c>
      <c r="M82">
        <f t="shared" si="5"/>
        <v>0</v>
      </c>
    </row>
    <row r="83" spans="1:13" x14ac:dyDescent="0.35">
      <c r="A83" t="s">
        <v>242</v>
      </c>
      <c r="B83" t="s">
        <v>80</v>
      </c>
      <c r="C83" t="s">
        <v>157</v>
      </c>
      <c r="D83">
        <v>15</v>
      </c>
      <c r="F83">
        <v>11</v>
      </c>
      <c r="H83">
        <v>11</v>
      </c>
      <c r="I83">
        <v>11</v>
      </c>
      <c r="J83">
        <v>11</v>
      </c>
      <c r="K83">
        <f t="shared" si="4"/>
        <v>44</v>
      </c>
      <c r="L83" s="14">
        <v>44.4</v>
      </c>
      <c r="M83">
        <f t="shared" si="5"/>
        <v>0</v>
      </c>
    </row>
    <row r="84" spans="1:13" x14ac:dyDescent="0.35">
      <c r="A84" t="s">
        <v>243</v>
      </c>
      <c r="B84" t="s">
        <v>80</v>
      </c>
      <c r="C84" t="s">
        <v>163</v>
      </c>
      <c r="D84">
        <v>13</v>
      </c>
      <c r="E84">
        <v>9</v>
      </c>
      <c r="G84">
        <v>9</v>
      </c>
      <c r="I84">
        <v>9</v>
      </c>
      <c r="J84">
        <v>8</v>
      </c>
      <c r="K84">
        <f t="shared" si="4"/>
        <v>35</v>
      </c>
      <c r="L84" s="14">
        <v>35.4</v>
      </c>
      <c r="M84">
        <f t="shared" si="5"/>
        <v>0</v>
      </c>
    </row>
    <row r="85" spans="1:13" x14ac:dyDescent="0.35">
      <c r="A85" t="s">
        <v>244</v>
      </c>
      <c r="B85" t="s">
        <v>80</v>
      </c>
      <c r="C85" t="s">
        <v>163</v>
      </c>
      <c r="D85">
        <v>9</v>
      </c>
      <c r="E85">
        <v>7</v>
      </c>
      <c r="G85">
        <v>6</v>
      </c>
      <c r="I85">
        <v>6</v>
      </c>
      <c r="J85">
        <v>6</v>
      </c>
      <c r="K85">
        <f t="shared" si="4"/>
        <v>25</v>
      </c>
      <c r="L85" s="14">
        <v>24.5</v>
      </c>
      <c r="M85">
        <f t="shared" si="5"/>
        <v>0</v>
      </c>
    </row>
    <row r="86" spans="1:13" x14ac:dyDescent="0.35">
      <c r="A86" t="s">
        <v>245</v>
      </c>
      <c r="B86" t="s">
        <v>80</v>
      </c>
      <c r="C86" t="s">
        <v>161</v>
      </c>
      <c r="D86">
        <v>12</v>
      </c>
      <c r="G86">
        <v>8</v>
      </c>
      <c r="I86">
        <v>8</v>
      </c>
      <c r="J86">
        <v>7</v>
      </c>
      <c r="K86">
        <f t="shared" si="4"/>
        <v>23</v>
      </c>
      <c r="L86" s="14">
        <v>23.4</v>
      </c>
      <c r="M86">
        <f t="shared" si="5"/>
        <v>0</v>
      </c>
    </row>
    <row r="87" spans="1:13" x14ac:dyDescent="0.35">
      <c r="A87" t="s">
        <v>246</v>
      </c>
      <c r="B87" t="s">
        <v>80</v>
      </c>
      <c r="C87" t="s">
        <v>161</v>
      </c>
      <c r="D87">
        <v>14</v>
      </c>
      <c r="G87">
        <v>8</v>
      </c>
      <c r="I87">
        <v>8</v>
      </c>
      <c r="J87">
        <v>8</v>
      </c>
      <c r="K87">
        <f t="shared" si="4"/>
        <v>24</v>
      </c>
      <c r="L87" s="14">
        <v>24.3</v>
      </c>
      <c r="M87">
        <f t="shared" si="5"/>
        <v>0</v>
      </c>
    </row>
    <row r="88" spans="1:13" x14ac:dyDescent="0.35">
      <c r="A88" t="s">
        <v>247</v>
      </c>
      <c r="B88" t="s">
        <v>80</v>
      </c>
      <c r="C88" t="s">
        <v>163</v>
      </c>
      <c r="D88">
        <v>15</v>
      </c>
      <c r="E88">
        <v>11</v>
      </c>
      <c r="G88">
        <v>11</v>
      </c>
      <c r="I88">
        <v>11</v>
      </c>
      <c r="J88">
        <v>10</v>
      </c>
      <c r="K88">
        <f t="shared" si="4"/>
        <v>43</v>
      </c>
      <c r="L88" s="14">
        <v>42.8</v>
      </c>
      <c r="M88">
        <f t="shared" si="5"/>
        <v>0</v>
      </c>
    </row>
    <row r="89" spans="1:13" x14ac:dyDescent="0.35">
      <c r="A89" t="s">
        <v>248</v>
      </c>
      <c r="B89" t="s">
        <v>82</v>
      </c>
      <c r="C89" t="s">
        <v>157</v>
      </c>
      <c r="D89">
        <v>13</v>
      </c>
      <c r="F89">
        <v>9</v>
      </c>
      <c r="H89">
        <v>9</v>
      </c>
      <c r="I89">
        <v>8</v>
      </c>
      <c r="J89">
        <v>8</v>
      </c>
      <c r="K89">
        <f t="shared" si="4"/>
        <v>34</v>
      </c>
      <c r="L89" s="14">
        <v>34</v>
      </c>
      <c r="M89">
        <f t="shared" si="5"/>
        <v>0</v>
      </c>
    </row>
    <row r="90" spans="1:13" x14ac:dyDescent="0.35">
      <c r="A90" t="s">
        <v>249</v>
      </c>
      <c r="B90" t="s">
        <v>82</v>
      </c>
      <c r="C90" t="s">
        <v>166</v>
      </c>
      <c r="D90">
        <v>9</v>
      </c>
      <c r="E90">
        <v>5</v>
      </c>
      <c r="H90">
        <v>5</v>
      </c>
      <c r="J90">
        <v>5</v>
      </c>
      <c r="K90">
        <f t="shared" si="4"/>
        <v>15</v>
      </c>
      <c r="L90" s="14">
        <v>15.1</v>
      </c>
      <c r="M90">
        <f t="shared" si="5"/>
        <v>0</v>
      </c>
    </row>
    <row r="91" spans="1:13" x14ac:dyDescent="0.35">
      <c r="A91" t="s">
        <v>250</v>
      </c>
      <c r="B91" t="s">
        <v>82</v>
      </c>
      <c r="C91" t="s">
        <v>168</v>
      </c>
      <c r="D91">
        <v>13</v>
      </c>
      <c r="F91">
        <v>8</v>
      </c>
      <c r="I91">
        <v>8</v>
      </c>
      <c r="J91">
        <v>8</v>
      </c>
      <c r="K91">
        <f t="shared" si="4"/>
        <v>24</v>
      </c>
      <c r="L91" s="14">
        <v>24</v>
      </c>
      <c r="M91">
        <f t="shared" si="5"/>
        <v>0</v>
      </c>
    </row>
    <row r="92" spans="1:13" x14ac:dyDescent="0.35">
      <c r="A92" t="s">
        <v>251</v>
      </c>
      <c r="B92" t="s">
        <v>82</v>
      </c>
      <c r="C92" t="s">
        <v>161</v>
      </c>
      <c r="D92">
        <v>9</v>
      </c>
      <c r="G92">
        <v>6</v>
      </c>
      <c r="I92">
        <v>6</v>
      </c>
      <c r="J92">
        <v>5</v>
      </c>
      <c r="K92">
        <f t="shared" si="4"/>
        <v>17</v>
      </c>
      <c r="L92" s="14">
        <v>16.8</v>
      </c>
      <c r="M92">
        <f t="shared" si="5"/>
        <v>0</v>
      </c>
    </row>
    <row r="93" spans="1:13" x14ac:dyDescent="0.35">
      <c r="A93" t="s">
        <v>252</v>
      </c>
      <c r="B93" t="s">
        <v>82</v>
      </c>
      <c r="C93" t="s">
        <v>166</v>
      </c>
      <c r="D93">
        <v>9</v>
      </c>
      <c r="E93">
        <v>5</v>
      </c>
      <c r="H93">
        <v>5</v>
      </c>
      <c r="J93">
        <v>5</v>
      </c>
      <c r="K93">
        <f t="shared" si="4"/>
        <v>15</v>
      </c>
      <c r="L93" s="14">
        <v>15.2</v>
      </c>
      <c r="M93">
        <f t="shared" si="5"/>
        <v>0</v>
      </c>
    </row>
    <row r="94" spans="1:13" x14ac:dyDescent="0.35">
      <c r="A94" t="s">
        <v>253</v>
      </c>
      <c r="B94" t="s">
        <v>82</v>
      </c>
      <c r="C94" t="s">
        <v>161</v>
      </c>
      <c r="D94">
        <v>14</v>
      </c>
      <c r="G94">
        <v>9</v>
      </c>
      <c r="I94">
        <v>8</v>
      </c>
      <c r="J94">
        <v>8</v>
      </c>
      <c r="K94">
        <f t="shared" si="4"/>
        <v>25</v>
      </c>
      <c r="L94" s="14">
        <v>25.4</v>
      </c>
      <c r="M94">
        <f t="shared" si="5"/>
        <v>0</v>
      </c>
    </row>
    <row r="95" spans="1:13" x14ac:dyDescent="0.35">
      <c r="A95" t="s">
        <v>254</v>
      </c>
      <c r="B95" t="s">
        <v>82</v>
      </c>
      <c r="C95" t="s">
        <v>161</v>
      </c>
      <c r="D95">
        <v>8</v>
      </c>
      <c r="G95">
        <v>5</v>
      </c>
      <c r="I95">
        <v>4</v>
      </c>
      <c r="J95">
        <v>4</v>
      </c>
      <c r="K95">
        <f t="shared" si="4"/>
        <v>13</v>
      </c>
      <c r="L95" s="14">
        <v>12.6</v>
      </c>
      <c r="M95">
        <f t="shared" si="5"/>
        <v>0</v>
      </c>
    </row>
    <row r="96" spans="1:13" x14ac:dyDescent="0.35">
      <c r="A96" t="s">
        <v>255</v>
      </c>
      <c r="B96" t="s">
        <v>82</v>
      </c>
      <c r="C96" t="s">
        <v>166</v>
      </c>
      <c r="D96">
        <v>9</v>
      </c>
      <c r="E96">
        <v>5</v>
      </c>
      <c r="H96">
        <v>5</v>
      </c>
      <c r="J96">
        <v>5</v>
      </c>
      <c r="K96">
        <f t="shared" si="4"/>
        <v>15</v>
      </c>
      <c r="L96" s="14">
        <v>15.4</v>
      </c>
      <c r="M96">
        <f t="shared" si="5"/>
        <v>0</v>
      </c>
    </row>
    <row r="97" spans="1:13" x14ac:dyDescent="0.35">
      <c r="A97" t="s">
        <v>256</v>
      </c>
      <c r="B97" t="s">
        <v>82</v>
      </c>
      <c r="C97" t="s">
        <v>161</v>
      </c>
      <c r="D97">
        <v>15</v>
      </c>
      <c r="G97">
        <v>9</v>
      </c>
      <c r="I97">
        <v>9</v>
      </c>
      <c r="J97">
        <v>9</v>
      </c>
      <c r="K97">
        <f t="shared" si="4"/>
        <v>27</v>
      </c>
      <c r="L97" s="14">
        <v>27.3</v>
      </c>
      <c r="M97">
        <f t="shared" si="5"/>
        <v>0</v>
      </c>
    </row>
    <row r="98" spans="1:13" x14ac:dyDescent="0.35">
      <c r="A98" t="s">
        <v>257</v>
      </c>
      <c r="B98" t="s">
        <v>82</v>
      </c>
      <c r="C98" t="s">
        <v>168</v>
      </c>
      <c r="D98">
        <v>14</v>
      </c>
      <c r="F98">
        <v>9</v>
      </c>
      <c r="I98">
        <v>8</v>
      </c>
      <c r="J98">
        <v>8</v>
      </c>
      <c r="K98">
        <f t="shared" si="4"/>
        <v>25</v>
      </c>
      <c r="L98" s="14">
        <v>24.6</v>
      </c>
      <c r="M98">
        <f t="shared" si="5"/>
        <v>0</v>
      </c>
    </row>
    <row r="99" spans="1:13" x14ac:dyDescent="0.35">
      <c r="A99" t="s">
        <v>258</v>
      </c>
      <c r="B99" t="s">
        <v>82</v>
      </c>
      <c r="C99" t="s">
        <v>157</v>
      </c>
      <c r="D99">
        <v>13</v>
      </c>
      <c r="F99">
        <v>9</v>
      </c>
      <c r="H99">
        <v>9</v>
      </c>
      <c r="I99">
        <v>9</v>
      </c>
      <c r="J99">
        <v>8</v>
      </c>
      <c r="K99">
        <f t="shared" si="4"/>
        <v>35</v>
      </c>
      <c r="L99" s="14">
        <v>35</v>
      </c>
      <c r="M99">
        <f t="shared" si="5"/>
        <v>0</v>
      </c>
    </row>
    <row r="100" spans="1:13" x14ac:dyDescent="0.35">
      <c r="A100" t="s">
        <v>259</v>
      </c>
      <c r="B100" t="s">
        <v>82</v>
      </c>
      <c r="C100" t="s">
        <v>166</v>
      </c>
      <c r="D100">
        <v>9</v>
      </c>
      <c r="E100">
        <v>9</v>
      </c>
      <c r="J100">
        <v>8</v>
      </c>
      <c r="K100">
        <f t="shared" si="4"/>
        <v>17</v>
      </c>
      <c r="L100" s="14">
        <v>16.600000000000001</v>
      </c>
      <c r="M100">
        <f t="shared" si="5"/>
        <v>0</v>
      </c>
    </row>
    <row r="101" spans="1:13" x14ac:dyDescent="0.35">
      <c r="A101" t="s">
        <v>260</v>
      </c>
      <c r="B101" t="s">
        <v>82</v>
      </c>
      <c r="C101" t="s">
        <v>157</v>
      </c>
      <c r="D101">
        <v>7</v>
      </c>
      <c r="F101">
        <v>5</v>
      </c>
      <c r="H101">
        <v>4</v>
      </c>
      <c r="I101">
        <v>4</v>
      </c>
      <c r="J101">
        <v>4</v>
      </c>
      <c r="K101">
        <f t="shared" ref="K101:K132" si="6">SUM(E101:J101)</f>
        <v>17</v>
      </c>
      <c r="L101" s="14">
        <v>16.7</v>
      </c>
      <c r="M101">
        <f t="shared" ref="M101:M132" si="7">MAX(0,ROUND(L101,0)-K101)</f>
        <v>0</v>
      </c>
    </row>
    <row r="102" spans="1:13" x14ac:dyDescent="0.35">
      <c r="A102" t="s">
        <v>261</v>
      </c>
      <c r="B102" t="s">
        <v>82</v>
      </c>
      <c r="C102" t="s">
        <v>168</v>
      </c>
      <c r="D102">
        <v>13</v>
      </c>
      <c r="F102">
        <v>8</v>
      </c>
      <c r="I102">
        <v>8</v>
      </c>
      <c r="J102">
        <v>8</v>
      </c>
      <c r="K102">
        <f t="shared" si="6"/>
        <v>24</v>
      </c>
      <c r="L102" s="14">
        <v>24.4</v>
      </c>
      <c r="M102">
        <f t="shared" si="7"/>
        <v>0</v>
      </c>
    </row>
    <row r="103" spans="1:13" x14ac:dyDescent="0.35">
      <c r="A103" t="s">
        <v>262</v>
      </c>
      <c r="B103" t="s">
        <v>82</v>
      </c>
      <c r="C103" t="s">
        <v>157</v>
      </c>
      <c r="D103">
        <v>13</v>
      </c>
      <c r="F103">
        <v>9</v>
      </c>
      <c r="H103">
        <v>8</v>
      </c>
      <c r="I103">
        <v>8</v>
      </c>
      <c r="J103">
        <v>8</v>
      </c>
      <c r="K103">
        <f t="shared" si="6"/>
        <v>33</v>
      </c>
      <c r="L103" s="14">
        <v>33.200000000000003</v>
      </c>
      <c r="M103">
        <f t="shared" si="7"/>
        <v>0</v>
      </c>
    </row>
    <row r="104" spans="1:13" x14ac:dyDescent="0.35">
      <c r="A104" t="s">
        <v>263</v>
      </c>
      <c r="B104" t="s">
        <v>82</v>
      </c>
      <c r="C104" t="s">
        <v>166</v>
      </c>
      <c r="D104">
        <v>8</v>
      </c>
      <c r="E104">
        <v>5</v>
      </c>
      <c r="H104">
        <v>5</v>
      </c>
      <c r="J104">
        <v>5</v>
      </c>
      <c r="K104">
        <f t="shared" si="6"/>
        <v>15</v>
      </c>
      <c r="L104" s="14">
        <v>14.6</v>
      </c>
      <c r="M104">
        <f t="shared" si="7"/>
        <v>0</v>
      </c>
    </row>
    <row r="105" spans="1:13" x14ac:dyDescent="0.35">
      <c r="A105" t="s">
        <v>264</v>
      </c>
      <c r="B105" t="s">
        <v>82</v>
      </c>
      <c r="C105" t="s">
        <v>163</v>
      </c>
      <c r="D105">
        <v>13</v>
      </c>
      <c r="E105">
        <v>10</v>
      </c>
      <c r="G105">
        <v>9</v>
      </c>
      <c r="I105">
        <v>9</v>
      </c>
      <c r="J105">
        <v>9</v>
      </c>
      <c r="K105">
        <f t="shared" si="6"/>
        <v>37</v>
      </c>
      <c r="L105" s="14">
        <v>36.9</v>
      </c>
      <c r="M105">
        <f t="shared" si="7"/>
        <v>0</v>
      </c>
    </row>
    <row r="106" spans="1:13" x14ac:dyDescent="0.35">
      <c r="A106" t="s">
        <v>265</v>
      </c>
      <c r="B106" t="s">
        <v>82</v>
      </c>
      <c r="C106" t="s">
        <v>166</v>
      </c>
      <c r="D106">
        <v>14</v>
      </c>
      <c r="E106">
        <v>9</v>
      </c>
      <c r="H106">
        <v>8</v>
      </c>
      <c r="J106">
        <v>8</v>
      </c>
      <c r="K106">
        <f t="shared" si="6"/>
        <v>25</v>
      </c>
      <c r="L106" s="14">
        <v>25.2</v>
      </c>
      <c r="M106">
        <f t="shared" si="7"/>
        <v>0</v>
      </c>
    </row>
    <row r="107" spans="1:13" x14ac:dyDescent="0.35">
      <c r="A107" t="s">
        <v>266</v>
      </c>
      <c r="B107" t="s">
        <v>85</v>
      </c>
      <c r="C107" t="s">
        <v>161</v>
      </c>
      <c r="D107">
        <v>9</v>
      </c>
      <c r="G107">
        <v>6</v>
      </c>
      <c r="I107">
        <v>6</v>
      </c>
      <c r="J107">
        <v>5</v>
      </c>
      <c r="K107">
        <f t="shared" si="6"/>
        <v>17</v>
      </c>
      <c r="L107" s="14">
        <v>17.2</v>
      </c>
      <c r="M107">
        <f t="shared" si="7"/>
        <v>0</v>
      </c>
    </row>
    <row r="108" spans="1:13" x14ac:dyDescent="0.35">
      <c r="A108" t="s">
        <v>267</v>
      </c>
      <c r="B108" t="s">
        <v>85</v>
      </c>
      <c r="C108" t="s">
        <v>168</v>
      </c>
      <c r="D108">
        <v>7</v>
      </c>
      <c r="F108">
        <v>4</v>
      </c>
      <c r="I108">
        <v>4</v>
      </c>
      <c r="J108">
        <v>3</v>
      </c>
      <c r="K108">
        <f t="shared" si="6"/>
        <v>11</v>
      </c>
      <c r="L108" s="14">
        <v>10.7</v>
      </c>
      <c r="M108">
        <f t="shared" si="7"/>
        <v>0</v>
      </c>
    </row>
    <row r="109" spans="1:13" x14ac:dyDescent="0.35">
      <c r="A109" t="s">
        <v>268</v>
      </c>
      <c r="B109" t="s">
        <v>85</v>
      </c>
      <c r="C109" t="s">
        <v>163</v>
      </c>
      <c r="D109">
        <v>12</v>
      </c>
      <c r="E109">
        <v>9</v>
      </c>
      <c r="G109">
        <v>9</v>
      </c>
      <c r="I109">
        <v>8</v>
      </c>
      <c r="J109">
        <v>8</v>
      </c>
      <c r="K109">
        <f t="shared" si="6"/>
        <v>34</v>
      </c>
      <c r="L109" s="14">
        <v>33.799999999999997</v>
      </c>
      <c r="M109">
        <f t="shared" si="7"/>
        <v>0</v>
      </c>
    </row>
    <row r="110" spans="1:13" x14ac:dyDescent="0.35">
      <c r="A110" t="s">
        <v>269</v>
      </c>
      <c r="B110" t="s">
        <v>85</v>
      </c>
      <c r="C110" t="s">
        <v>157</v>
      </c>
      <c r="D110">
        <v>13</v>
      </c>
      <c r="F110">
        <v>9</v>
      </c>
      <c r="H110">
        <v>9</v>
      </c>
      <c r="I110">
        <v>8</v>
      </c>
      <c r="J110">
        <v>8</v>
      </c>
      <c r="K110">
        <f t="shared" si="6"/>
        <v>34</v>
      </c>
      <c r="L110" s="14">
        <v>34.299999999999997</v>
      </c>
      <c r="M110">
        <f t="shared" si="7"/>
        <v>0</v>
      </c>
    </row>
    <row r="111" spans="1:13" x14ac:dyDescent="0.35">
      <c r="A111" t="s">
        <v>270</v>
      </c>
      <c r="B111" t="s">
        <v>85</v>
      </c>
      <c r="C111" t="s">
        <v>166</v>
      </c>
      <c r="D111">
        <v>15</v>
      </c>
      <c r="E111">
        <v>10</v>
      </c>
      <c r="H111">
        <v>9</v>
      </c>
      <c r="J111">
        <v>9</v>
      </c>
      <c r="K111">
        <f t="shared" si="6"/>
        <v>28</v>
      </c>
      <c r="L111" s="14">
        <v>28.4</v>
      </c>
      <c r="M111">
        <f t="shared" si="7"/>
        <v>0</v>
      </c>
    </row>
    <row r="112" spans="1:13" x14ac:dyDescent="0.35">
      <c r="A112" t="s">
        <v>271</v>
      </c>
      <c r="B112" t="s">
        <v>85</v>
      </c>
      <c r="C112" t="s">
        <v>157</v>
      </c>
      <c r="D112">
        <v>8</v>
      </c>
      <c r="F112">
        <v>6</v>
      </c>
      <c r="H112">
        <v>5</v>
      </c>
      <c r="I112">
        <v>5</v>
      </c>
      <c r="J112">
        <v>5</v>
      </c>
      <c r="K112">
        <f t="shared" si="6"/>
        <v>21</v>
      </c>
      <c r="L112" s="14">
        <v>20.8</v>
      </c>
      <c r="M112">
        <f t="shared" si="7"/>
        <v>0</v>
      </c>
    </row>
    <row r="113" spans="1:13" x14ac:dyDescent="0.35">
      <c r="A113" t="s">
        <v>272</v>
      </c>
      <c r="B113" t="s">
        <v>85</v>
      </c>
      <c r="C113" t="s">
        <v>157</v>
      </c>
      <c r="D113">
        <v>10</v>
      </c>
      <c r="F113">
        <v>8</v>
      </c>
      <c r="H113">
        <v>7</v>
      </c>
      <c r="I113">
        <v>7</v>
      </c>
      <c r="J113">
        <v>7</v>
      </c>
      <c r="K113">
        <f t="shared" si="6"/>
        <v>29</v>
      </c>
      <c r="L113" s="14">
        <v>28.7</v>
      </c>
      <c r="M113">
        <f t="shared" si="7"/>
        <v>0</v>
      </c>
    </row>
    <row r="114" spans="1:13" x14ac:dyDescent="0.35">
      <c r="A114" t="s">
        <v>273</v>
      </c>
      <c r="B114" t="s">
        <v>85</v>
      </c>
      <c r="C114" t="s">
        <v>166</v>
      </c>
      <c r="D114">
        <v>8</v>
      </c>
      <c r="E114">
        <v>5</v>
      </c>
      <c r="H114">
        <v>5</v>
      </c>
      <c r="J114">
        <v>4</v>
      </c>
      <c r="K114">
        <f t="shared" si="6"/>
        <v>14</v>
      </c>
      <c r="L114" s="14">
        <v>14.3</v>
      </c>
      <c r="M114">
        <f t="shared" si="7"/>
        <v>0</v>
      </c>
    </row>
    <row r="115" spans="1:13" x14ac:dyDescent="0.35">
      <c r="A115" t="s">
        <v>274</v>
      </c>
      <c r="B115" t="s">
        <v>85</v>
      </c>
      <c r="C115" t="s">
        <v>161</v>
      </c>
      <c r="D115">
        <v>8</v>
      </c>
      <c r="G115">
        <v>5</v>
      </c>
      <c r="I115">
        <v>4</v>
      </c>
      <c r="J115">
        <v>4</v>
      </c>
      <c r="K115">
        <f t="shared" si="6"/>
        <v>13</v>
      </c>
      <c r="L115" s="14">
        <v>13.4</v>
      </c>
      <c r="M115">
        <f t="shared" si="7"/>
        <v>0</v>
      </c>
    </row>
    <row r="116" spans="1:13" x14ac:dyDescent="0.35">
      <c r="A116" t="s">
        <v>275</v>
      </c>
      <c r="B116" t="s">
        <v>85</v>
      </c>
      <c r="C116" t="s">
        <v>166</v>
      </c>
      <c r="D116">
        <v>13</v>
      </c>
      <c r="E116">
        <v>9</v>
      </c>
      <c r="H116">
        <v>9</v>
      </c>
      <c r="J116">
        <v>8</v>
      </c>
      <c r="K116">
        <f t="shared" si="6"/>
        <v>26</v>
      </c>
      <c r="L116" s="14">
        <v>26.2</v>
      </c>
      <c r="M116">
        <f t="shared" si="7"/>
        <v>0</v>
      </c>
    </row>
    <row r="117" spans="1:13" x14ac:dyDescent="0.35">
      <c r="A117" t="s">
        <v>276</v>
      </c>
      <c r="B117" t="s">
        <v>85</v>
      </c>
      <c r="C117" t="s">
        <v>168</v>
      </c>
      <c r="D117">
        <v>10</v>
      </c>
      <c r="F117">
        <v>6</v>
      </c>
      <c r="I117">
        <v>6</v>
      </c>
      <c r="J117">
        <v>6</v>
      </c>
      <c r="K117">
        <f t="shared" si="6"/>
        <v>18</v>
      </c>
      <c r="L117" s="14">
        <v>17.7</v>
      </c>
      <c r="M117">
        <f t="shared" si="7"/>
        <v>0</v>
      </c>
    </row>
    <row r="118" spans="1:13" x14ac:dyDescent="0.35">
      <c r="A118" t="s">
        <v>277</v>
      </c>
      <c r="B118" t="s">
        <v>85</v>
      </c>
      <c r="C118" t="s">
        <v>166</v>
      </c>
      <c r="D118">
        <v>12</v>
      </c>
      <c r="E118">
        <v>8</v>
      </c>
      <c r="H118">
        <v>7</v>
      </c>
      <c r="J118">
        <v>7</v>
      </c>
      <c r="K118">
        <f t="shared" si="6"/>
        <v>22</v>
      </c>
      <c r="L118" s="14">
        <v>21.7</v>
      </c>
      <c r="M118">
        <f t="shared" si="7"/>
        <v>0</v>
      </c>
    </row>
    <row r="119" spans="1:13" x14ac:dyDescent="0.35">
      <c r="A119" t="s">
        <v>278</v>
      </c>
      <c r="B119" t="s">
        <v>85</v>
      </c>
      <c r="C119" t="s">
        <v>166</v>
      </c>
      <c r="D119">
        <v>13</v>
      </c>
      <c r="E119">
        <v>9</v>
      </c>
      <c r="H119">
        <v>9</v>
      </c>
      <c r="J119">
        <v>8</v>
      </c>
      <c r="K119">
        <f t="shared" si="6"/>
        <v>26</v>
      </c>
      <c r="L119" s="14">
        <v>25.7</v>
      </c>
      <c r="M119">
        <f t="shared" si="7"/>
        <v>0</v>
      </c>
    </row>
    <row r="120" spans="1:13" x14ac:dyDescent="0.35">
      <c r="A120" t="s">
        <v>279</v>
      </c>
      <c r="B120" t="s">
        <v>85</v>
      </c>
      <c r="C120" t="s">
        <v>166</v>
      </c>
      <c r="D120">
        <v>9</v>
      </c>
      <c r="E120">
        <v>6</v>
      </c>
      <c r="H120">
        <v>6</v>
      </c>
      <c r="J120">
        <v>5</v>
      </c>
      <c r="K120">
        <f t="shared" si="6"/>
        <v>17</v>
      </c>
      <c r="L120" s="14">
        <v>17.3</v>
      </c>
      <c r="M120">
        <f t="shared" si="7"/>
        <v>0</v>
      </c>
    </row>
    <row r="121" spans="1:13" x14ac:dyDescent="0.35">
      <c r="A121" t="s">
        <v>280</v>
      </c>
      <c r="B121" t="s">
        <v>85</v>
      </c>
      <c r="C121" t="s">
        <v>166</v>
      </c>
      <c r="D121">
        <v>13</v>
      </c>
      <c r="E121">
        <v>8</v>
      </c>
      <c r="H121">
        <v>8</v>
      </c>
      <c r="J121">
        <v>7</v>
      </c>
      <c r="K121">
        <f t="shared" si="6"/>
        <v>23</v>
      </c>
      <c r="L121" s="14">
        <v>23</v>
      </c>
      <c r="M121">
        <f t="shared" si="7"/>
        <v>0</v>
      </c>
    </row>
    <row r="122" spans="1:13" x14ac:dyDescent="0.35">
      <c r="A122" t="s">
        <v>281</v>
      </c>
      <c r="B122" t="s">
        <v>85</v>
      </c>
      <c r="C122" t="s">
        <v>163</v>
      </c>
      <c r="D122">
        <v>8</v>
      </c>
      <c r="E122">
        <v>5</v>
      </c>
      <c r="G122">
        <v>5</v>
      </c>
      <c r="I122">
        <v>5</v>
      </c>
      <c r="J122">
        <v>4</v>
      </c>
      <c r="K122">
        <f t="shared" si="6"/>
        <v>19</v>
      </c>
      <c r="L122" s="14">
        <v>18.8</v>
      </c>
      <c r="M122">
        <f t="shared" si="7"/>
        <v>0</v>
      </c>
    </row>
    <row r="123" spans="1:13" x14ac:dyDescent="0.35">
      <c r="A123" t="s">
        <v>282</v>
      </c>
      <c r="B123" t="s">
        <v>87</v>
      </c>
      <c r="C123" t="s">
        <v>188</v>
      </c>
      <c r="D123">
        <v>6</v>
      </c>
      <c r="F123">
        <v>6</v>
      </c>
      <c r="I123">
        <v>6</v>
      </c>
      <c r="K123">
        <f t="shared" si="6"/>
        <v>12</v>
      </c>
      <c r="L123" s="14">
        <v>12.2</v>
      </c>
      <c r="M123">
        <f t="shared" si="7"/>
        <v>0</v>
      </c>
    </row>
    <row r="124" spans="1:13" x14ac:dyDescent="0.35">
      <c r="A124" t="s">
        <v>283</v>
      </c>
      <c r="B124" t="s">
        <v>87</v>
      </c>
      <c r="C124" t="s">
        <v>168</v>
      </c>
      <c r="D124">
        <v>12</v>
      </c>
      <c r="F124">
        <v>8</v>
      </c>
      <c r="I124">
        <v>8</v>
      </c>
      <c r="J124">
        <v>7</v>
      </c>
      <c r="K124">
        <f t="shared" si="6"/>
        <v>23</v>
      </c>
      <c r="L124" s="14">
        <v>23.1</v>
      </c>
      <c r="M124">
        <f t="shared" si="7"/>
        <v>0</v>
      </c>
    </row>
    <row r="125" spans="1:13" x14ac:dyDescent="0.35">
      <c r="A125" t="s">
        <v>284</v>
      </c>
      <c r="B125" t="s">
        <v>87</v>
      </c>
      <c r="C125" t="s">
        <v>166</v>
      </c>
      <c r="D125">
        <v>10</v>
      </c>
      <c r="E125">
        <v>7</v>
      </c>
      <c r="H125">
        <v>7</v>
      </c>
      <c r="J125">
        <v>6</v>
      </c>
      <c r="K125">
        <f t="shared" si="6"/>
        <v>20</v>
      </c>
      <c r="L125" s="14">
        <v>19.8</v>
      </c>
      <c r="M125">
        <f t="shared" si="7"/>
        <v>0</v>
      </c>
    </row>
    <row r="126" spans="1:13" x14ac:dyDescent="0.35">
      <c r="A126" t="s">
        <v>285</v>
      </c>
      <c r="B126" t="s">
        <v>87</v>
      </c>
      <c r="C126" t="s">
        <v>166</v>
      </c>
      <c r="D126">
        <v>15</v>
      </c>
      <c r="E126">
        <v>10</v>
      </c>
      <c r="H126">
        <v>10</v>
      </c>
      <c r="J126">
        <v>9</v>
      </c>
      <c r="K126">
        <f t="shared" si="6"/>
        <v>29</v>
      </c>
      <c r="L126" s="14">
        <v>28.6</v>
      </c>
      <c r="M126">
        <f t="shared" si="7"/>
        <v>0</v>
      </c>
    </row>
    <row r="127" spans="1:13" x14ac:dyDescent="0.35">
      <c r="A127" t="s">
        <v>286</v>
      </c>
      <c r="B127" t="s">
        <v>87</v>
      </c>
      <c r="C127" t="s">
        <v>161</v>
      </c>
      <c r="D127">
        <v>12</v>
      </c>
      <c r="G127">
        <v>7</v>
      </c>
      <c r="I127">
        <v>7</v>
      </c>
      <c r="J127">
        <v>7</v>
      </c>
      <c r="K127">
        <f t="shared" si="6"/>
        <v>21</v>
      </c>
      <c r="L127" s="14">
        <v>20.5</v>
      </c>
      <c r="M127">
        <f t="shared" si="7"/>
        <v>0</v>
      </c>
    </row>
    <row r="128" spans="1:13" x14ac:dyDescent="0.35">
      <c r="A128" t="s">
        <v>287</v>
      </c>
      <c r="B128" t="s">
        <v>87</v>
      </c>
      <c r="C128" t="s">
        <v>157</v>
      </c>
      <c r="D128">
        <v>9</v>
      </c>
      <c r="F128">
        <v>7</v>
      </c>
      <c r="H128">
        <v>7</v>
      </c>
      <c r="I128">
        <v>7</v>
      </c>
      <c r="J128">
        <v>6</v>
      </c>
      <c r="K128">
        <f t="shared" si="6"/>
        <v>27</v>
      </c>
      <c r="L128" s="14">
        <v>26.5</v>
      </c>
      <c r="M128">
        <f t="shared" si="7"/>
        <v>0</v>
      </c>
    </row>
    <row r="129" spans="1:13" x14ac:dyDescent="0.35">
      <c r="A129" t="s">
        <v>288</v>
      </c>
      <c r="B129" t="s">
        <v>87</v>
      </c>
      <c r="C129" t="s">
        <v>161</v>
      </c>
      <c r="D129">
        <v>9</v>
      </c>
      <c r="G129">
        <v>6</v>
      </c>
      <c r="I129">
        <v>6</v>
      </c>
      <c r="J129">
        <v>5</v>
      </c>
      <c r="K129">
        <f t="shared" si="6"/>
        <v>17</v>
      </c>
      <c r="L129" s="14">
        <v>16.7</v>
      </c>
      <c r="M129">
        <f t="shared" si="7"/>
        <v>0</v>
      </c>
    </row>
    <row r="130" spans="1:13" x14ac:dyDescent="0.35">
      <c r="A130" t="s">
        <v>289</v>
      </c>
      <c r="B130" t="s">
        <v>87</v>
      </c>
      <c r="C130" t="s">
        <v>163</v>
      </c>
      <c r="D130">
        <v>7</v>
      </c>
      <c r="E130">
        <v>5</v>
      </c>
      <c r="G130">
        <v>5</v>
      </c>
      <c r="I130">
        <v>4</v>
      </c>
      <c r="J130">
        <v>4</v>
      </c>
      <c r="K130">
        <f t="shared" si="6"/>
        <v>18</v>
      </c>
      <c r="L130" s="14">
        <v>18.100000000000001</v>
      </c>
      <c r="M130">
        <f t="shared" si="7"/>
        <v>0</v>
      </c>
    </row>
    <row r="131" spans="1:13" x14ac:dyDescent="0.35">
      <c r="A131" t="s">
        <v>290</v>
      </c>
      <c r="B131" t="s">
        <v>87</v>
      </c>
      <c r="C131" t="s">
        <v>161</v>
      </c>
      <c r="D131">
        <v>14</v>
      </c>
      <c r="G131">
        <v>9</v>
      </c>
      <c r="I131">
        <v>9</v>
      </c>
      <c r="J131">
        <v>9</v>
      </c>
      <c r="K131">
        <f t="shared" si="6"/>
        <v>27</v>
      </c>
      <c r="L131" s="14">
        <v>27.3</v>
      </c>
      <c r="M131">
        <f t="shared" si="7"/>
        <v>0</v>
      </c>
    </row>
    <row r="132" spans="1:13" x14ac:dyDescent="0.35">
      <c r="A132" t="s">
        <v>291</v>
      </c>
      <c r="B132" t="s">
        <v>87</v>
      </c>
      <c r="C132" t="s">
        <v>168</v>
      </c>
      <c r="D132">
        <v>12</v>
      </c>
      <c r="F132">
        <v>7</v>
      </c>
      <c r="I132">
        <v>7</v>
      </c>
      <c r="J132">
        <v>7</v>
      </c>
      <c r="K132">
        <f t="shared" si="6"/>
        <v>21</v>
      </c>
      <c r="L132" s="14">
        <v>21.1</v>
      </c>
      <c r="M132">
        <f t="shared" si="7"/>
        <v>0</v>
      </c>
    </row>
    <row r="133" spans="1:13" x14ac:dyDescent="0.35">
      <c r="A133" t="s">
        <v>292</v>
      </c>
      <c r="B133" t="s">
        <v>87</v>
      </c>
      <c r="C133" t="s">
        <v>161</v>
      </c>
      <c r="D133">
        <v>10</v>
      </c>
      <c r="G133">
        <v>6</v>
      </c>
      <c r="I133">
        <v>6</v>
      </c>
      <c r="J133">
        <v>6</v>
      </c>
      <c r="K133">
        <f t="shared" ref="K133:K164" si="8">SUM(E133:J133)</f>
        <v>18</v>
      </c>
      <c r="L133" s="14">
        <v>17.7</v>
      </c>
      <c r="M133">
        <f t="shared" ref="M133:M164" si="9">MAX(0,ROUND(L133,0)-K133)</f>
        <v>0</v>
      </c>
    </row>
    <row r="134" spans="1:13" x14ac:dyDescent="0.35">
      <c r="A134" t="s">
        <v>293</v>
      </c>
      <c r="B134" t="s">
        <v>87</v>
      </c>
      <c r="C134" t="s">
        <v>161</v>
      </c>
      <c r="D134">
        <v>9</v>
      </c>
      <c r="G134">
        <v>6</v>
      </c>
      <c r="I134">
        <v>5</v>
      </c>
      <c r="J134">
        <v>5</v>
      </c>
      <c r="K134">
        <f t="shared" si="8"/>
        <v>16</v>
      </c>
      <c r="L134" s="14">
        <v>16.399999999999999</v>
      </c>
      <c r="M134">
        <f t="shared" si="9"/>
        <v>0</v>
      </c>
    </row>
    <row r="135" spans="1:13" x14ac:dyDescent="0.35">
      <c r="A135" t="s">
        <v>294</v>
      </c>
      <c r="B135" t="s">
        <v>87</v>
      </c>
      <c r="C135" t="s">
        <v>168</v>
      </c>
      <c r="D135">
        <v>9</v>
      </c>
      <c r="F135">
        <v>6</v>
      </c>
      <c r="I135">
        <v>5</v>
      </c>
      <c r="J135">
        <v>5</v>
      </c>
      <c r="K135">
        <f t="shared" si="8"/>
        <v>16</v>
      </c>
      <c r="L135" s="14">
        <v>16.2</v>
      </c>
      <c r="M135">
        <f t="shared" si="9"/>
        <v>0</v>
      </c>
    </row>
    <row r="136" spans="1:13" x14ac:dyDescent="0.35">
      <c r="A136" t="s">
        <v>295</v>
      </c>
      <c r="B136" t="s">
        <v>87</v>
      </c>
      <c r="C136" t="s">
        <v>168</v>
      </c>
      <c r="D136">
        <v>10</v>
      </c>
      <c r="F136">
        <v>7</v>
      </c>
      <c r="I136">
        <v>7</v>
      </c>
      <c r="J136">
        <v>6</v>
      </c>
      <c r="K136">
        <f t="shared" si="8"/>
        <v>20</v>
      </c>
      <c r="L136" s="14">
        <v>20.100000000000001</v>
      </c>
      <c r="M136">
        <f t="shared" si="9"/>
        <v>0</v>
      </c>
    </row>
    <row r="137" spans="1:13" x14ac:dyDescent="0.35">
      <c r="A137" t="s">
        <v>296</v>
      </c>
      <c r="B137" t="s">
        <v>87</v>
      </c>
      <c r="C137" t="s">
        <v>166</v>
      </c>
      <c r="D137">
        <v>15</v>
      </c>
      <c r="E137">
        <v>10</v>
      </c>
      <c r="H137">
        <v>10</v>
      </c>
      <c r="J137">
        <v>10</v>
      </c>
      <c r="K137">
        <f t="shared" si="8"/>
        <v>30</v>
      </c>
      <c r="L137" s="14">
        <v>30.3</v>
      </c>
      <c r="M137">
        <f t="shared" si="9"/>
        <v>0</v>
      </c>
    </row>
    <row r="138" spans="1:13" x14ac:dyDescent="0.35">
      <c r="A138" t="s">
        <v>297</v>
      </c>
      <c r="B138" t="s">
        <v>87</v>
      </c>
      <c r="C138" t="s">
        <v>163</v>
      </c>
      <c r="D138">
        <v>8</v>
      </c>
      <c r="E138">
        <v>6</v>
      </c>
      <c r="G138">
        <v>6</v>
      </c>
      <c r="I138">
        <v>5</v>
      </c>
      <c r="J138">
        <v>5</v>
      </c>
      <c r="K138">
        <f t="shared" si="8"/>
        <v>22</v>
      </c>
      <c r="L138" s="14">
        <v>22</v>
      </c>
      <c r="M138">
        <f t="shared" si="9"/>
        <v>0</v>
      </c>
    </row>
    <row r="139" spans="1:13" x14ac:dyDescent="0.35">
      <c r="A139" t="s">
        <v>298</v>
      </c>
      <c r="B139" t="s">
        <v>77</v>
      </c>
      <c r="C139" t="s">
        <v>157</v>
      </c>
      <c r="D139">
        <v>9</v>
      </c>
      <c r="F139">
        <v>6</v>
      </c>
      <c r="H139">
        <v>6</v>
      </c>
      <c r="I139">
        <v>5</v>
      </c>
      <c r="J139">
        <v>5</v>
      </c>
      <c r="K139">
        <f t="shared" si="8"/>
        <v>22</v>
      </c>
      <c r="L139" s="14">
        <v>21.8</v>
      </c>
      <c r="M139">
        <f t="shared" si="9"/>
        <v>0</v>
      </c>
    </row>
    <row r="140" spans="1:13" x14ac:dyDescent="0.35">
      <c r="A140" t="s">
        <v>299</v>
      </c>
      <c r="B140" t="s">
        <v>85</v>
      </c>
      <c r="C140" t="s">
        <v>300</v>
      </c>
      <c r="D140">
        <v>11</v>
      </c>
      <c r="G140">
        <v>11</v>
      </c>
      <c r="J140">
        <v>10</v>
      </c>
      <c r="K140">
        <f t="shared" si="8"/>
        <v>21</v>
      </c>
      <c r="L140" s="14">
        <v>21.1</v>
      </c>
      <c r="M140">
        <f t="shared" si="9"/>
        <v>0</v>
      </c>
    </row>
    <row r="141" spans="1:13" x14ac:dyDescent="0.35">
      <c r="A141" t="s">
        <v>301</v>
      </c>
      <c r="B141" t="s">
        <v>77</v>
      </c>
      <c r="C141" t="s">
        <v>168</v>
      </c>
      <c r="D141">
        <v>13</v>
      </c>
      <c r="F141">
        <v>9</v>
      </c>
      <c r="I141">
        <v>9</v>
      </c>
      <c r="J141">
        <v>8</v>
      </c>
      <c r="K141">
        <f t="shared" si="8"/>
        <v>26</v>
      </c>
      <c r="L141" s="14">
        <v>26</v>
      </c>
      <c r="M141">
        <f t="shared" si="9"/>
        <v>0</v>
      </c>
    </row>
    <row r="142" spans="1:13" x14ac:dyDescent="0.35">
      <c r="A142" s="3" t="s">
        <v>311</v>
      </c>
      <c r="E142" s="3">
        <f t="shared" ref="E142:K142" si="10">SUM(E5:E141)</f>
        <v>403</v>
      </c>
      <c r="F142" s="3">
        <f t="shared" si="10"/>
        <v>316</v>
      </c>
      <c r="G142" s="3">
        <f t="shared" si="10"/>
        <v>387</v>
      </c>
      <c r="H142" s="3">
        <f t="shared" si="10"/>
        <v>393</v>
      </c>
      <c r="I142" s="3">
        <f t="shared" si="10"/>
        <v>764</v>
      </c>
      <c r="J142" s="3">
        <f t="shared" si="10"/>
        <v>909</v>
      </c>
      <c r="K142" s="3">
        <f t="shared" si="10"/>
        <v>3172</v>
      </c>
      <c r="M142" s="3">
        <f>SUM(M5:M141)</f>
        <v>11</v>
      </c>
    </row>
  </sheetData>
  <conditionalFormatting sqref="E5:J141">
    <cfRule type="expression" dxfId="1" priority="1">
      <formula>AND(E5&lt;&gt;"",E5=$D5)</formula>
    </cfRule>
  </conditionalFormatting>
  <conditionalFormatting sqref="M5:M141"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workbookViewId="0"/>
  </sheetViews>
  <sheetFormatPr defaultRowHeight="14.5" x14ac:dyDescent="0.35"/>
  <cols>
    <col min="1" max="2" width="24" customWidth="1"/>
    <col min="3" max="7" width="14" customWidth="1"/>
    <col min="8" max="8" width="26" customWidth="1"/>
    <col min="9" max="10" width="14" customWidth="1"/>
  </cols>
  <sheetData>
    <row r="1" spans="1:9" ht="21" x14ac:dyDescent="0.5">
      <c r="A1" s="1" t="s">
        <v>312</v>
      </c>
    </row>
    <row r="2" spans="1:9" x14ac:dyDescent="0.35">
      <c r="A2" s="2" t="s">
        <v>313</v>
      </c>
    </row>
    <row r="4" spans="1:9" ht="15.5" x14ac:dyDescent="0.35">
      <c r="A4" s="11" t="s">
        <v>314</v>
      </c>
    </row>
    <row r="5" spans="1:9" ht="30" customHeight="1" x14ac:dyDescent="0.35">
      <c r="A5" s="12" t="s">
        <v>315</v>
      </c>
      <c r="B5" s="12" t="s">
        <v>316</v>
      </c>
      <c r="C5" s="12" t="s">
        <v>317</v>
      </c>
      <c r="D5" s="12" t="s">
        <v>318</v>
      </c>
      <c r="E5" s="12" t="s">
        <v>319</v>
      </c>
      <c r="F5" s="12" t="s">
        <v>320</v>
      </c>
      <c r="G5" s="12" t="s">
        <v>321</v>
      </c>
      <c r="H5" s="12" t="s">
        <v>322</v>
      </c>
      <c r="I5" s="12" t="s">
        <v>323</v>
      </c>
    </row>
    <row r="6" spans="1:9" x14ac:dyDescent="0.35">
      <c r="A6" t="s">
        <v>324</v>
      </c>
      <c r="B6" t="s">
        <v>325</v>
      </c>
      <c r="C6" t="s">
        <v>3</v>
      </c>
      <c r="E6" t="s">
        <v>305</v>
      </c>
      <c r="H6" t="s">
        <v>326</v>
      </c>
      <c r="I6" t="s">
        <v>327</v>
      </c>
    </row>
    <row r="7" spans="1:9" x14ac:dyDescent="0.35">
      <c r="A7" t="s">
        <v>328</v>
      </c>
      <c r="B7" t="s">
        <v>329</v>
      </c>
      <c r="C7" t="s">
        <v>82</v>
      </c>
      <c r="D7" t="s">
        <v>259</v>
      </c>
      <c r="E7" t="s">
        <v>307</v>
      </c>
      <c r="H7" t="s">
        <v>330</v>
      </c>
      <c r="I7" t="s">
        <v>331</v>
      </c>
    </row>
    <row r="8" spans="1:9" x14ac:dyDescent="0.35">
      <c r="A8" t="s">
        <v>332</v>
      </c>
      <c r="B8" t="s">
        <v>333</v>
      </c>
      <c r="C8" t="s">
        <v>70</v>
      </c>
      <c r="D8" t="s">
        <v>155</v>
      </c>
      <c r="F8" t="s">
        <v>334</v>
      </c>
      <c r="G8" t="s">
        <v>335</v>
      </c>
      <c r="H8" t="s">
        <v>330</v>
      </c>
      <c r="I8" t="s">
        <v>336</v>
      </c>
    </row>
    <row r="9" spans="1:9" x14ac:dyDescent="0.35">
      <c r="A9" t="s">
        <v>337</v>
      </c>
      <c r="B9" t="s">
        <v>338</v>
      </c>
      <c r="C9" t="s">
        <v>77</v>
      </c>
      <c r="D9" t="s">
        <v>301</v>
      </c>
      <c r="G9" t="s">
        <v>339</v>
      </c>
      <c r="H9" t="s">
        <v>340</v>
      </c>
      <c r="I9" t="s">
        <v>341</v>
      </c>
    </row>
    <row r="10" spans="1:9" x14ac:dyDescent="0.35">
      <c r="A10" t="s">
        <v>342</v>
      </c>
      <c r="B10" t="s">
        <v>343</v>
      </c>
      <c r="C10" t="s">
        <v>87</v>
      </c>
      <c r="F10" t="s">
        <v>76</v>
      </c>
      <c r="G10" t="s">
        <v>84</v>
      </c>
      <c r="H10" t="s">
        <v>344</v>
      </c>
      <c r="I10" t="s">
        <v>345</v>
      </c>
    </row>
    <row r="12" spans="1:9" ht="15.5" x14ac:dyDescent="0.35">
      <c r="A12" s="11" t="s">
        <v>346</v>
      </c>
    </row>
    <row r="13" spans="1:9" ht="30" customHeight="1" x14ac:dyDescent="0.35">
      <c r="A13" s="12" t="s">
        <v>315</v>
      </c>
      <c r="B13" s="12" t="s">
        <v>316</v>
      </c>
      <c r="C13" s="12" t="s">
        <v>347</v>
      </c>
      <c r="D13" s="12" t="s">
        <v>348</v>
      </c>
      <c r="E13" s="12" t="s">
        <v>349</v>
      </c>
      <c r="F13" s="12" t="s">
        <v>350</v>
      </c>
      <c r="G13" s="12" t="s">
        <v>351</v>
      </c>
    </row>
    <row r="14" spans="1:9" x14ac:dyDescent="0.35">
      <c r="A14" t="s">
        <v>324</v>
      </c>
      <c r="B14" t="s">
        <v>325</v>
      </c>
      <c r="C14">
        <v>89</v>
      </c>
      <c r="D14">
        <v>-10</v>
      </c>
      <c r="E14">
        <v>-4</v>
      </c>
      <c r="F14" s="24">
        <v>-6927.75</v>
      </c>
      <c r="G14" t="s">
        <v>352</v>
      </c>
    </row>
    <row r="15" spans="1:9" x14ac:dyDescent="0.35">
      <c r="A15" t="s">
        <v>328</v>
      </c>
      <c r="B15" t="s">
        <v>329</v>
      </c>
      <c r="C15">
        <v>7</v>
      </c>
      <c r="D15">
        <v>-1</v>
      </c>
      <c r="E15">
        <v>-1</v>
      </c>
      <c r="F15" s="24">
        <v>-842.5</v>
      </c>
      <c r="G15" t="s">
        <v>353</v>
      </c>
    </row>
    <row r="16" spans="1:9" x14ac:dyDescent="0.35">
      <c r="A16" t="s">
        <v>332</v>
      </c>
      <c r="B16" t="s">
        <v>333</v>
      </c>
      <c r="C16">
        <v>12</v>
      </c>
      <c r="D16">
        <v>0</v>
      </c>
      <c r="E16">
        <v>0</v>
      </c>
      <c r="F16" s="24">
        <v>-114</v>
      </c>
      <c r="G16" t="s">
        <v>354</v>
      </c>
    </row>
    <row r="17" spans="1:10" x14ac:dyDescent="0.35">
      <c r="A17" t="s">
        <v>337</v>
      </c>
      <c r="B17" t="s">
        <v>338</v>
      </c>
      <c r="C17">
        <v>6</v>
      </c>
      <c r="D17">
        <v>2</v>
      </c>
      <c r="E17">
        <v>0</v>
      </c>
      <c r="F17" s="24">
        <v>475</v>
      </c>
      <c r="G17" t="s">
        <v>355</v>
      </c>
    </row>
    <row r="18" spans="1:10" x14ac:dyDescent="0.35">
      <c r="A18" t="s">
        <v>342</v>
      </c>
      <c r="B18" t="s">
        <v>343</v>
      </c>
      <c r="C18">
        <v>0</v>
      </c>
      <c r="D18">
        <v>0</v>
      </c>
      <c r="E18">
        <v>0</v>
      </c>
      <c r="F18" s="24">
        <v>455</v>
      </c>
      <c r="G18" t="s">
        <v>356</v>
      </c>
    </row>
    <row r="20" spans="1:10" ht="15.5" x14ac:dyDescent="0.35">
      <c r="A20" s="11" t="s">
        <v>357</v>
      </c>
    </row>
    <row r="21" spans="1:10" ht="30" customHeight="1" x14ac:dyDescent="0.35">
      <c r="A21" s="12" t="s">
        <v>358</v>
      </c>
      <c r="B21" s="12" t="s">
        <v>359</v>
      </c>
      <c r="C21" s="12" t="s">
        <v>360</v>
      </c>
      <c r="D21" s="12" t="s">
        <v>361</v>
      </c>
      <c r="E21" s="12" t="s">
        <v>362</v>
      </c>
      <c r="F21" s="12" t="s">
        <v>363</v>
      </c>
      <c r="G21" s="12" t="s">
        <v>65</v>
      </c>
      <c r="H21" s="12" t="s">
        <v>364</v>
      </c>
      <c r="I21" s="12" t="s">
        <v>365</v>
      </c>
      <c r="J21" s="12" t="s">
        <v>10</v>
      </c>
    </row>
    <row r="22" spans="1:10" x14ac:dyDescent="0.35">
      <c r="A22" t="s">
        <v>366</v>
      </c>
      <c r="B22">
        <v>325</v>
      </c>
      <c r="C22">
        <v>2700</v>
      </c>
      <c r="D22">
        <v>457</v>
      </c>
      <c r="E22">
        <v>133</v>
      </c>
      <c r="F22">
        <v>131</v>
      </c>
      <c r="G22" s="17">
        <v>0.79271873165002937</v>
      </c>
      <c r="H22" s="25">
        <v>120055.25</v>
      </c>
      <c r="I22" s="25">
        <v>200907</v>
      </c>
      <c r="J22" s="18">
        <v>74.41</v>
      </c>
    </row>
    <row r="23" spans="1:10" x14ac:dyDescent="0.35">
      <c r="A23" t="s">
        <v>367</v>
      </c>
      <c r="B23">
        <v>316</v>
      </c>
      <c r="C23">
        <v>2612</v>
      </c>
      <c r="D23">
        <v>571</v>
      </c>
      <c r="E23">
        <v>134</v>
      </c>
      <c r="F23">
        <v>126</v>
      </c>
      <c r="G23" s="17">
        <v>0.79731379731379737</v>
      </c>
      <c r="H23" s="25">
        <v>115890</v>
      </c>
      <c r="I23" s="25">
        <v>193952.75</v>
      </c>
      <c r="J23" s="18">
        <v>74.25</v>
      </c>
    </row>
    <row r="24" spans="1:10" x14ac:dyDescent="0.35">
      <c r="A24" t="s">
        <v>368</v>
      </c>
      <c r="B24">
        <v>450</v>
      </c>
      <c r="C24">
        <v>3172</v>
      </c>
      <c r="D24">
        <v>11</v>
      </c>
      <c r="E24">
        <v>1</v>
      </c>
      <c r="F24">
        <v>142</v>
      </c>
      <c r="G24" s="17">
        <v>0.85915492957746475</v>
      </c>
      <c r="H24" s="25">
        <v>130254</v>
      </c>
      <c r="I24" s="25">
        <v>236468.5</v>
      </c>
      <c r="J24" s="18">
        <v>74.55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8"/>
  <sheetViews>
    <sheetView workbookViewId="0"/>
  </sheetViews>
  <sheetFormatPr defaultRowHeight="14.5" x14ac:dyDescent="0.35"/>
  <cols>
    <col min="1" max="7" width="16" customWidth="1"/>
  </cols>
  <sheetData>
    <row r="1" spans="1:7" ht="21" x14ac:dyDescent="0.5">
      <c r="A1" s="1" t="s">
        <v>369</v>
      </c>
    </row>
    <row r="2" spans="1:7" x14ac:dyDescent="0.35">
      <c r="A2" s="2" t="s">
        <v>370</v>
      </c>
    </row>
    <row r="4" spans="1:7" ht="30" customHeight="1" x14ac:dyDescent="0.35">
      <c r="A4" s="12" t="s">
        <v>318</v>
      </c>
      <c r="B4" s="12" t="s">
        <v>317</v>
      </c>
      <c r="C4" s="12" t="s">
        <v>371</v>
      </c>
      <c r="D4" s="12" t="s">
        <v>372</v>
      </c>
      <c r="E4" s="12" t="s">
        <v>373</v>
      </c>
      <c r="F4" s="12" t="s">
        <v>374</v>
      </c>
      <c r="G4" s="12" t="s">
        <v>375</v>
      </c>
    </row>
    <row r="5" spans="1:7" x14ac:dyDescent="0.35">
      <c r="A5" t="s">
        <v>155</v>
      </c>
      <c r="B5" t="s">
        <v>70</v>
      </c>
      <c r="C5">
        <v>18</v>
      </c>
      <c r="D5" t="s">
        <v>308</v>
      </c>
      <c r="E5">
        <v>7</v>
      </c>
      <c r="F5">
        <v>7</v>
      </c>
      <c r="G5">
        <v>11</v>
      </c>
    </row>
    <row r="6" spans="1:7" x14ac:dyDescent="0.35">
      <c r="A6" t="s">
        <v>207</v>
      </c>
      <c r="B6" t="s">
        <v>3</v>
      </c>
      <c r="C6">
        <v>16</v>
      </c>
      <c r="D6" t="s">
        <v>308</v>
      </c>
      <c r="E6">
        <v>10</v>
      </c>
      <c r="F6">
        <v>13</v>
      </c>
      <c r="G6">
        <v>0</v>
      </c>
    </row>
    <row r="7" spans="1:7" x14ac:dyDescent="0.35">
      <c r="A7" t="s">
        <v>205</v>
      </c>
      <c r="B7" t="s">
        <v>3</v>
      </c>
      <c r="C7">
        <v>15</v>
      </c>
      <c r="D7" t="s">
        <v>308</v>
      </c>
      <c r="E7">
        <v>11</v>
      </c>
      <c r="F7">
        <v>14</v>
      </c>
      <c r="G7">
        <v>0</v>
      </c>
    </row>
    <row r="8" spans="1:7" x14ac:dyDescent="0.35">
      <c r="A8" t="s">
        <v>206</v>
      </c>
      <c r="B8" t="s">
        <v>3</v>
      </c>
      <c r="C8">
        <v>15</v>
      </c>
      <c r="D8" t="s">
        <v>308</v>
      </c>
      <c r="E8">
        <v>10</v>
      </c>
      <c r="F8">
        <v>13</v>
      </c>
      <c r="G8">
        <v>0</v>
      </c>
    </row>
    <row r="9" spans="1:7" x14ac:dyDescent="0.35">
      <c r="A9" t="s">
        <v>201</v>
      </c>
      <c r="B9" t="s">
        <v>3</v>
      </c>
      <c r="C9">
        <v>15</v>
      </c>
      <c r="D9" t="s">
        <v>308</v>
      </c>
      <c r="E9">
        <v>9</v>
      </c>
      <c r="F9">
        <v>12</v>
      </c>
      <c r="G9">
        <v>0</v>
      </c>
    </row>
    <row r="10" spans="1:7" x14ac:dyDescent="0.35">
      <c r="A10" t="s">
        <v>199</v>
      </c>
      <c r="B10" t="s">
        <v>3</v>
      </c>
      <c r="C10">
        <v>13</v>
      </c>
      <c r="D10" t="s">
        <v>308</v>
      </c>
      <c r="E10">
        <v>8</v>
      </c>
      <c r="F10">
        <v>10</v>
      </c>
      <c r="G10">
        <v>0</v>
      </c>
    </row>
    <row r="11" spans="1:7" x14ac:dyDescent="0.35">
      <c r="A11" t="s">
        <v>197</v>
      </c>
      <c r="B11" t="s">
        <v>3</v>
      </c>
      <c r="C11">
        <v>12</v>
      </c>
      <c r="D11" t="s">
        <v>309</v>
      </c>
      <c r="E11">
        <v>9</v>
      </c>
      <c r="F11">
        <v>12</v>
      </c>
      <c r="G11">
        <v>0</v>
      </c>
    </row>
    <row r="12" spans="1:7" x14ac:dyDescent="0.35">
      <c r="A12" t="s">
        <v>210</v>
      </c>
      <c r="B12" t="s">
        <v>3</v>
      </c>
      <c r="C12">
        <v>12</v>
      </c>
      <c r="D12" t="s">
        <v>309</v>
      </c>
      <c r="E12">
        <v>9</v>
      </c>
      <c r="F12">
        <v>12</v>
      </c>
      <c r="G12">
        <v>0</v>
      </c>
    </row>
    <row r="13" spans="1:7" x14ac:dyDescent="0.35">
      <c r="A13" t="s">
        <v>200</v>
      </c>
      <c r="B13" t="s">
        <v>3</v>
      </c>
      <c r="C13">
        <v>12</v>
      </c>
      <c r="D13" t="s">
        <v>309</v>
      </c>
      <c r="E13">
        <v>9</v>
      </c>
      <c r="F13">
        <v>12</v>
      </c>
      <c r="G13">
        <v>0</v>
      </c>
    </row>
    <row r="14" spans="1:7" x14ac:dyDescent="0.35">
      <c r="A14" t="s">
        <v>198</v>
      </c>
      <c r="B14" t="s">
        <v>3</v>
      </c>
      <c r="C14">
        <v>11</v>
      </c>
      <c r="D14" t="s">
        <v>309</v>
      </c>
      <c r="E14">
        <v>8</v>
      </c>
      <c r="F14">
        <v>10</v>
      </c>
      <c r="G14">
        <v>0</v>
      </c>
    </row>
    <row r="15" spans="1:7" x14ac:dyDescent="0.35">
      <c r="A15" t="s">
        <v>259</v>
      </c>
      <c r="B15" t="s">
        <v>82</v>
      </c>
      <c r="C15">
        <v>10</v>
      </c>
      <c r="D15" t="s">
        <v>309</v>
      </c>
      <c r="E15">
        <v>7</v>
      </c>
      <c r="F15">
        <v>9</v>
      </c>
      <c r="G15">
        <v>0</v>
      </c>
    </row>
    <row r="16" spans="1:7" x14ac:dyDescent="0.35">
      <c r="A16" t="s">
        <v>214</v>
      </c>
      <c r="B16" t="s">
        <v>3</v>
      </c>
      <c r="C16">
        <v>10</v>
      </c>
      <c r="D16" t="s">
        <v>308</v>
      </c>
      <c r="E16">
        <v>6</v>
      </c>
      <c r="F16">
        <v>8</v>
      </c>
      <c r="G16">
        <v>0</v>
      </c>
    </row>
    <row r="17" spans="1:7" x14ac:dyDescent="0.35">
      <c r="A17" t="s">
        <v>242</v>
      </c>
      <c r="B17" t="s">
        <v>80</v>
      </c>
      <c r="C17">
        <v>8</v>
      </c>
      <c r="D17" t="s">
        <v>308</v>
      </c>
      <c r="E17">
        <v>12</v>
      </c>
      <c r="F17">
        <v>15</v>
      </c>
      <c r="G17">
        <v>0</v>
      </c>
    </row>
    <row r="18" spans="1:7" x14ac:dyDescent="0.35">
      <c r="A18" t="s">
        <v>162</v>
      </c>
      <c r="B18" t="s">
        <v>70</v>
      </c>
      <c r="C18">
        <v>7</v>
      </c>
      <c r="D18" t="s">
        <v>309</v>
      </c>
      <c r="E18">
        <v>10</v>
      </c>
      <c r="F18">
        <v>13</v>
      </c>
      <c r="G18">
        <v>0</v>
      </c>
    </row>
    <row r="19" spans="1:7" x14ac:dyDescent="0.35">
      <c r="A19" t="s">
        <v>247</v>
      </c>
      <c r="B19" t="s">
        <v>80</v>
      </c>
      <c r="C19">
        <v>7</v>
      </c>
      <c r="D19" t="s">
        <v>309</v>
      </c>
      <c r="E19">
        <v>12</v>
      </c>
      <c r="F19">
        <v>15</v>
      </c>
      <c r="G19">
        <v>0</v>
      </c>
    </row>
    <row r="20" spans="1:7" x14ac:dyDescent="0.35">
      <c r="A20" t="s">
        <v>268</v>
      </c>
      <c r="B20" t="s">
        <v>85</v>
      </c>
      <c r="C20">
        <v>7</v>
      </c>
      <c r="D20" t="s">
        <v>309</v>
      </c>
      <c r="E20">
        <v>9</v>
      </c>
      <c r="F20">
        <v>12</v>
      </c>
      <c r="G20">
        <v>0</v>
      </c>
    </row>
    <row r="21" spans="1:7" x14ac:dyDescent="0.35">
      <c r="A21" t="s">
        <v>221</v>
      </c>
      <c r="B21" t="s">
        <v>77</v>
      </c>
      <c r="C21">
        <v>7</v>
      </c>
      <c r="D21" t="s">
        <v>309</v>
      </c>
      <c r="E21">
        <v>13</v>
      </c>
      <c r="F21">
        <v>17</v>
      </c>
      <c r="G21">
        <v>0</v>
      </c>
    </row>
    <row r="22" spans="1:7" x14ac:dyDescent="0.35">
      <c r="A22" t="s">
        <v>264</v>
      </c>
      <c r="B22" t="s">
        <v>82</v>
      </c>
      <c r="C22">
        <v>7</v>
      </c>
      <c r="D22" t="s">
        <v>309</v>
      </c>
      <c r="E22">
        <v>10</v>
      </c>
      <c r="F22">
        <v>13</v>
      </c>
      <c r="G22">
        <v>0</v>
      </c>
    </row>
    <row r="23" spans="1:7" x14ac:dyDescent="0.35">
      <c r="A23" t="s">
        <v>236</v>
      </c>
      <c r="B23" t="s">
        <v>80</v>
      </c>
      <c r="C23">
        <v>7</v>
      </c>
      <c r="D23" t="s">
        <v>309</v>
      </c>
      <c r="E23">
        <v>8</v>
      </c>
      <c r="F23">
        <v>10</v>
      </c>
      <c r="G23">
        <v>0</v>
      </c>
    </row>
    <row r="24" spans="1:7" x14ac:dyDescent="0.35">
      <c r="A24" t="s">
        <v>240</v>
      </c>
      <c r="B24" t="s">
        <v>80</v>
      </c>
      <c r="C24">
        <v>7</v>
      </c>
      <c r="D24" t="s">
        <v>309</v>
      </c>
      <c r="E24">
        <v>12</v>
      </c>
      <c r="F24">
        <v>15</v>
      </c>
      <c r="G24">
        <v>0</v>
      </c>
    </row>
    <row r="25" spans="1:7" x14ac:dyDescent="0.35">
      <c r="A25" t="s">
        <v>275</v>
      </c>
      <c r="B25" t="s">
        <v>85</v>
      </c>
      <c r="C25">
        <v>6</v>
      </c>
      <c r="D25" t="s">
        <v>309</v>
      </c>
      <c r="E25">
        <v>10</v>
      </c>
      <c r="F25">
        <v>13</v>
      </c>
      <c r="G25">
        <v>0</v>
      </c>
    </row>
    <row r="26" spans="1:7" x14ac:dyDescent="0.35">
      <c r="A26" t="s">
        <v>226</v>
      </c>
      <c r="B26" t="s">
        <v>77</v>
      </c>
      <c r="C26">
        <v>6</v>
      </c>
      <c r="D26" t="s">
        <v>309</v>
      </c>
      <c r="E26">
        <v>8</v>
      </c>
      <c r="F26">
        <v>10</v>
      </c>
      <c r="G26">
        <v>0</v>
      </c>
    </row>
    <row r="27" spans="1:7" x14ac:dyDescent="0.35">
      <c r="A27" t="s">
        <v>228</v>
      </c>
      <c r="B27" t="s">
        <v>77</v>
      </c>
      <c r="C27">
        <v>6</v>
      </c>
      <c r="D27" t="s">
        <v>309</v>
      </c>
      <c r="E27">
        <v>10</v>
      </c>
      <c r="F27">
        <v>13</v>
      </c>
      <c r="G27">
        <v>0</v>
      </c>
    </row>
    <row r="28" spans="1:7" x14ac:dyDescent="0.35">
      <c r="A28" t="s">
        <v>296</v>
      </c>
      <c r="B28" t="s">
        <v>87</v>
      </c>
      <c r="C28">
        <v>6</v>
      </c>
      <c r="D28" t="s">
        <v>309</v>
      </c>
      <c r="E28">
        <v>12</v>
      </c>
      <c r="F28">
        <v>15</v>
      </c>
      <c r="G28">
        <v>0</v>
      </c>
    </row>
    <row r="29" spans="1:7" x14ac:dyDescent="0.35">
      <c r="A29" t="s">
        <v>278</v>
      </c>
      <c r="B29" t="s">
        <v>85</v>
      </c>
      <c r="C29">
        <v>6</v>
      </c>
      <c r="D29" t="s">
        <v>309</v>
      </c>
      <c r="E29">
        <v>10</v>
      </c>
      <c r="F29">
        <v>13</v>
      </c>
      <c r="G29">
        <v>0</v>
      </c>
    </row>
    <row r="30" spans="1:7" x14ac:dyDescent="0.35">
      <c r="A30" t="s">
        <v>287</v>
      </c>
      <c r="B30" t="s">
        <v>87</v>
      </c>
      <c r="C30">
        <v>6</v>
      </c>
      <c r="D30" t="s">
        <v>308</v>
      </c>
      <c r="E30">
        <v>7</v>
      </c>
      <c r="F30">
        <v>9</v>
      </c>
      <c r="G30">
        <v>0</v>
      </c>
    </row>
    <row r="31" spans="1:7" x14ac:dyDescent="0.35">
      <c r="A31" t="s">
        <v>301</v>
      </c>
      <c r="B31" t="s">
        <v>77</v>
      </c>
      <c r="C31">
        <v>6</v>
      </c>
      <c r="D31" t="s">
        <v>309</v>
      </c>
      <c r="E31">
        <v>10</v>
      </c>
      <c r="F31">
        <v>13</v>
      </c>
      <c r="G31">
        <v>0</v>
      </c>
    </row>
    <row r="32" spans="1:7" x14ac:dyDescent="0.35">
      <c r="A32" t="s">
        <v>243</v>
      </c>
      <c r="B32" t="s">
        <v>80</v>
      </c>
      <c r="C32">
        <v>5</v>
      </c>
      <c r="D32" t="s">
        <v>309</v>
      </c>
      <c r="E32">
        <v>10</v>
      </c>
      <c r="F32">
        <v>13</v>
      </c>
      <c r="G32">
        <v>0</v>
      </c>
    </row>
    <row r="33" spans="1:7" x14ac:dyDescent="0.35">
      <c r="A33" t="s">
        <v>283</v>
      </c>
      <c r="B33" t="s">
        <v>87</v>
      </c>
      <c r="C33">
        <v>5</v>
      </c>
      <c r="D33" t="s">
        <v>309</v>
      </c>
      <c r="E33">
        <v>9</v>
      </c>
      <c r="F33">
        <v>12</v>
      </c>
      <c r="G33">
        <v>0</v>
      </c>
    </row>
    <row r="34" spans="1:7" x14ac:dyDescent="0.35">
      <c r="A34" t="s">
        <v>272</v>
      </c>
      <c r="B34" t="s">
        <v>85</v>
      </c>
      <c r="C34">
        <v>5</v>
      </c>
      <c r="D34" t="s">
        <v>308</v>
      </c>
      <c r="E34">
        <v>8</v>
      </c>
      <c r="F34">
        <v>10</v>
      </c>
      <c r="G34">
        <v>0</v>
      </c>
    </row>
    <row r="35" spans="1:7" x14ac:dyDescent="0.35">
      <c r="A35" t="s">
        <v>245</v>
      </c>
      <c r="B35" t="s">
        <v>80</v>
      </c>
      <c r="C35">
        <v>5</v>
      </c>
      <c r="D35" t="s">
        <v>308</v>
      </c>
      <c r="E35">
        <v>9</v>
      </c>
      <c r="F35">
        <v>12</v>
      </c>
      <c r="G35">
        <v>0</v>
      </c>
    </row>
    <row r="36" spans="1:7" x14ac:dyDescent="0.35">
      <c r="A36" t="s">
        <v>212</v>
      </c>
      <c r="B36" t="s">
        <v>3</v>
      </c>
      <c r="C36">
        <v>5</v>
      </c>
      <c r="D36" t="s">
        <v>309</v>
      </c>
      <c r="E36">
        <v>9</v>
      </c>
      <c r="F36">
        <v>12</v>
      </c>
      <c r="G36">
        <v>0</v>
      </c>
    </row>
    <row r="37" spans="1:7" x14ac:dyDescent="0.35">
      <c r="A37" t="s">
        <v>232</v>
      </c>
      <c r="B37" t="s">
        <v>80</v>
      </c>
      <c r="C37">
        <v>5</v>
      </c>
      <c r="D37" t="s">
        <v>309</v>
      </c>
      <c r="E37">
        <v>10</v>
      </c>
      <c r="F37">
        <v>13</v>
      </c>
      <c r="G37">
        <v>0</v>
      </c>
    </row>
    <row r="38" spans="1:7" x14ac:dyDescent="0.35">
      <c r="A38" t="s">
        <v>258</v>
      </c>
      <c r="B38" t="s">
        <v>82</v>
      </c>
      <c r="C38">
        <v>5</v>
      </c>
      <c r="D38" t="s">
        <v>308</v>
      </c>
      <c r="E38">
        <v>10</v>
      </c>
      <c r="F38">
        <v>13</v>
      </c>
      <c r="G38">
        <v>0</v>
      </c>
    </row>
    <row r="39" spans="1:7" x14ac:dyDescent="0.35">
      <c r="A39" t="s">
        <v>209</v>
      </c>
      <c r="B39" t="s">
        <v>3</v>
      </c>
      <c r="C39">
        <v>5</v>
      </c>
      <c r="D39" t="s">
        <v>309</v>
      </c>
      <c r="E39">
        <v>9</v>
      </c>
      <c r="F39">
        <v>12</v>
      </c>
      <c r="G39">
        <v>0</v>
      </c>
    </row>
    <row r="40" spans="1:7" x14ac:dyDescent="0.35">
      <c r="A40" t="s">
        <v>174</v>
      </c>
      <c r="B40" t="s">
        <v>70</v>
      </c>
      <c r="C40">
        <v>5</v>
      </c>
      <c r="D40" t="s">
        <v>309</v>
      </c>
      <c r="E40">
        <v>10</v>
      </c>
      <c r="F40">
        <v>13</v>
      </c>
      <c r="G40">
        <v>0</v>
      </c>
    </row>
    <row r="41" spans="1:7" x14ac:dyDescent="0.35">
      <c r="A41" t="s">
        <v>186</v>
      </c>
      <c r="B41" t="s">
        <v>73</v>
      </c>
      <c r="C41">
        <v>5</v>
      </c>
      <c r="D41" t="s">
        <v>309</v>
      </c>
      <c r="E41">
        <v>9</v>
      </c>
      <c r="F41">
        <v>12</v>
      </c>
      <c r="G41">
        <v>0</v>
      </c>
    </row>
    <row r="42" spans="1:7" x14ac:dyDescent="0.35">
      <c r="A42" t="s">
        <v>183</v>
      </c>
      <c r="B42" t="s">
        <v>73</v>
      </c>
      <c r="C42">
        <v>5</v>
      </c>
      <c r="D42" t="s">
        <v>308</v>
      </c>
      <c r="E42">
        <v>9</v>
      </c>
      <c r="F42">
        <v>12</v>
      </c>
      <c r="G42">
        <v>0</v>
      </c>
    </row>
    <row r="43" spans="1:7" x14ac:dyDescent="0.35">
      <c r="A43" t="s">
        <v>285</v>
      </c>
      <c r="B43" t="s">
        <v>87</v>
      </c>
      <c r="C43">
        <v>5</v>
      </c>
      <c r="D43" t="s">
        <v>309</v>
      </c>
      <c r="E43">
        <v>12</v>
      </c>
      <c r="F43">
        <v>15</v>
      </c>
      <c r="G43">
        <v>0</v>
      </c>
    </row>
    <row r="44" spans="1:7" x14ac:dyDescent="0.35">
      <c r="A44" t="s">
        <v>290</v>
      </c>
      <c r="B44" t="s">
        <v>87</v>
      </c>
      <c r="C44">
        <v>5</v>
      </c>
      <c r="D44" t="s">
        <v>308</v>
      </c>
      <c r="E44">
        <v>11</v>
      </c>
      <c r="F44">
        <v>14</v>
      </c>
      <c r="G44">
        <v>0</v>
      </c>
    </row>
    <row r="45" spans="1:7" x14ac:dyDescent="0.35">
      <c r="A45" t="s">
        <v>159</v>
      </c>
      <c r="B45" t="s">
        <v>70</v>
      </c>
      <c r="C45">
        <v>4</v>
      </c>
      <c r="D45" t="s">
        <v>308</v>
      </c>
      <c r="E45">
        <v>11</v>
      </c>
      <c r="F45">
        <v>14</v>
      </c>
      <c r="G45">
        <v>0</v>
      </c>
    </row>
    <row r="46" spans="1:7" x14ac:dyDescent="0.35">
      <c r="A46" t="s">
        <v>158</v>
      </c>
      <c r="B46" t="s">
        <v>70</v>
      </c>
      <c r="C46">
        <v>4</v>
      </c>
      <c r="D46" t="s">
        <v>308</v>
      </c>
      <c r="E46">
        <v>10</v>
      </c>
      <c r="F46">
        <v>13</v>
      </c>
      <c r="G46">
        <v>0</v>
      </c>
    </row>
    <row r="47" spans="1:7" x14ac:dyDescent="0.35">
      <c r="A47" t="s">
        <v>177</v>
      </c>
      <c r="B47" t="s">
        <v>73</v>
      </c>
      <c r="C47">
        <v>4</v>
      </c>
      <c r="D47" t="s">
        <v>309</v>
      </c>
      <c r="E47">
        <v>8</v>
      </c>
      <c r="F47">
        <v>10</v>
      </c>
      <c r="G47">
        <v>0</v>
      </c>
    </row>
    <row r="48" spans="1:7" x14ac:dyDescent="0.35">
      <c r="A48" t="s">
        <v>238</v>
      </c>
      <c r="B48" t="s">
        <v>80</v>
      </c>
      <c r="C48">
        <v>4</v>
      </c>
      <c r="D48" t="s">
        <v>308</v>
      </c>
      <c r="E48">
        <v>12</v>
      </c>
      <c r="F48">
        <v>15</v>
      </c>
      <c r="G48">
        <v>0</v>
      </c>
    </row>
    <row r="49" spans="1:7" x14ac:dyDescent="0.35">
      <c r="A49" t="s">
        <v>235</v>
      </c>
      <c r="B49" t="s">
        <v>80</v>
      </c>
      <c r="C49">
        <v>4</v>
      </c>
      <c r="D49" t="s">
        <v>308</v>
      </c>
      <c r="E49">
        <v>8</v>
      </c>
      <c r="F49">
        <v>10</v>
      </c>
      <c r="G49">
        <v>0</v>
      </c>
    </row>
    <row r="50" spans="1:7" x14ac:dyDescent="0.35">
      <c r="A50" t="s">
        <v>261</v>
      </c>
      <c r="B50" t="s">
        <v>82</v>
      </c>
      <c r="C50">
        <v>4</v>
      </c>
      <c r="D50" t="s">
        <v>309</v>
      </c>
      <c r="E50">
        <v>10</v>
      </c>
      <c r="F50">
        <v>13</v>
      </c>
      <c r="G50">
        <v>0</v>
      </c>
    </row>
    <row r="51" spans="1:7" x14ac:dyDescent="0.35">
      <c r="A51" t="s">
        <v>284</v>
      </c>
      <c r="B51" t="s">
        <v>87</v>
      </c>
      <c r="C51">
        <v>4</v>
      </c>
      <c r="D51" t="s">
        <v>309</v>
      </c>
      <c r="E51">
        <v>8</v>
      </c>
      <c r="F51">
        <v>10</v>
      </c>
      <c r="G51">
        <v>0</v>
      </c>
    </row>
    <row r="52" spans="1:7" x14ac:dyDescent="0.35">
      <c r="A52" t="s">
        <v>277</v>
      </c>
      <c r="B52" t="s">
        <v>85</v>
      </c>
      <c r="C52">
        <v>4</v>
      </c>
      <c r="D52" t="s">
        <v>309</v>
      </c>
      <c r="E52">
        <v>9</v>
      </c>
      <c r="F52">
        <v>12</v>
      </c>
      <c r="G52">
        <v>0</v>
      </c>
    </row>
    <row r="53" spans="1:7" x14ac:dyDescent="0.35">
      <c r="A53" t="s">
        <v>295</v>
      </c>
      <c r="B53" t="s">
        <v>87</v>
      </c>
      <c r="C53">
        <v>4</v>
      </c>
      <c r="D53" t="s">
        <v>309</v>
      </c>
      <c r="E53">
        <v>8</v>
      </c>
      <c r="F53">
        <v>10</v>
      </c>
      <c r="G53">
        <v>0</v>
      </c>
    </row>
    <row r="54" spans="1:7" x14ac:dyDescent="0.35">
      <c r="A54" t="s">
        <v>297</v>
      </c>
      <c r="B54" t="s">
        <v>87</v>
      </c>
      <c r="C54">
        <v>4</v>
      </c>
      <c r="D54" t="s">
        <v>309</v>
      </c>
      <c r="E54">
        <v>6</v>
      </c>
      <c r="F54">
        <v>8</v>
      </c>
      <c r="G54">
        <v>0</v>
      </c>
    </row>
    <row r="55" spans="1:7" x14ac:dyDescent="0.35">
      <c r="A55" t="s">
        <v>270</v>
      </c>
      <c r="B55" t="s">
        <v>85</v>
      </c>
      <c r="C55">
        <v>4</v>
      </c>
      <c r="D55" t="s">
        <v>309</v>
      </c>
      <c r="E55">
        <v>12</v>
      </c>
      <c r="F55">
        <v>15</v>
      </c>
      <c r="G55">
        <v>0</v>
      </c>
    </row>
    <row r="56" spans="1:7" x14ac:dyDescent="0.35">
      <c r="A56" t="s">
        <v>244</v>
      </c>
      <c r="B56" t="s">
        <v>80</v>
      </c>
      <c r="C56">
        <v>4</v>
      </c>
      <c r="D56" t="s">
        <v>309</v>
      </c>
      <c r="E56">
        <v>7</v>
      </c>
      <c r="F56">
        <v>9</v>
      </c>
      <c r="G56">
        <v>0</v>
      </c>
    </row>
    <row r="57" spans="1:7" x14ac:dyDescent="0.35">
      <c r="A57" t="s">
        <v>250</v>
      </c>
      <c r="B57" t="s">
        <v>82</v>
      </c>
      <c r="C57">
        <v>4</v>
      </c>
      <c r="D57" t="s">
        <v>309</v>
      </c>
      <c r="E57">
        <v>10</v>
      </c>
      <c r="F57">
        <v>13</v>
      </c>
      <c r="G57">
        <v>0</v>
      </c>
    </row>
    <row r="58" spans="1:7" x14ac:dyDescent="0.35">
      <c r="A58" t="s">
        <v>269</v>
      </c>
      <c r="B58" t="s">
        <v>85</v>
      </c>
      <c r="C58">
        <v>4</v>
      </c>
      <c r="D58" t="s">
        <v>308</v>
      </c>
      <c r="E58">
        <v>10</v>
      </c>
      <c r="F58">
        <v>13</v>
      </c>
      <c r="G58">
        <v>0</v>
      </c>
    </row>
    <row r="59" spans="1:7" x14ac:dyDescent="0.35">
      <c r="A59" t="s">
        <v>184</v>
      </c>
      <c r="B59" t="s">
        <v>73</v>
      </c>
      <c r="C59">
        <v>4</v>
      </c>
      <c r="D59" t="s">
        <v>309</v>
      </c>
      <c r="E59">
        <v>7</v>
      </c>
      <c r="F59">
        <v>9</v>
      </c>
      <c r="G59">
        <v>0</v>
      </c>
    </row>
    <row r="60" spans="1:7" x14ac:dyDescent="0.35">
      <c r="A60" t="s">
        <v>193</v>
      </c>
      <c r="B60" t="s">
        <v>73</v>
      </c>
      <c r="C60">
        <v>4</v>
      </c>
      <c r="D60" t="s">
        <v>308</v>
      </c>
      <c r="E60">
        <v>10</v>
      </c>
      <c r="F60">
        <v>13</v>
      </c>
      <c r="G60">
        <v>0</v>
      </c>
    </row>
    <row r="61" spans="1:7" x14ac:dyDescent="0.35">
      <c r="A61" t="s">
        <v>248</v>
      </c>
      <c r="B61" t="s">
        <v>82</v>
      </c>
      <c r="C61">
        <v>4</v>
      </c>
      <c r="D61" t="s">
        <v>308</v>
      </c>
      <c r="E61">
        <v>10</v>
      </c>
      <c r="F61">
        <v>13</v>
      </c>
      <c r="G61">
        <v>0</v>
      </c>
    </row>
    <row r="62" spans="1:7" x14ac:dyDescent="0.35">
      <c r="A62" t="s">
        <v>179</v>
      </c>
      <c r="B62" t="s">
        <v>73</v>
      </c>
      <c r="C62">
        <v>4</v>
      </c>
      <c r="D62" t="s">
        <v>308</v>
      </c>
      <c r="E62">
        <v>7</v>
      </c>
      <c r="F62">
        <v>9</v>
      </c>
      <c r="G62">
        <v>0</v>
      </c>
    </row>
    <row r="63" spans="1:7" x14ac:dyDescent="0.35">
      <c r="A63" t="s">
        <v>224</v>
      </c>
      <c r="B63" t="s">
        <v>77</v>
      </c>
      <c r="C63">
        <v>4</v>
      </c>
      <c r="D63" t="s">
        <v>309</v>
      </c>
      <c r="E63">
        <v>9</v>
      </c>
      <c r="F63">
        <v>12</v>
      </c>
      <c r="G63">
        <v>0</v>
      </c>
    </row>
    <row r="64" spans="1:7" x14ac:dyDescent="0.35">
      <c r="A64" t="s">
        <v>225</v>
      </c>
      <c r="B64" t="s">
        <v>77</v>
      </c>
      <c r="C64">
        <v>4</v>
      </c>
      <c r="D64" t="s">
        <v>309</v>
      </c>
      <c r="E64">
        <v>7</v>
      </c>
      <c r="F64">
        <v>9</v>
      </c>
      <c r="G64">
        <v>0</v>
      </c>
    </row>
    <row r="65" spans="1:7" x14ac:dyDescent="0.35">
      <c r="A65" t="s">
        <v>208</v>
      </c>
      <c r="B65" t="s">
        <v>3</v>
      </c>
      <c r="C65">
        <v>4</v>
      </c>
      <c r="D65" t="s">
        <v>309</v>
      </c>
      <c r="E65">
        <v>10</v>
      </c>
      <c r="F65">
        <v>13</v>
      </c>
      <c r="G65">
        <v>0</v>
      </c>
    </row>
    <row r="66" spans="1:7" x14ac:dyDescent="0.35">
      <c r="A66" t="s">
        <v>218</v>
      </c>
      <c r="B66" t="s">
        <v>77</v>
      </c>
      <c r="C66">
        <v>4</v>
      </c>
      <c r="D66" t="s">
        <v>309</v>
      </c>
      <c r="E66">
        <v>9</v>
      </c>
      <c r="F66">
        <v>12</v>
      </c>
      <c r="G66">
        <v>0</v>
      </c>
    </row>
    <row r="67" spans="1:7" x14ac:dyDescent="0.35">
      <c r="A67" t="s">
        <v>173</v>
      </c>
      <c r="B67" t="s">
        <v>70</v>
      </c>
      <c r="C67">
        <v>4</v>
      </c>
      <c r="D67" t="s">
        <v>309</v>
      </c>
      <c r="E67">
        <v>8</v>
      </c>
      <c r="F67">
        <v>10</v>
      </c>
      <c r="G67">
        <v>0</v>
      </c>
    </row>
    <row r="68" spans="1:7" x14ac:dyDescent="0.35">
      <c r="A68" t="s">
        <v>170</v>
      </c>
      <c r="B68" t="s">
        <v>70</v>
      </c>
      <c r="C68">
        <v>4</v>
      </c>
      <c r="D68" t="s">
        <v>309</v>
      </c>
      <c r="E68">
        <v>13</v>
      </c>
      <c r="F68">
        <v>17</v>
      </c>
      <c r="G68">
        <v>0</v>
      </c>
    </row>
    <row r="69" spans="1:7" x14ac:dyDescent="0.35">
      <c r="A69" t="s">
        <v>291</v>
      </c>
      <c r="B69" t="s">
        <v>87</v>
      </c>
      <c r="C69">
        <v>3</v>
      </c>
      <c r="D69" t="s">
        <v>309</v>
      </c>
      <c r="E69">
        <v>9</v>
      </c>
      <c r="F69">
        <v>12</v>
      </c>
      <c r="G69">
        <v>0</v>
      </c>
    </row>
    <row r="70" spans="1:7" x14ac:dyDescent="0.35">
      <c r="A70" t="s">
        <v>167</v>
      </c>
      <c r="B70" t="s">
        <v>70</v>
      </c>
      <c r="C70">
        <v>3</v>
      </c>
      <c r="D70" t="s">
        <v>309</v>
      </c>
      <c r="E70">
        <v>9</v>
      </c>
      <c r="F70">
        <v>12</v>
      </c>
      <c r="G70">
        <v>0</v>
      </c>
    </row>
    <row r="71" spans="1:7" x14ac:dyDescent="0.35">
      <c r="A71" t="s">
        <v>231</v>
      </c>
      <c r="B71" t="s">
        <v>80</v>
      </c>
      <c r="C71">
        <v>3</v>
      </c>
      <c r="D71" t="s">
        <v>309</v>
      </c>
      <c r="E71">
        <v>10</v>
      </c>
      <c r="F71">
        <v>13</v>
      </c>
      <c r="G71">
        <v>0</v>
      </c>
    </row>
    <row r="72" spans="1:7" x14ac:dyDescent="0.35">
      <c r="A72" t="s">
        <v>195</v>
      </c>
      <c r="B72" t="s">
        <v>73</v>
      </c>
      <c r="C72">
        <v>3</v>
      </c>
      <c r="D72" t="s">
        <v>309</v>
      </c>
      <c r="E72">
        <v>7</v>
      </c>
      <c r="F72">
        <v>9</v>
      </c>
      <c r="G72">
        <v>0</v>
      </c>
    </row>
    <row r="73" spans="1:7" x14ac:dyDescent="0.35">
      <c r="A73" t="s">
        <v>182</v>
      </c>
      <c r="B73" t="s">
        <v>73</v>
      </c>
      <c r="C73">
        <v>3</v>
      </c>
      <c r="D73" t="s">
        <v>308</v>
      </c>
      <c r="E73">
        <v>9</v>
      </c>
      <c r="F73">
        <v>12</v>
      </c>
      <c r="G73">
        <v>0</v>
      </c>
    </row>
    <row r="74" spans="1:7" x14ac:dyDescent="0.35">
      <c r="A74" t="s">
        <v>171</v>
      </c>
      <c r="B74" t="s">
        <v>70</v>
      </c>
      <c r="C74">
        <v>3</v>
      </c>
      <c r="D74" t="s">
        <v>309</v>
      </c>
      <c r="E74">
        <v>7</v>
      </c>
      <c r="F74">
        <v>9</v>
      </c>
      <c r="G74">
        <v>0</v>
      </c>
    </row>
    <row r="75" spans="1:7" x14ac:dyDescent="0.35">
      <c r="A75" t="s">
        <v>211</v>
      </c>
      <c r="B75" t="s">
        <v>3</v>
      </c>
      <c r="C75">
        <v>3</v>
      </c>
      <c r="D75" t="s">
        <v>308</v>
      </c>
      <c r="E75">
        <v>10</v>
      </c>
      <c r="F75">
        <v>13</v>
      </c>
      <c r="G75">
        <v>0</v>
      </c>
    </row>
    <row r="76" spans="1:7" x14ac:dyDescent="0.35">
      <c r="A76" t="s">
        <v>289</v>
      </c>
      <c r="B76" t="s">
        <v>87</v>
      </c>
      <c r="C76">
        <v>3</v>
      </c>
      <c r="D76" t="s">
        <v>309</v>
      </c>
      <c r="E76">
        <v>5</v>
      </c>
      <c r="F76">
        <v>7</v>
      </c>
      <c r="G76">
        <v>0</v>
      </c>
    </row>
    <row r="77" spans="1:7" x14ac:dyDescent="0.35">
      <c r="A77" t="s">
        <v>288</v>
      </c>
      <c r="B77" t="s">
        <v>87</v>
      </c>
      <c r="C77">
        <v>3</v>
      </c>
      <c r="D77" t="s">
        <v>308</v>
      </c>
      <c r="E77">
        <v>7</v>
      </c>
      <c r="F77">
        <v>9</v>
      </c>
      <c r="G77">
        <v>0</v>
      </c>
    </row>
    <row r="78" spans="1:7" x14ac:dyDescent="0.35">
      <c r="A78" t="s">
        <v>286</v>
      </c>
      <c r="B78" t="s">
        <v>87</v>
      </c>
      <c r="C78">
        <v>3</v>
      </c>
      <c r="D78" t="s">
        <v>308</v>
      </c>
      <c r="E78">
        <v>9</v>
      </c>
      <c r="F78">
        <v>12</v>
      </c>
      <c r="G78">
        <v>0</v>
      </c>
    </row>
    <row r="79" spans="1:7" x14ac:dyDescent="0.35">
      <c r="A79" t="s">
        <v>279</v>
      </c>
      <c r="B79" t="s">
        <v>85</v>
      </c>
      <c r="C79">
        <v>3</v>
      </c>
      <c r="D79" t="s">
        <v>309</v>
      </c>
      <c r="E79">
        <v>7</v>
      </c>
      <c r="F79">
        <v>9</v>
      </c>
      <c r="G79">
        <v>0</v>
      </c>
    </row>
    <row r="80" spans="1:7" x14ac:dyDescent="0.35">
      <c r="A80" t="s">
        <v>271</v>
      </c>
      <c r="B80" t="s">
        <v>85</v>
      </c>
      <c r="C80">
        <v>3</v>
      </c>
      <c r="D80" t="s">
        <v>308</v>
      </c>
      <c r="E80">
        <v>6</v>
      </c>
      <c r="F80">
        <v>8</v>
      </c>
      <c r="G80">
        <v>0</v>
      </c>
    </row>
    <row r="81" spans="1:7" x14ac:dyDescent="0.35">
      <c r="A81" t="s">
        <v>280</v>
      </c>
      <c r="B81" t="s">
        <v>85</v>
      </c>
      <c r="C81">
        <v>3</v>
      </c>
      <c r="D81" t="s">
        <v>309</v>
      </c>
      <c r="E81">
        <v>10</v>
      </c>
      <c r="F81">
        <v>13</v>
      </c>
      <c r="G81">
        <v>0</v>
      </c>
    </row>
    <row r="82" spans="1:7" x14ac:dyDescent="0.35">
      <c r="A82" t="s">
        <v>265</v>
      </c>
      <c r="B82" t="s">
        <v>82</v>
      </c>
      <c r="C82">
        <v>3</v>
      </c>
      <c r="D82" t="s">
        <v>309</v>
      </c>
      <c r="E82">
        <v>11</v>
      </c>
      <c r="F82">
        <v>14</v>
      </c>
      <c r="G82">
        <v>0</v>
      </c>
    </row>
    <row r="83" spans="1:7" x14ac:dyDescent="0.35">
      <c r="A83" t="s">
        <v>253</v>
      </c>
      <c r="B83" t="s">
        <v>82</v>
      </c>
      <c r="C83">
        <v>3</v>
      </c>
      <c r="D83" t="s">
        <v>308</v>
      </c>
      <c r="E83">
        <v>11</v>
      </c>
      <c r="F83">
        <v>14</v>
      </c>
      <c r="G83">
        <v>0</v>
      </c>
    </row>
    <row r="84" spans="1:7" x14ac:dyDescent="0.35">
      <c r="A84" t="s">
        <v>256</v>
      </c>
      <c r="B84" t="s">
        <v>82</v>
      </c>
      <c r="C84">
        <v>3</v>
      </c>
      <c r="D84" t="s">
        <v>308</v>
      </c>
      <c r="E84">
        <v>12</v>
      </c>
      <c r="F84">
        <v>15</v>
      </c>
      <c r="G84">
        <v>0</v>
      </c>
    </row>
    <row r="85" spans="1:7" x14ac:dyDescent="0.35">
      <c r="A85" t="s">
        <v>251</v>
      </c>
      <c r="B85" t="s">
        <v>82</v>
      </c>
      <c r="C85">
        <v>3</v>
      </c>
      <c r="D85" t="s">
        <v>308</v>
      </c>
      <c r="E85">
        <v>7</v>
      </c>
      <c r="F85">
        <v>9</v>
      </c>
      <c r="G85">
        <v>0</v>
      </c>
    </row>
    <row r="86" spans="1:7" x14ac:dyDescent="0.35">
      <c r="A86" t="s">
        <v>257</v>
      </c>
      <c r="B86" t="s">
        <v>82</v>
      </c>
      <c r="C86">
        <v>3</v>
      </c>
      <c r="D86" t="s">
        <v>309</v>
      </c>
      <c r="E86">
        <v>11</v>
      </c>
      <c r="F86">
        <v>14</v>
      </c>
      <c r="G86">
        <v>0</v>
      </c>
    </row>
    <row r="87" spans="1:7" x14ac:dyDescent="0.35">
      <c r="A87" t="s">
        <v>262</v>
      </c>
      <c r="B87" t="s">
        <v>82</v>
      </c>
      <c r="C87">
        <v>3</v>
      </c>
      <c r="D87" t="s">
        <v>308</v>
      </c>
      <c r="E87">
        <v>10</v>
      </c>
      <c r="F87">
        <v>13</v>
      </c>
      <c r="G87">
        <v>0</v>
      </c>
    </row>
    <row r="88" spans="1:7" x14ac:dyDescent="0.35">
      <c r="A88" t="s">
        <v>266</v>
      </c>
      <c r="B88" t="s">
        <v>85</v>
      </c>
      <c r="C88">
        <v>3</v>
      </c>
      <c r="D88" t="s">
        <v>308</v>
      </c>
      <c r="E88">
        <v>7</v>
      </c>
      <c r="F88">
        <v>9</v>
      </c>
      <c r="G88">
        <v>0</v>
      </c>
    </row>
    <row r="89" spans="1:7" x14ac:dyDescent="0.35">
      <c r="A89" t="s">
        <v>263</v>
      </c>
      <c r="B89" t="s">
        <v>82</v>
      </c>
      <c r="C89">
        <v>3</v>
      </c>
      <c r="D89" t="s">
        <v>309</v>
      </c>
      <c r="E89">
        <v>6</v>
      </c>
      <c r="F89">
        <v>8</v>
      </c>
      <c r="G89">
        <v>0</v>
      </c>
    </row>
    <row r="90" spans="1:7" x14ac:dyDescent="0.35">
      <c r="A90" t="s">
        <v>237</v>
      </c>
      <c r="B90" t="s">
        <v>80</v>
      </c>
      <c r="C90">
        <v>3</v>
      </c>
      <c r="D90" t="s">
        <v>308</v>
      </c>
      <c r="E90">
        <v>6</v>
      </c>
      <c r="F90">
        <v>8</v>
      </c>
      <c r="G90">
        <v>0</v>
      </c>
    </row>
    <row r="91" spans="1:7" x14ac:dyDescent="0.35">
      <c r="A91" t="s">
        <v>223</v>
      </c>
      <c r="B91" t="s">
        <v>77</v>
      </c>
      <c r="C91">
        <v>3</v>
      </c>
      <c r="D91" t="s">
        <v>309</v>
      </c>
      <c r="E91">
        <v>9</v>
      </c>
      <c r="F91">
        <v>12</v>
      </c>
      <c r="G91">
        <v>0</v>
      </c>
    </row>
    <row r="92" spans="1:7" x14ac:dyDescent="0.35">
      <c r="A92" t="s">
        <v>176</v>
      </c>
      <c r="B92" t="s">
        <v>70</v>
      </c>
      <c r="C92">
        <v>3</v>
      </c>
      <c r="D92" t="s">
        <v>309</v>
      </c>
      <c r="E92">
        <v>8</v>
      </c>
      <c r="F92">
        <v>10</v>
      </c>
      <c r="G92">
        <v>0</v>
      </c>
    </row>
    <row r="93" spans="1:7" x14ac:dyDescent="0.35">
      <c r="A93" t="s">
        <v>175</v>
      </c>
      <c r="B93" t="s">
        <v>70</v>
      </c>
      <c r="C93">
        <v>3</v>
      </c>
      <c r="D93" t="s">
        <v>308</v>
      </c>
      <c r="E93">
        <v>7</v>
      </c>
      <c r="F93">
        <v>9</v>
      </c>
      <c r="G93">
        <v>0</v>
      </c>
    </row>
    <row r="94" spans="1:7" x14ac:dyDescent="0.35">
      <c r="A94" t="s">
        <v>213</v>
      </c>
      <c r="B94" t="s">
        <v>3</v>
      </c>
      <c r="C94">
        <v>3</v>
      </c>
      <c r="D94" t="s">
        <v>308</v>
      </c>
      <c r="E94">
        <v>8</v>
      </c>
      <c r="F94">
        <v>10</v>
      </c>
      <c r="G94">
        <v>0</v>
      </c>
    </row>
    <row r="95" spans="1:7" x14ac:dyDescent="0.35">
      <c r="A95" t="s">
        <v>227</v>
      </c>
      <c r="B95" t="s">
        <v>77</v>
      </c>
      <c r="C95">
        <v>3</v>
      </c>
      <c r="D95" t="s">
        <v>309</v>
      </c>
      <c r="E95">
        <v>10</v>
      </c>
      <c r="F95">
        <v>13</v>
      </c>
      <c r="G95">
        <v>0</v>
      </c>
    </row>
    <row r="96" spans="1:7" x14ac:dyDescent="0.35">
      <c r="A96" t="s">
        <v>222</v>
      </c>
      <c r="B96" t="s">
        <v>77</v>
      </c>
      <c r="C96">
        <v>3</v>
      </c>
      <c r="D96" t="s">
        <v>308</v>
      </c>
      <c r="E96">
        <v>6</v>
      </c>
      <c r="F96">
        <v>8</v>
      </c>
      <c r="G96">
        <v>0</v>
      </c>
    </row>
    <row r="97" spans="1:7" x14ac:dyDescent="0.35">
      <c r="A97" t="s">
        <v>191</v>
      </c>
      <c r="B97" t="s">
        <v>73</v>
      </c>
      <c r="C97">
        <v>3</v>
      </c>
      <c r="D97" t="s">
        <v>309</v>
      </c>
      <c r="E97">
        <v>8</v>
      </c>
      <c r="F97">
        <v>10</v>
      </c>
      <c r="G97">
        <v>0</v>
      </c>
    </row>
    <row r="98" spans="1:7" x14ac:dyDescent="0.35">
      <c r="A98" t="s">
        <v>164</v>
      </c>
      <c r="B98" t="s">
        <v>70</v>
      </c>
      <c r="C98">
        <v>2</v>
      </c>
      <c r="D98" t="s">
        <v>309</v>
      </c>
      <c r="E98">
        <v>7</v>
      </c>
      <c r="F98">
        <v>9</v>
      </c>
      <c r="G98">
        <v>0</v>
      </c>
    </row>
    <row r="99" spans="1:7" x14ac:dyDescent="0.35">
      <c r="A99" t="s">
        <v>202</v>
      </c>
      <c r="B99" t="s">
        <v>3</v>
      </c>
      <c r="C99">
        <v>2</v>
      </c>
      <c r="D99" t="s">
        <v>309</v>
      </c>
      <c r="E99">
        <v>6</v>
      </c>
      <c r="F99">
        <v>8</v>
      </c>
      <c r="G99">
        <v>0</v>
      </c>
    </row>
    <row r="100" spans="1:7" x14ac:dyDescent="0.35">
      <c r="A100" t="s">
        <v>185</v>
      </c>
      <c r="B100" t="s">
        <v>73</v>
      </c>
      <c r="C100">
        <v>2</v>
      </c>
      <c r="D100" t="s">
        <v>309</v>
      </c>
      <c r="E100">
        <v>7</v>
      </c>
      <c r="F100">
        <v>9</v>
      </c>
      <c r="G100">
        <v>0</v>
      </c>
    </row>
    <row r="101" spans="1:7" x14ac:dyDescent="0.35">
      <c r="A101" t="s">
        <v>190</v>
      </c>
      <c r="B101" t="s">
        <v>73</v>
      </c>
      <c r="C101">
        <v>2</v>
      </c>
      <c r="D101" t="s">
        <v>309</v>
      </c>
      <c r="E101">
        <v>6</v>
      </c>
      <c r="F101">
        <v>8</v>
      </c>
      <c r="G101">
        <v>0</v>
      </c>
    </row>
    <row r="102" spans="1:7" x14ac:dyDescent="0.35">
      <c r="A102" t="s">
        <v>169</v>
      </c>
      <c r="B102" t="s">
        <v>70</v>
      </c>
      <c r="C102">
        <v>2</v>
      </c>
      <c r="D102" t="s">
        <v>308</v>
      </c>
      <c r="E102">
        <v>7</v>
      </c>
      <c r="F102">
        <v>9</v>
      </c>
      <c r="G102">
        <v>0</v>
      </c>
    </row>
    <row r="103" spans="1:7" x14ac:dyDescent="0.35">
      <c r="A103" t="s">
        <v>172</v>
      </c>
      <c r="B103" t="s">
        <v>70</v>
      </c>
      <c r="C103">
        <v>2</v>
      </c>
      <c r="D103" t="s">
        <v>309</v>
      </c>
      <c r="E103">
        <v>7</v>
      </c>
      <c r="F103">
        <v>9</v>
      </c>
      <c r="G103">
        <v>0</v>
      </c>
    </row>
    <row r="104" spans="1:7" x14ac:dyDescent="0.35">
      <c r="A104" t="s">
        <v>181</v>
      </c>
      <c r="B104" t="s">
        <v>73</v>
      </c>
      <c r="C104">
        <v>2</v>
      </c>
      <c r="D104" t="s">
        <v>308</v>
      </c>
      <c r="E104">
        <v>7</v>
      </c>
      <c r="F104">
        <v>9</v>
      </c>
      <c r="G104">
        <v>0</v>
      </c>
    </row>
    <row r="105" spans="1:7" x14ac:dyDescent="0.35">
      <c r="A105" t="s">
        <v>180</v>
      </c>
      <c r="B105" t="s">
        <v>73</v>
      </c>
      <c r="C105">
        <v>2</v>
      </c>
      <c r="D105" t="s">
        <v>308</v>
      </c>
      <c r="E105">
        <v>6</v>
      </c>
      <c r="F105">
        <v>8</v>
      </c>
      <c r="G105">
        <v>0</v>
      </c>
    </row>
    <row r="106" spans="1:7" x14ac:dyDescent="0.35">
      <c r="A106" t="s">
        <v>233</v>
      </c>
      <c r="B106" t="s">
        <v>80</v>
      </c>
      <c r="C106">
        <v>2</v>
      </c>
      <c r="D106" t="s">
        <v>309</v>
      </c>
      <c r="E106">
        <v>8</v>
      </c>
      <c r="F106">
        <v>10</v>
      </c>
      <c r="G106">
        <v>0</v>
      </c>
    </row>
    <row r="107" spans="1:7" x14ac:dyDescent="0.35">
      <c r="A107" t="s">
        <v>294</v>
      </c>
      <c r="B107" t="s">
        <v>87</v>
      </c>
      <c r="C107">
        <v>2</v>
      </c>
      <c r="D107" t="s">
        <v>309</v>
      </c>
      <c r="E107">
        <v>7</v>
      </c>
      <c r="F107">
        <v>9</v>
      </c>
      <c r="G107">
        <v>0</v>
      </c>
    </row>
    <row r="108" spans="1:7" x14ac:dyDescent="0.35">
      <c r="A108" t="s">
        <v>293</v>
      </c>
      <c r="B108" t="s">
        <v>87</v>
      </c>
      <c r="C108">
        <v>2</v>
      </c>
      <c r="D108" t="s">
        <v>308</v>
      </c>
      <c r="E108">
        <v>7</v>
      </c>
      <c r="F108">
        <v>9</v>
      </c>
      <c r="G108">
        <v>0</v>
      </c>
    </row>
    <row r="109" spans="1:7" x14ac:dyDescent="0.35">
      <c r="A109" t="s">
        <v>292</v>
      </c>
      <c r="B109" t="s">
        <v>87</v>
      </c>
      <c r="C109">
        <v>2</v>
      </c>
      <c r="D109" t="s">
        <v>308</v>
      </c>
      <c r="E109">
        <v>8</v>
      </c>
      <c r="F109">
        <v>10</v>
      </c>
      <c r="G109">
        <v>0</v>
      </c>
    </row>
    <row r="110" spans="1:7" x14ac:dyDescent="0.35">
      <c r="A110" t="s">
        <v>276</v>
      </c>
      <c r="B110" t="s">
        <v>85</v>
      </c>
      <c r="C110">
        <v>2</v>
      </c>
      <c r="D110" t="s">
        <v>309</v>
      </c>
      <c r="E110">
        <v>8</v>
      </c>
      <c r="F110">
        <v>10</v>
      </c>
      <c r="G110">
        <v>0</v>
      </c>
    </row>
    <row r="111" spans="1:7" x14ac:dyDescent="0.35">
      <c r="A111" t="s">
        <v>241</v>
      </c>
      <c r="B111" t="s">
        <v>80</v>
      </c>
      <c r="C111">
        <v>2</v>
      </c>
      <c r="D111" t="s">
        <v>309</v>
      </c>
      <c r="E111">
        <v>6</v>
      </c>
      <c r="F111">
        <v>8</v>
      </c>
      <c r="G111">
        <v>0</v>
      </c>
    </row>
    <row r="112" spans="1:7" x14ac:dyDescent="0.35">
      <c r="A112" t="s">
        <v>239</v>
      </c>
      <c r="B112" t="s">
        <v>80</v>
      </c>
      <c r="C112">
        <v>2</v>
      </c>
      <c r="D112" t="s">
        <v>309</v>
      </c>
      <c r="E112">
        <v>6</v>
      </c>
      <c r="F112">
        <v>8</v>
      </c>
      <c r="G112">
        <v>0</v>
      </c>
    </row>
    <row r="113" spans="1:7" x14ac:dyDescent="0.35">
      <c r="A113" t="s">
        <v>246</v>
      </c>
      <c r="B113" t="s">
        <v>80</v>
      </c>
      <c r="C113">
        <v>2</v>
      </c>
      <c r="D113" t="s">
        <v>308</v>
      </c>
      <c r="E113">
        <v>11</v>
      </c>
      <c r="F113">
        <v>14</v>
      </c>
      <c r="G113">
        <v>0</v>
      </c>
    </row>
    <row r="114" spans="1:7" x14ac:dyDescent="0.35">
      <c r="A114" t="s">
        <v>273</v>
      </c>
      <c r="B114" t="s">
        <v>85</v>
      </c>
      <c r="C114">
        <v>2</v>
      </c>
      <c r="D114" t="s">
        <v>309</v>
      </c>
      <c r="E114">
        <v>6</v>
      </c>
      <c r="F114">
        <v>8</v>
      </c>
      <c r="G114">
        <v>0</v>
      </c>
    </row>
    <row r="115" spans="1:7" x14ac:dyDescent="0.35">
      <c r="A115" t="s">
        <v>215</v>
      </c>
      <c r="B115" t="s">
        <v>3</v>
      </c>
      <c r="C115">
        <v>2</v>
      </c>
      <c r="D115" t="s">
        <v>308</v>
      </c>
      <c r="E115">
        <v>7</v>
      </c>
      <c r="F115">
        <v>9</v>
      </c>
      <c r="G115">
        <v>0</v>
      </c>
    </row>
    <row r="116" spans="1:7" x14ac:dyDescent="0.35">
      <c r="A116" t="s">
        <v>230</v>
      </c>
      <c r="B116" t="s">
        <v>77</v>
      </c>
      <c r="C116">
        <v>2</v>
      </c>
      <c r="D116" t="s">
        <v>309</v>
      </c>
      <c r="E116">
        <v>6</v>
      </c>
      <c r="F116">
        <v>8</v>
      </c>
      <c r="G116">
        <v>0</v>
      </c>
    </row>
    <row r="117" spans="1:7" x14ac:dyDescent="0.35">
      <c r="A117" t="s">
        <v>203</v>
      </c>
      <c r="B117" t="s">
        <v>3</v>
      </c>
      <c r="C117">
        <v>2</v>
      </c>
      <c r="D117" t="s">
        <v>309</v>
      </c>
      <c r="E117">
        <v>7</v>
      </c>
      <c r="F117">
        <v>9</v>
      </c>
      <c r="G117">
        <v>0</v>
      </c>
    </row>
    <row r="118" spans="1:7" x14ac:dyDescent="0.35">
      <c r="A118" t="s">
        <v>192</v>
      </c>
      <c r="B118" t="s">
        <v>73</v>
      </c>
      <c r="C118">
        <v>2</v>
      </c>
      <c r="D118" t="s">
        <v>309</v>
      </c>
      <c r="E118">
        <v>5</v>
      </c>
      <c r="F118">
        <v>7</v>
      </c>
      <c r="G118">
        <v>0</v>
      </c>
    </row>
    <row r="119" spans="1:7" x14ac:dyDescent="0.35">
      <c r="A119" t="s">
        <v>234</v>
      </c>
      <c r="B119" t="s">
        <v>80</v>
      </c>
      <c r="C119">
        <v>2</v>
      </c>
      <c r="D119" t="s">
        <v>309</v>
      </c>
      <c r="E119">
        <v>5</v>
      </c>
      <c r="F119">
        <v>7</v>
      </c>
      <c r="G119">
        <v>0</v>
      </c>
    </row>
    <row r="120" spans="1:7" x14ac:dyDescent="0.35">
      <c r="A120" t="s">
        <v>229</v>
      </c>
      <c r="B120" t="s">
        <v>77</v>
      </c>
      <c r="C120">
        <v>2</v>
      </c>
      <c r="D120" t="s">
        <v>309</v>
      </c>
      <c r="E120">
        <v>5</v>
      </c>
      <c r="F120">
        <v>7</v>
      </c>
      <c r="G120">
        <v>0</v>
      </c>
    </row>
    <row r="121" spans="1:7" x14ac:dyDescent="0.35">
      <c r="A121" t="s">
        <v>260</v>
      </c>
      <c r="B121" t="s">
        <v>82</v>
      </c>
      <c r="C121">
        <v>2</v>
      </c>
      <c r="D121" t="s">
        <v>308</v>
      </c>
      <c r="E121">
        <v>5</v>
      </c>
      <c r="F121">
        <v>7</v>
      </c>
      <c r="G121">
        <v>0</v>
      </c>
    </row>
    <row r="122" spans="1:7" x14ac:dyDescent="0.35">
      <c r="A122" t="s">
        <v>178</v>
      </c>
      <c r="B122" t="s">
        <v>73</v>
      </c>
      <c r="C122">
        <v>1</v>
      </c>
      <c r="D122" t="s">
        <v>309</v>
      </c>
      <c r="E122">
        <v>8</v>
      </c>
      <c r="F122">
        <v>10</v>
      </c>
      <c r="G122">
        <v>0</v>
      </c>
    </row>
    <row r="123" spans="1:7" x14ac:dyDescent="0.35">
      <c r="A123" t="s">
        <v>219</v>
      </c>
      <c r="B123" t="s">
        <v>77</v>
      </c>
      <c r="C123">
        <v>1</v>
      </c>
      <c r="D123" t="s">
        <v>309</v>
      </c>
      <c r="E123">
        <v>6</v>
      </c>
      <c r="F123">
        <v>8</v>
      </c>
      <c r="G123">
        <v>0</v>
      </c>
    </row>
    <row r="124" spans="1:7" x14ac:dyDescent="0.35">
      <c r="A124" t="s">
        <v>220</v>
      </c>
      <c r="B124" t="s">
        <v>77</v>
      </c>
      <c r="C124">
        <v>1</v>
      </c>
      <c r="D124" t="s">
        <v>308</v>
      </c>
      <c r="E124">
        <v>6</v>
      </c>
      <c r="F124">
        <v>8</v>
      </c>
      <c r="G124">
        <v>0</v>
      </c>
    </row>
    <row r="125" spans="1:7" x14ac:dyDescent="0.35">
      <c r="A125" t="s">
        <v>216</v>
      </c>
      <c r="B125" t="s">
        <v>77</v>
      </c>
      <c r="C125">
        <v>1</v>
      </c>
      <c r="D125" t="s">
        <v>308</v>
      </c>
      <c r="E125">
        <v>6</v>
      </c>
      <c r="F125">
        <v>8</v>
      </c>
      <c r="G125">
        <v>0</v>
      </c>
    </row>
    <row r="126" spans="1:7" x14ac:dyDescent="0.35">
      <c r="A126" t="s">
        <v>217</v>
      </c>
      <c r="B126" t="s">
        <v>77</v>
      </c>
      <c r="C126">
        <v>1</v>
      </c>
      <c r="D126" t="s">
        <v>308</v>
      </c>
      <c r="E126">
        <v>7</v>
      </c>
      <c r="F126">
        <v>9</v>
      </c>
      <c r="G126">
        <v>0</v>
      </c>
    </row>
    <row r="127" spans="1:7" x14ac:dyDescent="0.35">
      <c r="A127" t="s">
        <v>204</v>
      </c>
      <c r="B127" t="s">
        <v>3</v>
      </c>
      <c r="C127">
        <v>1</v>
      </c>
      <c r="D127" t="s">
        <v>309</v>
      </c>
      <c r="E127">
        <v>6</v>
      </c>
      <c r="F127">
        <v>8</v>
      </c>
      <c r="G127">
        <v>0</v>
      </c>
    </row>
    <row r="128" spans="1:7" x14ac:dyDescent="0.35">
      <c r="A128" t="s">
        <v>189</v>
      </c>
      <c r="B128" t="s">
        <v>73</v>
      </c>
      <c r="C128">
        <v>1</v>
      </c>
      <c r="D128" t="s">
        <v>308</v>
      </c>
      <c r="E128">
        <v>8</v>
      </c>
      <c r="F128">
        <v>10</v>
      </c>
      <c r="G128">
        <v>0</v>
      </c>
    </row>
    <row r="129" spans="1:7" x14ac:dyDescent="0.35">
      <c r="A129" t="s">
        <v>194</v>
      </c>
      <c r="B129" t="s">
        <v>73</v>
      </c>
      <c r="C129">
        <v>1</v>
      </c>
      <c r="D129" t="s">
        <v>308</v>
      </c>
      <c r="E129">
        <v>7</v>
      </c>
      <c r="F129">
        <v>9</v>
      </c>
      <c r="G129">
        <v>0</v>
      </c>
    </row>
    <row r="130" spans="1:7" x14ac:dyDescent="0.35">
      <c r="A130" t="s">
        <v>196</v>
      </c>
      <c r="B130" t="s">
        <v>73</v>
      </c>
      <c r="C130">
        <v>1</v>
      </c>
      <c r="D130" t="s">
        <v>308</v>
      </c>
      <c r="E130">
        <v>6</v>
      </c>
      <c r="F130">
        <v>8</v>
      </c>
      <c r="G130">
        <v>0</v>
      </c>
    </row>
    <row r="131" spans="1:7" x14ac:dyDescent="0.35">
      <c r="A131" t="s">
        <v>254</v>
      </c>
      <c r="B131" t="s">
        <v>82</v>
      </c>
      <c r="C131">
        <v>1</v>
      </c>
      <c r="D131" t="s">
        <v>308</v>
      </c>
      <c r="E131">
        <v>6</v>
      </c>
      <c r="F131">
        <v>8</v>
      </c>
      <c r="G131">
        <v>0</v>
      </c>
    </row>
    <row r="132" spans="1:7" x14ac:dyDescent="0.35">
      <c r="A132" t="s">
        <v>252</v>
      </c>
      <c r="B132" t="s">
        <v>82</v>
      </c>
      <c r="C132">
        <v>1</v>
      </c>
      <c r="D132" t="s">
        <v>309</v>
      </c>
      <c r="E132">
        <v>7</v>
      </c>
      <c r="F132">
        <v>9</v>
      </c>
      <c r="G132">
        <v>0</v>
      </c>
    </row>
    <row r="133" spans="1:7" x14ac:dyDescent="0.35">
      <c r="A133" t="s">
        <v>255</v>
      </c>
      <c r="B133" t="s">
        <v>82</v>
      </c>
      <c r="C133">
        <v>1</v>
      </c>
      <c r="D133" t="s">
        <v>309</v>
      </c>
      <c r="E133">
        <v>7</v>
      </c>
      <c r="F133">
        <v>9</v>
      </c>
      <c r="G133">
        <v>0</v>
      </c>
    </row>
    <row r="134" spans="1:7" x14ac:dyDescent="0.35">
      <c r="A134" t="s">
        <v>249</v>
      </c>
      <c r="B134" t="s">
        <v>82</v>
      </c>
      <c r="C134">
        <v>1</v>
      </c>
      <c r="D134" t="s">
        <v>309</v>
      </c>
      <c r="E134">
        <v>7</v>
      </c>
      <c r="F134">
        <v>9</v>
      </c>
      <c r="G134">
        <v>0</v>
      </c>
    </row>
    <row r="135" spans="1:7" x14ac:dyDescent="0.35">
      <c r="A135" t="s">
        <v>281</v>
      </c>
      <c r="B135" t="s">
        <v>85</v>
      </c>
      <c r="C135">
        <v>1</v>
      </c>
      <c r="D135" t="s">
        <v>309</v>
      </c>
      <c r="E135">
        <v>6</v>
      </c>
      <c r="F135">
        <v>8</v>
      </c>
      <c r="G135">
        <v>0</v>
      </c>
    </row>
    <row r="136" spans="1:7" x14ac:dyDescent="0.35">
      <c r="A136" t="s">
        <v>274</v>
      </c>
      <c r="B136" t="s">
        <v>85</v>
      </c>
      <c r="C136">
        <v>1</v>
      </c>
      <c r="D136" t="s">
        <v>308</v>
      </c>
      <c r="E136">
        <v>6</v>
      </c>
      <c r="F136">
        <v>8</v>
      </c>
      <c r="G136">
        <v>0</v>
      </c>
    </row>
    <row r="137" spans="1:7" x14ac:dyDescent="0.35">
      <c r="A137" t="s">
        <v>267</v>
      </c>
      <c r="B137" t="s">
        <v>85</v>
      </c>
      <c r="C137">
        <v>1</v>
      </c>
      <c r="D137" t="s">
        <v>309</v>
      </c>
      <c r="E137">
        <v>5</v>
      </c>
      <c r="F137">
        <v>7</v>
      </c>
      <c r="G137">
        <v>0</v>
      </c>
    </row>
    <row r="138" spans="1:7" x14ac:dyDescent="0.35">
      <c r="A138" t="s">
        <v>298</v>
      </c>
      <c r="B138" t="s">
        <v>77</v>
      </c>
      <c r="C138">
        <v>1</v>
      </c>
      <c r="D138" t="s">
        <v>308</v>
      </c>
      <c r="E138">
        <v>7</v>
      </c>
      <c r="F138">
        <v>9</v>
      </c>
      <c r="G138">
        <v>0</v>
      </c>
    </row>
  </sheetData>
  <conditionalFormatting sqref="C5:C138">
    <cfRule type="colorScale" priority="1">
      <colorScale>
        <cfvo type="min"/>
        <cfvo type="max"/>
        <color rgb="FFFCFCFB"/>
        <color rgb="FFE34948"/>
      </colorScale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668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8" width="13" customWidth="1"/>
  </cols>
  <sheetData>
    <row r="1" spans="1:18" ht="21" x14ac:dyDescent="0.5">
      <c r="A1" s="1" t="s">
        <v>376</v>
      </c>
    </row>
    <row r="2" spans="1:18" x14ac:dyDescent="0.35">
      <c r="A2" s="2" t="s">
        <v>377</v>
      </c>
    </row>
    <row r="4" spans="1:18" ht="30" customHeight="1" x14ac:dyDescent="0.35">
      <c r="A4" s="12" t="s">
        <v>378</v>
      </c>
      <c r="B4" s="12" t="s">
        <v>379</v>
      </c>
      <c r="C4" s="12" t="s">
        <v>380</v>
      </c>
      <c r="D4" s="12" t="s">
        <v>381</v>
      </c>
      <c r="E4" s="12" t="s">
        <v>382</v>
      </c>
      <c r="F4" s="12" t="s">
        <v>383</v>
      </c>
      <c r="G4" s="12" t="s">
        <v>384</v>
      </c>
      <c r="H4" s="12" t="s">
        <v>385</v>
      </c>
      <c r="I4" s="12" t="s">
        <v>386</v>
      </c>
      <c r="J4" s="12" t="s">
        <v>387</v>
      </c>
      <c r="K4" s="12" t="s">
        <v>388</v>
      </c>
      <c r="L4" s="12" t="s">
        <v>389</v>
      </c>
      <c r="M4" s="12" t="s">
        <v>390</v>
      </c>
      <c r="N4" s="12" t="s">
        <v>391</v>
      </c>
      <c r="O4" s="12" t="s">
        <v>392</v>
      </c>
      <c r="P4" s="12" t="s">
        <v>393</v>
      </c>
      <c r="Q4" s="12" t="s">
        <v>394</v>
      </c>
      <c r="R4" s="12" t="s">
        <v>395</v>
      </c>
    </row>
    <row r="5" spans="1:18" x14ac:dyDescent="0.35">
      <c r="A5" s="13">
        <v>44779</v>
      </c>
      <c r="B5">
        <v>2022</v>
      </c>
      <c r="C5">
        <v>8</v>
      </c>
      <c r="D5" t="s">
        <v>70</v>
      </c>
      <c r="E5" t="s">
        <v>72</v>
      </c>
      <c r="F5">
        <v>194</v>
      </c>
      <c r="G5">
        <v>194</v>
      </c>
      <c r="H5">
        <v>0</v>
      </c>
      <c r="I5">
        <v>11</v>
      </c>
      <c r="J5" s="17">
        <v>0.67832167832167833</v>
      </c>
      <c r="K5">
        <v>33</v>
      </c>
      <c r="L5">
        <v>32</v>
      </c>
      <c r="M5" s="17">
        <v>0.96969696969696972</v>
      </c>
      <c r="N5" s="25">
        <v>9902.75</v>
      </c>
      <c r="O5" s="25">
        <v>1843</v>
      </c>
      <c r="P5" s="25">
        <v>5445</v>
      </c>
      <c r="Q5" s="25">
        <v>17190.75</v>
      </c>
      <c r="R5" s="18">
        <v>88.612113402061851</v>
      </c>
    </row>
    <row r="6" spans="1:18" x14ac:dyDescent="0.35">
      <c r="A6" s="13">
        <v>44786</v>
      </c>
      <c r="B6">
        <v>2022</v>
      </c>
      <c r="C6">
        <v>8</v>
      </c>
      <c r="D6" t="s">
        <v>70</v>
      </c>
      <c r="E6" t="s">
        <v>72</v>
      </c>
      <c r="F6">
        <v>203</v>
      </c>
      <c r="G6">
        <v>203</v>
      </c>
      <c r="H6">
        <v>0</v>
      </c>
      <c r="I6">
        <v>11</v>
      </c>
      <c r="J6" s="17">
        <v>0.70979020979020979</v>
      </c>
      <c r="K6">
        <v>33</v>
      </c>
      <c r="L6">
        <v>33</v>
      </c>
      <c r="M6" s="17">
        <v>1</v>
      </c>
      <c r="N6" s="25">
        <v>9902.75</v>
      </c>
      <c r="O6" s="25">
        <v>1928.5</v>
      </c>
      <c r="P6" s="25">
        <v>5445</v>
      </c>
      <c r="Q6" s="25">
        <v>17276.25</v>
      </c>
      <c r="R6" s="18">
        <v>85.104679802955658</v>
      </c>
    </row>
    <row r="7" spans="1:18" x14ac:dyDescent="0.35">
      <c r="A7" s="13">
        <v>44793</v>
      </c>
      <c r="B7">
        <v>2022</v>
      </c>
      <c r="C7">
        <v>8</v>
      </c>
      <c r="D7" t="s">
        <v>70</v>
      </c>
      <c r="E7" t="s">
        <v>72</v>
      </c>
      <c r="F7">
        <v>184</v>
      </c>
      <c r="G7">
        <v>184</v>
      </c>
      <c r="H7">
        <v>0</v>
      </c>
      <c r="I7">
        <v>10</v>
      </c>
      <c r="J7" s="17">
        <v>0.70769230769230773</v>
      </c>
      <c r="K7">
        <v>33</v>
      </c>
      <c r="L7">
        <v>31</v>
      </c>
      <c r="M7" s="17">
        <v>0.93939393939393945</v>
      </c>
      <c r="N7" s="25">
        <v>9002.5</v>
      </c>
      <c r="O7" s="25">
        <v>1748</v>
      </c>
      <c r="P7" s="25">
        <v>5445</v>
      </c>
      <c r="Q7" s="25">
        <v>16195.5</v>
      </c>
      <c r="R7" s="18">
        <v>88.019021739130437</v>
      </c>
    </row>
    <row r="8" spans="1:18" x14ac:dyDescent="0.35">
      <c r="A8" s="13">
        <v>44800</v>
      </c>
      <c r="B8">
        <v>2022</v>
      </c>
      <c r="C8">
        <v>8</v>
      </c>
      <c r="D8" t="s">
        <v>70</v>
      </c>
      <c r="E8" t="s">
        <v>72</v>
      </c>
      <c r="F8">
        <v>190</v>
      </c>
      <c r="G8">
        <v>190</v>
      </c>
      <c r="H8">
        <v>0</v>
      </c>
      <c r="I8">
        <v>11</v>
      </c>
      <c r="J8" s="17">
        <v>0.66433566433566438</v>
      </c>
      <c r="K8">
        <v>33</v>
      </c>
      <c r="L8">
        <v>30</v>
      </c>
      <c r="M8" s="17">
        <v>0.90909090909090906</v>
      </c>
      <c r="N8" s="25">
        <v>9902.75</v>
      </c>
      <c r="O8" s="25">
        <v>1805</v>
      </c>
      <c r="P8" s="25">
        <v>5445</v>
      </c>
      <c r="Q8" s="25">
        <v>17152.75</v>
      </c>
      <c r="R8" s="18">
        <v>90.277631578947364</v>
      </c>
    </row>
    <row r="9" spans="1:18" x14ac:dyDescent="0.35">
      <c r="A9" s="13">
        <v>44807</v>
      </c>
      <c r="B9">
        <v>2022</v>
      </c>
      <c r="C9">
        <v>9</v>
      </c>
      <c r="D9" t="s">
        <v>70</v>
      </c>
      <c r="E9" t="s">
        <v>72</v>
      </c>
      <c r="F9">
        <v>190</v>
      </c>
      <c r="G9">
        <v>190</v>
      </c>
      <c r="H9">
        <v>0</v>
      </c>
      <c r="I9">
        <v>11</v>
      </c>
      <c r="J9" s="17">
        <v>0.66433566433566438</v>
      </c>
      <c r="K9">
        <v>33</v>
      </c>
      <c r="L9">
        <v>33</v>
      </c>
      <c r="M9" s="17">
        <v>1</v>
      </c>
      <c r="N9" s="25">
        <v>9902.75</v>
      </c>
      <c r="O9" s="25">
        <v>1805</v>
      </c>
      <c r="P9" s="25">
        <v>5445</v>
      </c>
      <c r="Q9" s="25">
        <v>17152.75</v>
      </c>
      <c r="R9" s="18">
        <v>90.277631578947364</v>
      </c>
    </row>
    <row r="10" spans="1:18" x14ac:dyDescent="0.35">
      <c r="A10" s="13">
        <v>44814</v>
      </c>
      <c r="B10">
        <v>2022</v>
      </c>
      <c r="C10">
        <v>9</v>
      </c>
      <c r="D10" t="s">
        <v>70</v>
      </c>
      <c r="E10" t="s">
        <v>72</v>
      </c>
      <c r="F10">
        <v>189</v>
      </c>
      <c r="G10">
        <v>189</v>
      </c>
      <c r="H10">
        <v>0</v>
      </c>
      <c r="I10">
        <v>11</v>
      </c>
      <c r="J10" s="17">
        <v>0.66083916083916083</v>
      </c>
      <c r="K10">
        <v>33</v>
      </c>
      <c r="L10">
        <v>33</v>
      </c>
      <c r="M10" s="17">
        <v>1</v>
      </c>
      <c r="N10" s="25">
        <v>9902.75</v>
      </c>
      <c r="O10" s="25">
        <v>1795.5</v>
      </c>
      <c r="P10" s="25">
        <v>5445</v>
      </c>
      <c r="Q10" s="25">
        <v>17143.25</v>
      </c>
      <c r="R10" s="18">
        <v>90.705026455026456</v>
      </c>
    </row>
    <row r="11" spans="1:18" x14ac:dyDescent="0.35">
      <c r="A11" s="13">
        <v>44821</v>
      </c>
      <c r="B11">
        <v>2022</v>
      </c>
      <c r="C11">
        <v>9</v>
      </c>
      <c r="D11" t="s">
        <v>70</v>
      </c>
      <c r="E11" t="s">
        <v>72</v>
      </c>
      <c r="F11">
        <v>188</v>
      </c>
      <c r="G11">
        <v>188</v>
      </c>
      <c r="H11">
        <v>0</v>
      </c>
      <c r="I11">
        <v>10</v>
      </c>
      <c r="J11" s="17">
        <v>0.72307692307692306</v>
      </c>
      <c r="K11">
        <v>33</v>
      </c>
      <c r="L11">
        <v>31</v>
      </c>
      <c r="M11" s="17">
        <v>0.93939393939393945</v>
      </c>
      <c r="N11" s="25">
        <v>9002.5</v>
      </c>
      <c r="O11" s="25">
        <v>1786</v>
      </c>
      <c r="P11" s="25">
        <v>5445</v>
      </c>
      <c r="Q11" s="25">
        <v>16233.5</v>
      </c>
      <c r="R11" s="18">
        <v>86.348404255319153</v>
      </c>
    </row>
    <row r="12" spans="1:18" x14ac:dyDescent="0.35">
      <c r="A12" s="13">
        <v>44828</v>
      </c>
      <c r="B12">
        <v>2022</v>
      </c>
      <c r="C12">
        <v>9</v>
      </c>
      <c r="D12" t="s">
        <v>70</v>
      </c>
      <c r="E12" t="s">
        <v>72</v>
      </c>
      <c r="F12">
        <v>180</v>
      </c>
      <c r="G12">
        <v>180</v>
      </c>
      <c r="H12">
        <v>0</v>
      </c>
      <c r="I12">
        <v>10</v>
      </c>
      <c r="J12" s="17">
        <v>0.69230769230769229</v>
      </c>
      <c r="K12">
        <v>33</v>
      </c>
      <c r="L12">
        <v>33</v>
      </c>
      <c r="M12" s="17">
        <v>1</v>
      </c>
      <c r="N12" s="25">
        <v>9002.5</v>
      </c>
      <c r="O12" s="25">
        <v>1710</v>
      </c>
      <c r="P12" s="25">
        <v>5445</v>
      </c>
      <c r="Q12" s="25">
        <v>16157.5</v>
      </c>
      <c r="R12" s="18">
        <v>89.763888888888886</v>
      </c>
    </row>
    <row r="13" spans="1:18" x14ac:dyDescent="0.35">
      <c r="A13" s="13">
        <v>44835</v>
      </c>
      <c r="B13">
        <v>2022</v>
      </c>
      <c r="C13">
        <v>10</v>
      </c>
      <c r="D13" t="s">
        <v>70</v>
      </c>
      <c r="E13" t="s">
        <v>72</v>
      </c>
      <c r="F13">
        <v>186</v>
      </c>
      <c r="G13">
        <v>186</v>
      </c>
      <c r="H13">
        <v>0</v>
      </c>
      <c r="I13">
        <v>10</v>
      </c>
      <c r="J13" s="17">
        <v>0.7153846153846154</v>
      </c>
      <c r="K13">
        <v>33</v>
      </c>
      <c r="L13">
        <v>30</v>
      </c>
      <c r="M13" s="17">
        <v>0.90909090909090906</v>
      </c>
      <c r="N13" s="25">
        <v>9002.5</v>
      </c>
      <c r="O13" s="25">
        <v>1767</v>
      </c>
      <c r="P13" s="25">
        <v>5445</v>
      </c>
      <c r="Q13" s="25">
        <v>16214.5</v>
      </c>
      <c r="R13" s="18">
        <v>87.174731182795696</v>
      </c>
    </row>
    <row r="14" spans="1:18" x14ac:dyDescent="0.35">
      <c r="A14" s="13">
        <v>44842</v>
      </c>
      <c r="B14">
        <v>2022</v>
      </c>
      <c r="C14">
        <v>10</v>
      </c>
      <c r="D14" t="s">
        <v>70</v>
      </c>
      <c r="E14" t="s">
        <v>72</v>
      </c>
      <c r="F14">
        <v>184</v>
      </c>
      <c r="G14">
        <v>184</v>
      </c>
      <c r="H14">
        <v>0</v>
      </c>
      <c r="I14">
        <v>11</v>
      </c>
      <c r="J14" s="17">
        <v>0.64335664335664333</v>
      </c>
      <c r="K14">
        <v>33</v>
      </c>
      <c r="L14">
        <v>32</v>
      </c>
      <c r="M14" s="17">
        <v>0.96969696969696972</v>
      </c>
      <c r="N14" s="25">
        <v>9902.75</v>
      </c>
      <c r="O14" s="25">
        <v>1748</v>
      </c>
      <c r="P14" s="25">
        <v>5445</v>
      </c>
      <c r="Q14" s="25">
        <v>17095.75</v>
      </c>
      <c r="R14" s="18">
        <v>92.911684782608702</v>
      </c>
    </row>
    <row r="15" spans="1:18" x14ac:dyDescent="0.35">
      <c r="A15" s="13">
        <v>44849</v>
      </c>
      <c r="B15">
        <v>2022</v>
      </c>
      <c r="C15">
        <v>10</v>
      </c>
      <c r="D15" t="s">
        <v>70</v>
      </c>
      <c r="E15" t="s">
        <v>72</v>
      </c>
      <c r="F15">
        <v>187</v>
      </c>
      <c r="G15">
        <v>187</v>
      </c>
      <c r="H15">
        <v>0</v>
      </c>
      <c r="I15">
        <v>11</v>
      </c>
      <c r="J15" s="17">
        <v>0.65384615384615385</v>
      </c>
      <c r="K15">
        <v>33</v>
      </c>
      <c r="L15">
        <v>30</v>
      </c>
      <c r="M15" s="17">
        <v>0.90909090909090906</v>
      </c>
      <c r="N15" s="25">
        <v>9902.75</v>
      </c>
      <c r="O15" s="25">
        <v>1776.5</v>
      </c>
      <c r="P15" s="25">
        <v>5445</v>
      </c>
      <c r="Q15" s="25">
        <v>17124.25</v>
      </c>
      <c r="R15" s="18">
        <v>91.57352941176471</v>
      </c>
    </row>
    <row r="16" spans="1:18" x14ac:dyDescent="0.35">
      <c r="A16" s="13">
        <v>44856</v>
      </c>
      <c r="B16">
        <v>2022</v>
      </c>
      <c r="C16">
        <v>10</v>
      </c>
      <c r="D16" t="s">
        <v>70</v>
      </c>
      <c r="E16" t="s">
        <v>72</v>
      </c>
      <c r="F16">
        <v>195</v>
      </c>
      <c r="G16">
        <v>195</v>
      </c>
      <c r="H16">
        <v>0</v>
      </c>
      <c r="I16">
        <v>11</v>
      </c>
      <c r="J16" s="17">
        <v>0.68181818181818177</v>
      </c>
      <c r="K16">
        <v>33</v>
      </c>
      <c r="L16">
        <v>32</v>
      </c>
      <c r="M16" s="17">
        <v>0.96969696969696972</v>
      </c>
      <c r="N16" s="25">
        <v>9902.75</v>
      </c>
      <c r="O16" s="25">
        <v>1852.5</v>
      </c>
      <c r="P16" s="25">
        <v>5445</v>
      </c>
      <c r="Q16" s="25">
        <v>17200.25</v>
      </c>
      <c r="R16" s="18">
        <v>88.206410256410251</v>
      </c>
    </row>
    <row r="17" spans="1:18" x14ac:dyDescent="0.35">
      <c r="A17" s="13">
        <v>44863</v>
      </c>
      <c r="B17">
        <v>2022</v>
      </c>
      <c r="C17">
        <v>10</v>
      </c>
      <c r="D17" t="s">
        <v>70</v>
      </c>
      <c r="E17" t="s">
        <v>72</v>
      </c>
      <c r="F17">
        <v>208</v>
      </c>
      <c r="G17">
        <v>208</v>
      </c>
      <c r="H17">
        <v>0</v>
      </c>
      <c r="I17">
        <v>11</v>
      </c>
      <c r="J17" s="17">
        <v>0.72727272727272729</v>
      </c>
      <c r="K17">
        <v>33</v>
      </c>
      <c r="L17">
        <v>33</v>
      </c>
      <c r="M17" s="17">
        <v>1</v>
      </c>
      <c r="N17" s="25">
        <v>9902.75</v>
      </c>
      <c r="O17" s="25">
        <v>1976</v>
      </c>
      <c r="P17" s="25">
        <v>5445</v>
      </c>
      <c r="Q17" s="25">
        <v>17323.75</v>
      </c>
      <c r="R17" s="18">
        <v>83.287259615384613</v>
      </c>
    </row>
    <row r="18" spans="1:18" x14ac:dyDescent="0.35">
      <c r="A18" s="13">
        <v>44870</v>
      </c>
      <c r="B18">
        <v>2022</v>
      </c>
      <c r="C18">
        <v>11</v>
      </c>
      <c r="D18" t="s">
        <v>70</v>
      </c>
      <c r="E18" t="s">
        <v>72</v>
      </c>
      <c r="F18">
        <v>207</v>
      </c>
      <c r="G18">
        <v>207</v>
      </c>
      <c r="H18">
        <v>0</v>
      </c>
      <c r="I18">
        <v>11</v>
      </c>
      <c r="J18" s="17">
        <v>0.72377622377622375</v>
      </c>
      <c r="K18">
        <v>33</v>
      </c>
      <c r="L18">
        <v>31</v>
      </c>
      <c r="M18" s="17">
        <v>0.93939393939393945</v>
      </c>
      <c r="N18" s="25">
        <v>9902.75</v>
      </c>
      <c r="O18" s="25">
        <v>1966.5</v>
      </c>
      <c r="P18" s="25">
        <v>5445</v>
      </c>
      <c r="Q18" s="25">
        <v>17314.25</v>
      </c>
      <c r="R18" s="18">
        <v>83.643719806763286</v>
      </c>
    </row>
    <row r="19" spans="1:18" x14ac:dyDescent="0.35">
      <c r="A19" s="13">
        <v>44877</v>
      </c>
      <c r="B19">
        <v>2022</v>
      </c>
      <c r="C19">
        <v>11</v>
      </c>
      <c r="D19" t="s">
        <v>70</v>
      </c>
      <c r="E19" t="s">
        <v>72</v>
      </c>
      <c r="F19">
        <v>222</v>
      </c>
      <c r="G19">
        <v>222</v>
      </c>
      <c r="H19">
        <v>0</v>
      </c>
      <c r="I19">
        <v>11</v>
      </c>
      <c r="J19" s="17">
        <v>0.77622377622377625</v>
      </c>
      <c r="K19">
        <v>33</v>
      </c>
      <c r="L19">
        <v>33</v>
      </c>
      <c r="M19" s="17">
        <v>1</v>
      </c>
      <c r="N19" s="25">
        <v>9902.75</v>
      </c>
      <c r="O19" s="25">
        <v>2109</v>
      </c>
      <c r="P19" s="25">
        <v>5445</v>
      </c>
      <c r="Q19" s="25">
        <v>17456.75</v>
      </c>
      <c r="R19" s="18">
        <v>78.634009009009006</v>
      </c>
    </row>
    <row r="20" spans="1:18" x14ac:dyDescent="0.35">
      <c r="A20" s="13">
        <v>44884</v>
      </c>
      <c r="B20">
        <v>2022</v>
      </c>
      <c r="C20">
        <v>11</v>
      </c>
      <c r="D20" t="s">
        <v>70</v>
      </c>
      <c r="E20" t="s">
        <v>72</v>
      </c>
      <c r="F20">
        <v>256</v>
      </c>
      <c r="G20">
        <v>255</v>
      </c>
      <c r="H20">
        <v>1</v>
      </c>
      <c r="I20">
        <v>13</v>
      </c>
      <c r="J20" s="17">
        <v>0.75443786982248517</v>
      </c>
      <c r="K20">
        <v>33</v>
      </c>
      <c r="L20">
        <v>32</v>
      </c>
      <c r="M20" s="17">
        <v>0.96969696969696972</v>
      </c>
      <c r="N20" s="25">
        <v>11703.25</v>
      </c>
      <c r="O20" s="25">
        <v>2422.5</v>
      </c>
      <c r="P20" s="25">
        <v>5445</v>
      </c>
      <c r="Q20" s="25">
        <v>19570.75</v>
      </c>
      <c r="R20" s="18">
        <v>76.748039215686276</v>
      </c>
    </row>
    <row r="21" spans="1:18" x14ac:dyDescent="0.35">
      <c r="A21" s="13">
        <v>44891</v>
      </c>
      <c r="B21">
        <v>2022</v>
      </c>
      <c r="C21">
        <v>11</v>
      </c>
      <c r="D21" t="s">
        <v>70</v>
      </c>
      <c r="E21" t="s">
        <v>72</v>
      </c>
      <c r="F21">
        <v>268</v>
      </c>
      <c r="G21">
        <v>267</v>
      </c>
      <c r="H21">
        <v>2</v>
      </c>
      <c r="I21">
        <v>14</v>
      </c>
      <c r="J21" s="17">
        <v>0.73351648351648346</v>
      </c>
      <c r="K21">
        <v>33</v>
      </c>
      <c r="L21">
        <v>33</v>
      </c>
      <c r="M21" s="17">
        <v>1</v>
      </c>
      <c r="N21" s="25">
        <v>12603.5</v>
      </c>
      <c r="O21" s="25">
        <v>2536.5</v>
      </c>
      <c r="P21" s="25">
        <v>5445</v>
      </c>
      <c r="Q21" s="25">
        <v>20585</v>
      </c>
      <c r="R21" s="18">
        <v>77.097378277153553</v>
      </c>
    </row>
    <row r="22" spans="1:18" x14ac:dyDescent="0.35">
      <c r="A22" s="13">
        <v>44898</v>
      </c>
      <c r="B22">
        <v>2022</v>
      </c>
      <c r="C22">
        <v>12</v>
      </c>
      <c r="D22" t="s">
        <v>70</v>
      </c>
      <c r="E22" t="s">
        <v>72</v>
      </c>
      <c r="F22">
        <v>276</v>
      </c>
      <c r="G22">
        <v>272</v>
      </c>
      <c r="H22">
        <v>6</v>
      </c>
      <c r="I22">
        <v>14</v>
      </c>
      <c r="J22" s="17">
        <v>0.74725274725274726</v>
      </c>
      <c r="K22">
        <v>33</v>
      </c>
      <c r="L22">
        <v>31</v>
      </c>
      <c r="M22" s="17">
        <v>0.93939393939393945</v>
      </c>
      <c r="N22" s="25">
        <v>12603.5</v>
      </c>
      <c r="O22" s="25">
        <v>2584</v>
      </c>
      <c r="P22" s="25">
        <v>5445</v>
      </c>
      <c r="Q22" s="25">
        <v>20632.5</v>
      </c>
      <c r="R22" s="18">
        <v>75.85477941176471</v>
      </c>
    </row>
    <row r="23" spans="1:18" x14ac:dyDescent="0.35">
      <c r="A23" s="13">
        <v>44905</v>
      </c>
      <c r="B23">
        <v>2022</v>
      </c>
      <c r="C23">
        <v>12</v>
      </c>
      <c r="D23" t="s">
        <v>70</v>
      </c>
      <c r="E23" t="s">
        <v>72</v>
      </c>
      <c r="F23">
        <v>286</v>
      </c>
      <c r="G23">
        <v>282</v>
      </c>
      <c r="H23">
        <v>10</v>
      </c>
      <c r="I23">
        <v>14</v>
      </c>
      <c r="J23" s="17">
        <v>0.77472527472527475</v>
      </c>
      <c r="K23">
        <v>33</v>
      </c>
      <c r="L23">
        <v>32</v>
      </c>
      <c r="M23" s="17">
        <v>0.96969696969696972</v>
      </c>
      <c r="N23" s="25">
        <v>12603.5</v>
      </c>
      <c r="O23" s="25">
        <v>2679</v>
      </c>
      <c r="P23" s="25">
        <v>5445</v>
      </c>
      <c r="Q23" s="25">
        <v>20727.5</v>
      </c>
      <c r="R23" s="18">
        <v>73.501773049645394</v>
      </c>
    </row>
    <row r="24" spans="1:18" x14ac:dyDescent="0.35">
      <c r="A24" s="13">
        <v>44912</v>
      </c>
      <c r="B24">
        <v>2022</v>
      </c>
      <c r="C24">
        <v>12</v>
      </c>
      <c r="D24" t="s">
        <v>70</v>
      </c>
      <c r="E24" t="s">
        <v>72</v>
      </c>
      <c r="F24">
        <v>265</v>
      </c>
      <c r="G24">
        <v>265</v>
      </c>
      <c r="H24">
        <v>10</v>
      </c>
      <c r="I24">
        <v>13</v>
      </c>
      <c r="J24" s="17">
        <v>0.78402366863905326</v>
      </c>
      <c r="K24">
        <v>33</v>
      </c>
      <c r="L24">
        <v>32</v>
      </c>
      <c r="M24" s="17">
        <v>0.96969696969696972</v>
      </c>
      <c r="N24" s="25">
        <v>11703.25</v>
      </c>
      <c r="O24" s="25">
        <v>2517.5</v>
      </c>
      <c r="P24" s="25">
        <v>5445</v>
      </c>
      <c r="Q24" s="25">
        <v>19665.75</v>
      </c>
      <c r="R24" s="18">
        <v>74.210377358490561</v>
      </c>
    </row>
    <row r="25" spans="1:18" x14ac:dyDescent="0.35">
      <c r="A25" s="13">
        <v>44919</v>
      </c>
      <c r="B25">
        <v>2022</v>
      </c>
      <c r="C25">
        <v>12</v>
      </c>
      <c r="D25" t="s">
        <v>70</v>
      </c>
      <c r="E25" t="s">
        <v>72</v>
      </c>
      <c r="F25">
        <v>233</v>
      </c>
      <c r="G25">
        <v>242</v>
      </c>
      <c r="H25">
        <v>1</v>
      </c>
      <c r="I25">
        <v>13</v>
      </c>
      <c r="J25" s="17">
        <v>0.71597633136094674</v>
      </c>
      <c r="K25">
        <v>33</v>
      </c>
      <c r="L25">
        <v>31</v>
      </c>
      <c r="M25" s="17">
        <v>0.93939393939393945</v>
      </c>
      <c r="N25" s="25">
        <v>11703.25</v>
      </c>
      <c r="O25" s="25">
        <v>2299</v>
      </c>
      <c r="P25" s="25">
        <v>5445</v>
      </c>
      <c r="Q25" s="25">
        <v>19447.25</v>
      </c>
      <c r="R25" s="18">
        <v>80.360537190082638</v>
      </c>
    </row>
    <row r="26" spans="1:18" x14ac:dyDescent="0.35">
      <c r="A26" s="13">
        <v>44926</v>
      </c>
      <c r="B26">
        <v>2022</v>
      </c>
      <c r="C26">
        <v>12</v>
      </c>
      <c r="D26" t="s">
        <v>70</v>
      </c>
      <c r="E26" t="s">
        <v>72</v>
      </c>
      <c r="F26">
        <v>200</v>
      </c>
      <c r="G26">
        <v>201</v>
      </c>
      <c r="H26">
        <v>0</v>
      </c>
      <c r="I26">
        <v>11</v>
      </c>
      <c r="J26" s="17">
        <v>0.70279720279720281</v>
      </c>
      <c r="K26">
        <v>33</v>
      </c>
      <c r="L26">
        <v>32</v>
      </c>
      <c r="M26" s="17">
        <v>0.96969696969696972</v>
      </c>
      <c r="N26" s="25">
        <v>9902.75</v>
      </c>
      <c r="O26" s="25">
        <v>1909.5</v>
      </c>
      <c r="P26" s="25">
        <v>5445</v>
      </c>
      <c r="Q26" s="25">
        <v>17257.25</v>
      </c>
      <c r="R26" s="18">
        <v>85.856965174129357</v>
      </c>
    </row>
    <row r="27" spans="1:18" x14ac:dyDescent="0.35">
      <c r="A27" s="13">
        <v>44933</v>
      </c>
      <c r="B27">
        <v>2023</v>
      </c>
      <c r="C27">
        <v>1</v>
      </c>
      <c r="D27" t="s">
        <v>70</v>
      </c>
      <c r="E27" t="s">
        <v>72</v>
      </c>
      <c r="F27">
        <v>168</v>
      </c>
      <c r="G27">
        <v>168</v>
      </c>
      <c r="H27">
        <v>0</v>
      </c>
      <c r="I27">
        <v>9</v>
      </c>
      <c r="J27" s="17">
        <v>0.71794871794871795</v>
      </c>
      <c r="K27">
        <v>33</v>
      </c>
      <c r="L27">
        <v>32</v>
      </c>
      <c r="M27" s="17">
        <v>0.96969696969696972</v>
      </c>
      <c r="N27" s="25">
        <v>8102.25</v>
      </c>
      <c r="O27" s="25">
        <v>1596</v>
      </c>
      <c r="P27" s="25">
        <v>5445</v>
      </c>
      <c r="Q27" s="25">
        <v>15143.25</v>
      </c>
      <c r="R27" s="18">
        <v>90.138392857142861</v>
      </c>
    </row>
    <row r="28" spans="1:18" x14ac:dyDescent="0.35">
      <c r="A28" s="13">
        <v>44940</v>
      </c>
      <c r="B28">
        <v>2023</v>
      </c>
      <c r="C28">
        <v>1</v>
      </c>
      <c r="D28" t="s">
        <v>70</v>
      </c>
      <c r="E28" t="s">
        <v>72</v>
      </c>
      <c r="F28">
        <v>152</v>
      </c>
      <c r="G28">
        <v>152</v>
      </c>
      <c r="H28">
        <v>0</v>
      </c>
      <c r="I28">
        <v>9</v>
      </c>
      <c r="J28" s="17">
        <v>0.6495726495726496</v>
      </c>
      <c r="K28">
        <v>33</v>
      </c>
      <c r="L28">
        <v>32</v>
      </c>
      <c r="M28" s="17">
        <v>0.96969696969696972</v>
      </c>
      <c r="N28" s="25">
        <v>8102.25</v>
      </c>
      <c r="O28" s="25">
        <v>1444</v>
      </c>
      <c r="P28" s="25">
        <v>5445</v>
      </c>
      <c r="Q28" s="25">
        <v>14991.25</v>
      </c>
      <c r="R28" s="18">
        <v>98.62664473684211</v>
      </c>
    </row>
    <row r="29" spans="1:18" x14ac:dyDescent="0.35">
      <c r="A29" s="13">
        <v>44947</v>
      </c>
      <c r="B29">
        <v>2023</v>
      </c>
      <c r="C29">
        <v>1</v>
      </c>
      <c r="D29" t="s">
        <v>70</v>
      </c>
      <c r="E29" t="s">
        <v>72</v>
      </c>
      <c r="F29">
        <v>149</v>
      </c>
      <c r="G29">
        <v>149</v>
      </c>
      <c r="H29">
        <v>0</v>
      </c>
      <c r="I29">
        <v>8</v>
      </c>
      <c r="J29" s="17">
        <v>0.71634615384615385</v>
      </c>
      <c r="K29">
        <v>33</v>
      </c>
      <c r="L29">
        <v>31</v>
      </c>
      <c r="M29" s="17">
        <v>0.93939393939393945</v>
      </c>
      <c r="N29" s="25">
        <v>7202</v>
      </c>
      <c r="O29" s="25">
        <v>1415.5</v>
      </c>
      <c r="P29" s="25">
        <v>5445</v>
      </c>
      <c r="Q29" s="25">
        <v>14062.5</v>
      </c>
      <c r="R29" s="18">
        <v>94.37919463087249</v>
      </c>
    </row>
    <row r="30" spans="1:18" x14ac:dyDescent="0.35">
      <c r="A30" s="13">
        <v>44954</v>
      </c>
      <c r="B30">
        <v>2023</v>
      </c>
      <c r="C30">
        <v>1</v>
      </c>
      <c r="D30" t="s">
        <v>70</v>
      </c>
      <c r="E30" t="s">
        <v>72</v>
      </c>
      <c r="F30">
        <v>163</v>
      </c>
      <c r="G30">
        <v>163</v>
      </c>
      <c r="H30">
        <v>0</v>
      </c>
      <c r="I30">
        <v>9</v>
      </c>
      <c r="J30" s="17">
        <v>0.69658119658119655</v>
      </c>
      <c r="K30">
        <v>33</v>
      </c>
      <c r="L30">
        <v>32</v>
      </c>
      <c r="M30" s="17">
        <v>0.96969696969696972</v>
      </c>
      <c r="N30" s="25">
        <v>8102.25</v>
      </c>
      <c r="O30" s="25">
        <v>1548.5</v>
      </c>
      <c r="P30" s="25">
        <v>5445</v>
      </c>
      <c r="Q30" s="25">
        <v>15095.75</v>
      </c>
      <c r="R30" s="18">
        <v>92.611963190184042</v>
      </c>
    </row>
    <row r="31" spans="1:18" x14ac:dyDescent="0.35">
      <c r="A31" s="13">
        <v>44961</v>
      </c>
      <c r="B31">
        <v>2023</v>
      </c>
      <c r="C31">
        <v>2</v>
      </c>
      <c r="D31" t="s">
        <v>70</v>
      </c>
      <c r="E31" t="s">
        <v>72</v>
      </c>
      <c r="F31">
        <v>179</v>
      </c>
      <c r="G31">
        <v>179</v>
      </c>
      <c r="H31">
        <v>0</v>
      </c>
      <c r="I31">
        <v>10</v>
      </c>
      <c r="J31" s="17">
        <v>0.68846153846153846</v>
      </c>
      <c r="K31">
        <v>33</v>
      </c>
      <c r="L31">
        <v>26</v>
      </c>
      <c r="M31" s="17">
        <v>0.78787878787878785</v>
      </c>
      <c r="N31" s="25">
        <v>9002.5</v>
      </c>
      <c r="O31" s="25">
        <v>1700.5</v>
      </c>
      <c r="P31" s="25">
        <v>5445</v>
      </c>
      <c r="Q31" s="25">
        <v>16148</v>
      </c>
      <c r="R31" s="18">
        <v>90.212290502793294</v>
      </c>
    </row>
    <row r="32" spans="1:18" x14ac:dyDescent="0.35">
      <c r="A32" s="13">
        <v>44968</v>
      </c>
      <c r="B32">
        <v>2023</v>
      </c>
      <c r="C32">
        <v>2</v>
      </c>
      <c r="D32" t="s">
        <v>70</v>
      </c>
      <c r="E32" t="s">
        <v>72</v>
      </c>
      <c r="F32">
        <v>178</v>
      </c>
      <c r="G32">
        <v>178</v>
      </c>
      <c r="H32">
        <v>0</v>
      </c>
      <c r="I32">
        <v>9</v>
      </c>
      <c r="J32" s="17">
        <v>0.76068376068376065</v>
      </c>
      <c r="K32">
        <v>33</v>
      </c>
      <c r="L32">
        <v>31</v>
      </c>
      <c r="M32" s="17">
        <v>0.93939393939393945</v>
      </c>
      <c r="N32" s="25">
        <v>8102.25</v>
      </c>
      <c r="O32" s="25">
        <v>1691</v>
      </c>
      <c r="P32" s="25">
        <v>5445</v>
      </c>
      <c r="Q32" s="25">
        <v>15238.25</v>
      </c>
      <c r="R32" s="18">
        <v>85.608146067415731</v>
      </c>
    </row>
    <row r="33" spans="1:18" x14ac:dyDescent="0.35">
      <c r="A33" s="13">
        <v>44975</v>
      </c>
      <c r="B33">
        <v>2023</v>
      </c>
      <c r="C33">
        <v>2</v>
      </c>
      <c r="D33" t="s">
        <v>70</v>
      </c>
      <c r="E33" t="s">
        <v>72</v>
      </c>
      <c r="F33">
        <v>187</v>
      </c>
      <c r="G33">
        <v>187</v>
      </c>
      <c r="H33">
        <v>0</v>
      </c>
      <c r="I33">
        <v>11</v>
      </c>
      <c r="J33" s="17">
        <v>0.65384615384615385</v>
      </c>
      <c r="K33">
        <v>33</v>
      </c>
      <c r="L33">
        <v>29</v>
      </c>
      <c r="M33" s="17">
        <v>0.87878787878787878</v>
      </c>
      <c r="N33" s="25">
        <v>9902.75</v>
      </c>
      <c r="O33" s="25">
        <v>1776.5</v>
      </c>
      <c r="P33" s="25">
        <v>5445</v>
      </c>
      <c r="Q33" s="25">
        <v>17124.25</v>
      </c>
      <c r="R33" s="18">
        <v>91.57352941176471</v>
      </c>
    </row>
    <row r="34" spans="1:18" x14ac:dyDescent="0.35">
      <c r="A34" s="13">
        <v>44982</v>
      </c>
      <c r="B34">
        <v>2023</v>
      </c>
      <c r="C34">
        <v>2</v>
      </c>
      <c r="D34" t="s">
        <v>70</v>
      </c>
      <c r="E34" t="s">
        <v>72</v>
      </c>
      <c r="F34">
        <v>183</v>
      </c>
      <c r="G34">
        <v>183</v>
      </c>
      <c r="H34">
        <v>0</v>
      </c>
      <c r="I34">
        <v>9</v>
      </c>
      <c r="J34" s="17">
        <v>0.78205128205128205</v>
      </c>
      <c r="K34">
        <v>33</v>
      </c>
      <c r="L34">
        <v>32</v>
      </c>
      <c r="M34" s="17">
        <v>0.96969696969696972</v>
      </c>
      <c r="N34" s="25">
        <v>8102.25</v>
      </c>
      <c r="O34" s="25">
        <v>1738.5</v>
      </c>
      <c r="P34" s="25">
        <v>5445</v>
      </c>
      <c r="Q34" s="25">
        <v>15285.75</v>
      </c>
      <c r="R34" s="18">
        <v>83.528688524590166</v>
      </c>
    </row>
    <row r="35" spans="1:18" x14ac:dyDescent="0.35">
      <c r="A35" s="13">
        <v>44989</v>
      </c>
      <c r="B35">
        <v>2023</v>
      </c>
      <c r="C35">
        <v>3</v>
      </c>
      <c r="D35" t="s">
        <v>70</v>
      </c>
      <c r="E35" t="s">
        <v>72</v>
      </c>
      <c r="F35">
        <v>182</v>
      </c>
      <c r="G35">
        <v>182</v>
      </c>
      <c r="H35">
        <v>0</v>
      </c>
      <c r="I35">
        <v>10</v>
      </c>
      <c r="J35" s="17">
        <v>0.7</v>
      </c>
      <c r="K35">
        <v>33</v>
      </c>
      <c r="L35">
        <v>33</v>
      </c>
      <c r="M35" s="17">
        <v>1</v>
      </c>
      <c r="N35" s="25">
        <v>9002.5</v>
      </c>
      <c r="O35" s="25">
        <v>1729</v>
      </c>
      <c r="P35" s="25">
        <v>5445</v>
      </c>
      <c r="Q35" s="25">
        <v>16176.5</v>
      </c>
      <c r="R35" s="18">
        <v>88.881868131868131</v>
      </c>
    </row>
    <row r="36" spans="1:18" x14ac:dyDescent="0.35">
      <c r="A36" s="13">
        <v>44996</v>
      </c>
      <c r="B36">
        <v>2023</v>
      </c>
      <c r="C36">
        <v>3</v>
      </c>
      <c r="D36" t="s">
        <v>70</v>
      </c>
      <c r="E36" t="s">
        <v>72</v>
      </c>
      <c r="F36">
        <v>196</v>
      </c>
      <c r="G36">
        <v>196</v>
      </c>
      <c r="H36">
        <v>0</v>
      </c>
      <c r="I36">
        <v>11</v>
      </c>
      <c r="J36" s="17">
        <v>0.68531468531468531</v>
      </c>
      <c r="K36">
        <v>33</v>
      </c>
      <c r="L36">
        <v>33</v>
      </c>
      <c r="M36" s="17">
        <v>1</v>
      </c>
      <c r="N36" s="25">
        <v>9902.75</v>
      </c>
      <c r="O36" s="25">
        <v>1862</v>
      </c>
      <c r="P36" s="25">
        <v>5445</v>
      </c>
      <c r="Q36" s="25">
        <v>17209.75</v>
      </c>
      <c r="R36" s="18">
        <v>87.804846938775512</v>
      </c>
    </row>
    <row r="37" spans="1:18" x14ac:dyDescent="0.35">
      <c r="A37" s="13">
        <v>45003</v>
      </c>
      <c r="B37">
        <v>2023</v>
      </c>
      <c r="C37">
        <v>3</v>
      </c>
      <c r="D37" t="s">
        <v>70</v>
      </c>
      <c r="E37" t="s">
        <v>72</v>
      </c>
      <c r="F37">
        <v>182</v>
      </c>
      <c r="G37">
        <v>182</v>
      </c>
      <c r="H37">
        <v>0</v>
      </c>
      <c r="I37">
        <v>10</v>
      </c>
      <c r="J37" s="17">
        <v>0.7</v>
      </c>
      <c r="K37">
        <v>33</v>
      </c>
      <c r="L37">
        <v>33</v>
      </c>
      <c r="M37" s="17">
        <v>1</v>
      </c>
      <c r="N37" s="25">
        <v>9002.5</v>
      </c>
      <c r="O37" s="25">
        <v>1729</v>
      </c>
      <c r="P37" s="25">
        <v>5445</v>
      </c>
      <c r="Q37" s="25">
        <v>16176.5</v>
      </c>
      <c r="R37" s="18">
        <v>88.881868131868131</v>
      </c>
    </row>
    <row r="38" spans="1:18" x14ac:dyDescent="0.35">
      <c r="A38" s="13">
        <v>45010</v>
      </c>
      <c r="B38">
        <v>2023</v>
      </c>
      <c r="C38">
        <v>3</v>
      </c>
      <c r="D38" t="s">
        <v>70</v>
      </c>
      <c r="E38" t="s">
        <v>72</v>
      </c>
      <c r="F38">
        <v>185</v>
      </c>
      <c r="G38">
        <v>185</v>
      </c>
      <c r="H38">
        <v>0</v>
      </c>
      <c r="I38">
        <v>9</v>
      </c>
      <c r="J38" s="17">
        <v>0.79059829059829057</v>
      </c>
      <c r="K38">
        <v>33</v>
      </c>
      <c r="L38">
        <v>31</v>
      </c>
      <c r="M38" s="17">
        <v>0.93939393939393945</v>
      </c>
      <c r="N38" s="25">
        <v>8102.25</v>
      </c>
      <c r="O38" s="25">
        <v>1757.5</v>
      </c>
      <c r="P38" s="25">
        <v>5445</v>
      </c>
      <c r="Q38" s="25">
        <v>15304.75</v>
      </c>
      <c r="R38" s="18">
        <v>82.72837837837838</v>
      </c>
    </row>
    <row r="39" spans="1:18" x14ac:dyDescent="0.35">
      <c r="A39" s="13">
        <v>45017</v>
      </c>
      <c r="B39">
        <v>2023</v>
      </c>
      <c r="C39">
        <v>4</v>
      </c>
      <c r="D39" t="s">
        <v>70</v>
      </c>
      <c r="E39" t="s">
        <v>72</v>
      </c>
      <c r="F39">
        <v>189</v>
      </c>
      <c r="G39">
        <v>189</v>
      </c>
      <c r="H39">
        <v>0</v>
      </c>
      <c r="I39">
        <v>9</v>
      </c>
      <c r="J39" s="17">
        <v>0.80769230769230771</v>
      </c>
      <c r="K39">
        <v>33</v>
      </c>
      <c r="L39">
        <v>31</v>
      </c>
      <c r="M39" s="17">
        <v>0.93939393939393945</v>
      </c>
      <c r="N39" s="25">
        <v>8102.25</v>
      </c>
      <c r="O39" s="25">
        <v>1795.5</v>
      </c>
      <c r="P39" s="25">
        <v>5445</v>
      </c>
      <c r="Q39" s="25">
        <v>15342.75</v>
      </c>
      <c r="R39" s="18">
        <v>81.178571428571431</v>
      </c>
    </row>
    <row r="40" spans="1:18" x14ac:dyDescent="0.35">
      <c r="A40" s="13">
        <v>45024</v>
      </c>
      <c r="B40">
        <v>2023</v>
      </c>
      <c r="C40">
        <v>4</v>
      </c>
      <c r="D40" t="s">
        <v>70</v>
      </c>
      <c r="E40" t="s">
        <v>72</v>
      </c>
      <c r="F40">
        <v>187</v>
      </c>
      <c r="G40">
        <v>187</v>
      </c>
      <c r="H40">
        <v>0</v>
      </c>
      <c r="I40">
        <v>11</v>
      </c>
      <c r="J40" s="17">
        <v>0.65384615384615385</v>
      </c>
      <c r="K40">
        <v>33</v>
      </c>
      <c r="L40">
        <v>33</v>
      </c>
      <c r="M40" s="17">
        <v>1</v>
      </c>
      <c r="N40" s="25">
        <v>9902.75</v>
      </c>
      <c r="O40" s="25">
        <v>1776.5</v>
      </c>
      <c r="P40" s="25">
        <v>5445</v>
      </c>
      <c r="Q40" s="25">
        <v>17124.25</v>
      </c>
      <c r="R40" s="18">
        <v>91.57352941176471</v>
      </c>
    </row>
    <row r="41" spans="1:18" x14ac:dyDescent="0.35">
      <c r="A41" s="13">
        <v>45031</v>
      </c>
      <c r="B41">
        <v>2023</v>
      </c>
      <c r="C41">
        <v>4</v>
      </c>
      <c r="D41" t="s">
        <v>70</v>
      </c>
      <c r="E41" t="s">
        <v>72</v>
      </c>
      <c r="F41">
        <v>199</v>
      </c>
      <c r="G41">
        <v>199</v>
      </c>
      <c r="H41">
        <v>0</v>
      </c>
      <c r="I41">
        <v>11</v>
      </c>
      <c r="J41" s="17">
        <v>0.69580419580419584</v>
      </c>
      <c r="K41">
        <v>33</v>
      </c>
      <c r="L41">
        <v>33</v>
      </c>
      <c r="M41" s="17">
        <v>1</v>
      </c>
      <c r="N41" s="25">
        <v>9902.75</v>
      </c>
      <c r="O41" s="25">
        <v>1890.5</v>
      </c>
      <c r="P41" s="25">
        <v>5445</v>
      </c>
      <c r="Q41" s="25">
        <v>17238.25</v>
      </c>
      <c r="R41" s="18">
        <v>86.624371859296488</v>
      </c>
    </row>
    <row r="42" spans="1:18" x14ac:dyDescent="0.35">
      <c r="A42" s="13">
        <v>45038</v>
      </c>
      <c r="B42">
        <v>2023</v>
      </c>
      <c r="C42">
        <v>4</v>
      </c>
      <c r="D42" t="s">
        <v>70</v>
      </c>
      <c r="E42" t="s">
        <v>72</v>
      </c>
      <c r="F42">
        <v>200</v>
      </c>
      <c r="G42">
        <v>200</v>
      </c>
      <c r="H42">
        <v>0</v>
      </c>
      <c r="I42">
        <v>11</v>
      </c>
      <c r="J42" s="17">
        <v>0.69930069930069927</v>
      </c>
      <c r="K42">
        <v>33</v>
      </c>
      <c r="L42">
        <v>31</v>
      </c>
      <c r="M42" s="17">
        <v>0.93939393939393945</v>
      </c>
      <c r="N42" s="25">
        <v>9902.75</v>
      </c>
      <c r="O42" s="25">
        <v>1900</v>
      </c>
      <c r="P42" s="25">
        <v>5445</v>
      </c>
      <c r="Q42" s="25">
        <v>17247.75</v>
      </c>
      <c r="R42" s="18">
        <v>86.238749999999996</v>
      </c>
    </row>
    <row r="43" spans="1:18" x14ac:dyDescent="0.35">
      <c r="A43" s="13">
        <v>45045</v>
      </c>
      <c r="B43">
        <v>2023</v>
      </c>
      <c r="C43">
        <v>4</v>
      </c>
      <c r="D43" t="s">
        <v>70</v>
      </c>
      <c r="E43" t="s">
        <v>72</v>
      </c>
      <c r="F43">
        <v>203</v>
      </c>
      <c r="G43">
        <v>203</v>
      </c>
      <c r="H43">
        <v>0</v>
      </c>
      <c r="I43">
        <v>11</v>
      </c>
      <c r="J43" s="17">
        <v>0.70979020979020979</v>
      </c>
      <c r="K43">
        <v>33</v>
      </c>
      <c r="L43">
        <v>33</v>
      </c>
      <c r="M43" s="17">
        <v>1</v>
      </c>
      <c r="N43" s="25">
        <v>9902.75</v>
      </c>
      <c r="O43" s="25">
        <v>1928.5</v>
      </c>
      <c r="P43" s="25">
        <v>5445</v>
      </c>
      <c r="Q43" s="25">
        <v>17276.25</v>
      </c>
      <c r="R43" s="18">
        <v>85.104679802955658</v>
      </c>
    </row>
    <row r="44" spans="1:18" x14ac:dyDescent="0.35">
      <c r="A44" s="13">
        <v>45052</v>
      </c>
      <c r="B44">
        <v>2023</v>
      </c>
      <c r="C44">
        <v>5</v>
      </c>
      <c r="D44" t="s">
        <v>70</v>
      </c>
      <c r="E44" t="s">
        <v>72</v>
      </c>
      <c r="F44">
        <v>198</v>
      </c>
      <c r="G44">
        <v>198</v>
      </c>
      <c r="H44">
        <v>0</v>
      </c>
      <c r="I44">
        <v>11</v>
      </c>
      <c r="J44" s="17">
        <v>0.69230769230769229</v>
      </c>
      <c r="K44">
        <v>33</v>
      </c>
      <c r="L44">
        <v>32</v>
      </c>
      <c r="M44" s="17">
        <v>0.96969696969696972</v>
      </c>
      <c r="N44" s="25">
        <v>9902.75</v>
      </c>
      <c r="O44" s="25">
        <v>1881</v>
      </c>
      <c r="P44" s="25">
        <v>5445</v>
      </c>
      <c r="Q44" s="25">
        <v>17228.75</v>
      </c>
      <c r="R44" s="18">
        <v>87.013888888888886</v>
      </c>
    </row>
    <row r="45" spans="1:18" x14ac:dyDescent="0.35">
      <c r="A45" s="13">
        <v>45059</v>
      </c>
      <c r="B45">
        <v>2023</v>
      </c>
      <c r="C45">
        <v>5</v>
      </c>
      <c r="D45" t="s">
        <v>70</v>
      </c>
      <c r="E45" t="s">
        <v>72</v>
      </c>
      <c r="F45">
        <v>201</v>
      </c>
      <c r="G45">
        <v>201</v>
      </c>
      <c r="H45">
        <v>0</v>
      </c>
      <c r="I45">
        <v>11</v>
      </c>
      <c r="J45" s="17">
        <v>0.70279720279720281</v>
      </c>
      <c r="K45">
        <v>33</v>
      </c>
      <c r="L45">
        <v>32</v>
      </c>
      <c r="M45" s="17">
        <v>0.96969696969696972</v>
      </c>
      <c r="N45" s="25">
        <v>9902.75</v>
      </c>
      <c r="O45" s="25">
        <v>1909.5</v>
      </c>
      <c r="P45" s="25">
        <v>5445</v>
      </c>
      <c r="Q45" s="25">
        <v>17257.25</v>
      </c>
      <c r="R45" s="18">
        <v>85.856965174129357</v>
      </c>
    </row>
    <row r="46" spans="1:18" x14ac:dyDescent="0.35">
      <c r="A46" s="13">
        <v>45066</v>
      </c>
      <c r="B46">
        <v>2023</v>
      </c>
      <c r="C46">
        <v>5</v>
      </c>
      <c r="D46" t="s">
        <v>70</v>
      </c>
      <c r="E46" t="s">
        <v>72</v>
      </c>
      <c r="F46">
        <v>207</v>
      </c>
      <c r="G46">
        <v>207</v>
      </c>
      <c r="H46">
        <v>0</v>
      </c>
      <c r="I46">
        <v>11</v>
      </c>
      <c r="J46" s="17">
        <v>0.72377622377622375</v>
      </c>
      <c r="K46">
        <v>33</v>
      </c>
      <c r="L46">
        <v>30</v>
      </c>
      <c r="M46" s="17">
        <v>0.90909090909090906</v>
      </c>
      <c r="N46" s="25">
        <v>9902.75</v>
      </c>
      <c r="O46" s="25">
        <v>1966.5</v>
      </c>
      <c r="P46" s="25">
        <v>5445</v>
      </c>
      <c r="Q46" s="25">
        <v>17314.25</v>
      </c>
      <c r="R46" s="18">
        <v>83.643719806763286</v>
      </c>
    </row>
    <row r="47" spans="1:18" x14ac:dyDescent="0.35">
      <c r="A47" s="13">
        <v>45073</v>
      </c>
      <c r="B47">
        <v>2023</v>
      </c>
      <c r="C47">
        <v>5</v>
      </c>
      <c r="D47" t="s">
        <v>70</v>
      </c>
      <c r="E47" t="s">
        <v>72</v>
      </c>
      <c r="F47">
        <v>185</v>
      </c>
      <c r="G47">
        <v>185</v>
      </c>
      <c r="H47">
        <v>0</v>
      </c>
      <c r="I47">
        <v>10</v>
      </c>
      <c r="J47" s="17">
        <v>0.71153846153846156</v>
      </c>
      <c r="K47">
        <v>33</v>
      </c>
      <c r="L47">
        <v>33</v>
      </c>
      <c r="M47" s="17">
        <v>1</v>
      </c>
      <c r="N47" s="25">
        <v>9002.5</v>
      </c>
      <c r="O47" s="25">
        <v>1757.5</v>
      </c>
      <c r="P47" s="25">
        <v>5445</v>
      </c>
      <c r="Q47" s="25">
        <v>16205</v>
      </c>
      <c r="R47" s="18">
        <v>87.594594594594597</v>
      </c>
    </row>
    <row r="48" spans="1:18" x14ac:dyDescent="0.35">
      <c r="A48" s="13">
        <v>45080</v>
      </c>
      <c r="B48">
        <v>2023</v>
      </c>
      <c r="C48">
        <v>6</v>
      </c>
      <c r="D48" t="s">
        <v>70</v>
      </c>
      <c r="E48" t="s">
        <v>72</v>
      </c>
      <c r="F48">
        <v>189</v>
      </c>
      <c r="G48">
        <v>189</v>
      </c>
      <c r="H48">
        <v>0</v>
      </c>
      <c r="I48">
        <v>10</v>
      </c>
      <c r="J48" s="17">
        <v>0.72692307692307689</v>
      </c>
      <c r="K48">
        <v>33</v>
      </c>
      <c r="L48">
        <v>32</v>
      </c>
      <c r="M48" s="17">
        <v>0.96969696969696972</v>
      </c>
      <c r="N48" s="25">
        <v>9002.5</v>
      </c>
      <c r="O48" s="25">
        <v>1795.5</v>
      </c>
      <c r="P48" s="25">
        <v>5445</v>
      </c>
      <c r="Q48" s="25">
        <v>16243</v>
      </c>
      <c r="R48" s="18">
        <v>85.941798941798936</v>
      </c>
    </row>
    <row r="49" spans="1:18" x14ac:dyDescent="0.35">
      <c r="A49" s="13">
        <v>45087</v>
      </c>
      <c r="B49">
        <v>2023</v>
      </c>
      <c r="C49">
        <v>6</v>
      </c>
      <c r="D49" t="s">
        <v>70</v>
      </c>
      <c r="E49" t="s">
        <v>72</v>
      </c>
      <c r="F49">
        <v>184</v>
      </c>
      <c r="G49">
        <v>184</v>
      </c>
      <c r="H49">
        <v>0</v>
      </c>
      <c r="I49">
        <v>10</v>
      </c>
      <c r="J49" s="17">
        <v>0.70769230769230773</v>
      </c>
      <c r="K49">
        <v>33</v>
      </c>
      <c r="L49">
        <v>31</v>
      </c>
      <c r="M49" s="17">
        <v>0.93939393939393945</v>
      </c>
      <c r="N49" s="25">
        <v>9002.5</v>
      </c>
      <c r="O49" s="25">
        <v>1748</v>
      </c>
      <c r="P49" s="25">
        <v>5445</v>
      </c>
      <c r="Q49" s="25">
        <v>16195.5</v>
      </c>
      <c r="R49" s="18">
        <v>88.019021739130437</v>
      </c>
    </row>
    <row r="50" spans="1:18" x14ac:dyDescent="0.35">
      <c r="A50" s="13">
        <v>45094</v>
      </c>
      <c r="B50">
        <v>2023</v>
      </c>
      <c r="C50">
        <v>6</v>
      </c>
      <c r="D50" t="s">
        <v>70</v>
      </c>
      <c r="E50" t="s">
        <v>72</v>
      </c>
      <c r="F50">
        <v>186</v>
      </c>
      <c r="G50">
        <v>186</v>
      </c>
      <c r="H50">
        <v>0</v>
      </c>
      <c r="I50">
        <v>11</v>
      </c>
      <c r="J50" s="17">
        <v>0.65034965034965031</v>
      </c>
      <c r="K50">
        <v>33</v>
      </c>
      <c r="L50">
        <v>31</v>
      </c>
      <c r="M50" s="17">
        <v>0.93939393939393945</v>
      </c>
      <c r="N50" s="25">
        <v>9902.75</v>
      </c>
      <c r="O50" s="25">
        <v>1767</v>
      </c>
      <c r="P50" s="25">
        <v>5445</v>
      </c>
      <c r="Q50" s="25">
        <v>17114.75</v>
      </c>
      <c r="R50" s="18">
        <v>92.01478494623656</v>
      </c>
    </row>
    <row r="51" spans="1:18" x14ac:dyDescent="0.35">
      <c r="A51" s="13">
        <v>45101</v>
      </c>
      <c r="B51">
        <v>2023</v>
      </c>
      <c r="C51">
        <v>6</v>
      </c>
      <c r="D51" t="s">
        <v>70</v>
      </c>
      <c r="E51" t="s">
        <v>72</v>
      </c>
      <c r="F51">
        <v>199</v>
      </c>
      <c r="G51">
        <v>199</v>
      </c>
      <c r="H51">
        <v>0</v>
      </c>
      <c r="I51">
        <v>11</v>
      </c>
      <c r="J51" s="17">
        <v>0.69580419580419584</v>
      </c>
      <c r="K51">
        <v>33</v>
      </c>
      <c r="L51">
        <v>32</v>
      </c>
      <c r="M51" s="17">
        <v>0.96969696969696972</v>
      </c>
      <c r="N51" s="25">
        <v>9902.75</v>
      </c>
      <c r="O51" s="25">
        <v>1890.5</v>
      </c>
      <c r="P51" s="25">
        <v>5445</v>
      </c>
      <c r="Q51" s="25">
        <v>17238.25</v>
      </c>
      <c r="R51" s="18">
        <v>86.624371859296488</v>
      </c>
    </row>
    <row r="52" spans="1:18" x14ac:dyDescent="0.35">
      <c r="A52" s="13">
        <v>45108</v>
      </c>
      <c r="B52">
        <v>2023</v>
      </c>
      <c r="C52">
        <v>7</v>
      </c>
      <c r="D52" t="s">
        <v>70</v>
      </c>
      <c r="E52" t="s">
        <v>72</v>
      </c>
      <c r="F52">
        <v>193</v>
      </c>
      <c r="G52">
        <v>193</v>
      </c>
      <c r="H52">
        <v>0</v>
      </c>
      <c r="I52">
        <v>11</v>
      </c>
      <c r="J52" s="17">
        <v>0.67482517482517479</v>
      </c>
      <c r="K52">
        <v>33</v>
      </c>
      <c r="L52">
        <v>33</v>
      </c>
      <c r="M52" s="17">
        <v>1</v>
      </c>
      <c r="N52" s="25">
        <v>9902.75</v>
      </c>
      <c r="O52" s="25">
        <v>1833.5</v>
      </c>
      <c r="P52" s="25">
        <v>5445</v>
      </c>
      <c r="Q52" s="25">
        <v>17181.25</v>
      </c>
      <c r="R52" s="18">
        <v>89.0220207253886</v>
      </c>
    </row>
    <row r="53" spans="1:18" x14ac:dyDescent="0.35">
      <c r="A53" s="13">
        <v>45115</v>
      </c>
      <c r="B53">
        <v>2023</v>
      </c>
      <c r="C53">
        <v>7</v>
      </c>
      <c r="D53" t="s">
        <v>70</v>
      </c>
      <c r="E53" t="s">
        <v>72</v>
      </c>
      <c r="F53">
        <v>183</v>
      </c>
      <c r="G53">
        <v>183</v>
      </c>
      <c r="H53">
        <v>0</v>
      </c>
      <c r="I53">
        <v>10</v>
      </c>
      <c r="J53" s="17">
        <v>0.7038461538461539</v>
      </c>
      <c r="K53">
        <v>33</v>
      </c>
      <c r="L53">
        <v>32</v>
      </c>
      <c r="M53" s="17">
        <v>0.96969696969696972</v>
      </c>
      <c r="N53" s="25">
        <v>9002.5</v>
      </c>
      <c r="O53" s="25">
        <v>1738.5</v>
      </c>
      <c r="P53" s="25">
        <v>5445</v>
      </c>
      <c r="Q53" s="25">
        <v>16186</v>
      </c>
      <c r="R53" s="18">
        <v>88.448087431693992</v>
      </c>
    </row>
    <row r="54" spans="1:18" x14ac:dyDescent="0.35">
      <c r="A54" s="13">
        <v>45122</v>
      </c>
      <c r="B54">
        <v>2023</v>
      </c>
      <c r="C54">
        <v>7</v>
      </c>
      <c r="D54" t="s">
        <v>70</v>
      </c>
      <c r="E54" t="s">
        <v>72</v>
      </c>
      <c r="F54">
        <v>188</v>
      </c>
      <c r="G54">
        <v>188</v>
      </c>
      <c r="H54">
        <v>0</v>
      </c>
      <c r="I54">
        <v>11</v>
      </c>
      <c r="J54" s="17">
        <v>0.65734265734265729</v>
      </c>
      <c r="K54">
        <v>33</v>
      </c>
      <c r="L54">
        <v>33</v>
      </c>
      <c r="M54" s="17">
        <v>1</v>
      </c>
      <c r="N54" s="25">
        <v>9902.75</v>
      </c>
      <c r="O54" s="25">
        <v>1786</v>
      </c>
      <c r="P54" s="25">
        <v>5445</v>
      </c>
      <c r="Q54" s="25">
        <v>17133.75</v>
      </c>
      <c r="R54" s="18">
        <v>91.136968085106389</v>
      </c>
    </row>
    <row r="55" spans="1:18" x14ac:dyDescent="0.35">
      <c r="A55" s="13">
        <v>45129</v>
      </c>
      <c r="B55">
        <v>2023</v>
      </c>
      <c r="C55">
        <v>7</v>
      </c>
      <c r="D55" t="s">
        <v>70</v>
      </c>
      <c r="E55" t="s">
        <v>72</v>
      </c>
      <c r="F55">
        <v>192</v>
      </c>
      <c r="G55">
        <v>192</v>
      </c>
      <c r="H55">
        <v>0</v>
      </c>
      <c r="I55">
        <v>11</v>
      </c>
      <c r="J55" s="17">
        <v>0.67132867132867136</v>
      </c>
      <c r="K55">
        <v>33</v>
      </c>
      <c r="L55">
        <v>32</v>
      </c>
      <c r="M55" s="17">
        <v>0.96969696969696972</v>
      </c>
      <c r="N55" s="25">
        <v>9902.75</v>
      </c>
      <c r="O55" s="25">
        <v>1824</v>
      </c>
      <c r="P55" s="25">
        <v>5445</v>
      </c>
      <c r="Q55" s="25">
        <v>17171.75</v>
      </c>
      <c r="R55" s="18">
        <v>89.436197916666671</v>
      </c>
    </row>
    <row r="56" spans="1:18" x14ac:dyDescent="0.35">
      <c r="A56" s="13">
        <v>45136</v>
      </c>
      <c r="B56">
        <v>2023</v>
      </c>
      <c r="C56">
        <v>7</v>
      </c>
      <c r="D56" t="s">
        <v>70</v>
      </c>
      <c r="E56" t="s">
        <v>72</v>
      </c>
      <c r="F56">
        <v>199</v>
      </c>
      <c r="G56">
        <v>199</v>
      </c>
      <c r="H56">
        <v>0</v>
      </c>
      <c r="I56">
        <v>11</v>
      </c>
      <c r="J56" s="17">
        <v>0.69580419580419584</v>
      </c>
      <c r="K56">
        <v>33</v>
      </c>
      <c r="L56">
        <v>33</v>
      </c>
      <c r="M56" s="17">
        <v>1</v>
      </c>
      <c r="N56" s="25">
        <v>9902.75</v>
      </c>
      <c r="O56" s="25">
        <v>1890.5</v>
      </c>
      <c r="P56" s="25">
        <v>5445</v>
      </c>
      <c r="Q56" s="25">
        <v>17238.25</v>
      </c>
      <c r="R56" s="18">
        <v>86.624371859296488</v>
      </c>
    </row>
    <row r="57" spans="1:18" x14ac:dyDescent="0.35">
      <c r="A57" s="13">
        <v>45143</v>
      </c>
      <c r="B57">
        <v>2023</v>
      </c>
      <c r="C57">
        <v>8</v>
      </c>
      <c r="D57" t="s">
        <v>70</v>
      </c>
      <c r="E57" t="s">
        <v>72</v>
      </c>
      <c r="F57">
        <v>195</v>
      </c>
      <c r="G57">
        <v>195</v>
      </c>
      <c r="H57">
        <v>0</v>
      </c>
      <c r="I57">
        <v>11</v>
      </c>
      <c r="J57" s="17">
        <v>0.68181818181818177</v>
      </c>
      <c r="K57">
        <v>33</v>
      </c>
      <c r="L57">
        <v>31</v>
      </c>
      <c r="M57" s="17">
        <v>0.93939393939393945</v>
      </c>
      <c r="N57" s="25">
        <v>9902.75</v>
      </c>
      <c r="O57" s="25">
        <v>1852.5</v>
      </c>
      <c r="P57" s="25">
        <v>5445</v>
      </c>
      <c r="Q57" s="25">
        <v>17200.25</v>
      </c>
      <c r="R57" s="18">
        <v>88.206410256410251</v>
      </c>
    </row>
    <row r="58" spans="1:18" x14ac:dyDescent="0.35">
      <c r="A58" s="13">
        <v>45150</v>
      </c>
      <c r="B58">
        <v>2023</v>
      </c>
      <c r="C58">
        <v>8</v>
      </c>
      <c r="D58" t="s">
        <v>70</v>
      </c>
      <c r="E58" t="s">
        <v>72</v>
      </c>
      <c r="F58">
        <v>200</v>
      </c>
      <c r="G58">
        <v>200</v>
      </c>
      <c r="H58">
        <v>0</v>
      </c>
      <c r="I58">
        <v>11</v>
      </c>
      <c r="J58" s="17">
        <v>0.69930069930069927</v>
      </c>
      <c r="K58">
        <v>33</v>
      </c>
      <c r="L58">
        <v>33</v>
      </c>
      <c r="M58" s="17">
        <v>1</v>
      </c>
      <c r="N58" s="25">
        <v>9902.75</v>
      </c>
      <c r="O58" s="25">
        <v>1900</v>
      </c>
      <c r="P58" s="25">
        <v>5445</v>
      </c>
      <c r="Q58" s="25">
        <v>17247.75</v>
      </c>
      <c r="R58" s="18">
        <v>86.238749999999996</v>
      </c>
    </row>
    <row r="59" spans="1:18" x14ac:dyDescent="0.35">
      <c r="A59" s="13">
        <v>45157</v>
      </c>
      <c r="B59">
        <v>2023</v>
      </c>
      <c r="C59">
        <v>8</v>
      </c>
      <c r="D59" t="s">
        <v>70</v>
      </c>
      <c r="E59" t="s">
        <v>72</v>
      </c>
      <c r="F59">
        <v>199</v>
      </c>
      <c r="G59">
        <v>199</v>
      </c>
      <c r="H59">
        <v>0</v>
      </c>
      <c r="I59">
        <v>11</v>
      </c>
      <c r="J59" s="17">
        <v>0.69580419580419584</v>
      </c>
      <c r="K59">
        <v>33</v>
      </c>
      <c r="L59">
        <v>32</v>
      </c>
      <c r="M59" s="17">
        <v>0.96969696969696972</v>
      </c>
      <c r="N59" s="25">
        <v>9902.75</v>
      </c>
      <c r="O59" s="25">
        <v>1890.5</v>
      </c>
      <c r="P59" s="25">
        <v>5445</v>
      </c>
      <c r="Q59" s="25">
        <v>17238.25</v>
      </c>
      <c r="R59" s="18">
        <v>86.624371859296488</v>
      </c>
    </row>
    <row r="60" spans="1:18" x14ac:dyDescent="0.35">
      <c r="A60" s="13">
        <v>45164</v>
      </c>
      <c r="B60">
        <v>2023</v>
      </c>
      <c r="C60">
        <v>8</v>
      </c>
      <c r="D60" t="s">
        <v>70</v>
      </c>
      <c r="E60" t="s">
        <v>72</v>
      </c>
      <c r="F60">
        <v>189</v>
      </c>
      <c r="G60">
        <v>189</v>
      </c>
      <c r="H60">
        <v>0</v>
      </c>
      <c r="I60">
        <v>11</v>
      </c>
      <c r="J60" s="17">
        <v>0.66083916083916083</v>
      </c>
      <c r="K60">
        <v>33</v>
      </c>
      <c r="L60">
        <v>32</v>
      </c>
      <c r="M60" s="17">
        <v>0.96969696969696972</v>
      </c>
      <c r="N60" s="25">
        <v>9902.75</v>
      </c>
      <c r="O60" s="25">
        <v>1795.5</v>
      </c>
      <c r="P60" s="25">
        <v>5445</v>
      </c>
      <c r="Q60" s="25">
        <v>17143.25</v>
      </c>
      <c r="R60" s="18">
        <v>90.705026455026456</v>
      </c>
    </row>
    <row r="61" spans="1:18" x14ac:dyDescent="0.35">
      <c r="A61" s="13">
        <v>45171</v>
      </c>
      <c r="B61">
        <v>2023</v>
      </c>
      <c r="C61">
        <v>9</v>
      </c>
      <c r="D61" t="s">
        <v>70</v>
      </c>
      <c r="E61" t="s">
        <v>72</v>
      </c>
      <c r="F61">
        <v>190</v>
      </c>
      <c r="G61">
        <v>190</v>
      </c>
      <c r="H61">
        <v>0</v>
      </c>
      <c r="I61">
        <v>11</v>
      </c>
      <c r="J61" s="17">
        <v>0.66433566433566438</v>
      </c>
      <c r="K61">
        <v>33</v>
      </c>
      <c r="L61">
        <v>30</v>
      </c>
      <c r="M61" s="17">
        <v>0.90909090909090906</v>
      </c>
      <c r="N61" s="25">
        <v>9902.75</v>
      </c>
      <c r="O61" s="25">
        <v>1805</v>
      </c>
      <c r="P61" s="25">
        <v>5445</v>
      </c>
      <c r="Q61" s="25">
        <v>17152.75</v>
      </c>
      <c r="R61" s="18">
        <v>90.277631578947364</v>
      </c>
    </row>
    <row r="62" spans="1:18" x14ac:dyDescent="0.35">
      <c r="A62" s="13">
        <v>45178</v>
      </c>
      <c r="B62">
        <v>2023</v>
      </c>
      <c r="C62">
        <v>9</v>
      </c>
      <c r="D62" t="s">
        <v>70</v>
      </c>
      <c r="E62" t="s">
        <v>72</v>
      </c>
      <c r="F62">
        <v>197</v>
      </c>
      <c r="G62">
        <v>197</v>
      </c>
      <c r="H62">
        <v>0</v>
      </c>
      <c r="I62">
        <v>11</v>
      </c>
      <c r="J62" s="17">
        <v>0.68881118881118886</v>
      </c>
      <c r="K62">
        <v>33</v>
      </c>
      <c r="L62">
        <v>32</v>
      </c>
      <c r="M62" s="17">
        <v>0.96969696969696972</v>
      </c>
      <c r="N62" s="25">
        <v>9902.75</v>
      </c>
      <c r="O62" s="25">
        <v>1871.5</v>
      </c>
      <c r="P62" s="25">
        <v>5445</v>
      </c>
      <c r="Q62" s="25">
        <v>17219.25</v>
      </c>
      <c r="R62" s="18">
        <v>87.407360406091371</v>
      </c>
    </row>
    <row r="63" spans="1:18" x14ac:dyDescent="0.35">
      <c r="A63" s="13">
        <v>45185</v>
      </c>
      <c r="B63">
        <v>2023</v>
      </c>
      <c r="C63">
        <v>9</v>
      </c>
      <c r="D63" t="s">
        <v>70</v>
      </c>
      <c r="E63" t="s">
        <v>72</v>
      </c>
      <c r="F63">
        <v>185</v>
      </c>
      <c r="G63">
        <v>185</v>
      </c>
      <c r="H63">
        <v>0</v>
      </c>
      <c r="I63">
        <v>11</v>
      </c>
      <c r="J63" s="17">
        <v>0.64685314685314688</v>
      </c>
      <c r="K63">
        <v>33</v>
      </c>
      <c r="L63">
        <v>33</v>
      </c>
      <c r="M63" s="17">
        <v>1</v>
      </c>
      <c r="N63" s="25">
        <v>9902.75</v>
      </c>
      <c r="O63" s="25">
        <v>1757.5</v>
      </c>
      <c r="P63" s="25">
        <v>5445</v>
      </c>
      <c r="Q63" s="25">
        <v>17105.25</v>
      </c>
      <c r="R63" s="18">
        <v>92.460810810810813</v>
      </c>
    </row>
    <row r="64" spans="1:18" x14ac:dyDescent="0.35">
      <c r="A64" s="13">
        <v>45192</v>
      </c>
      <c r="B64">
        <v>2023</v>
      </c>
      <c r="C64">
        <v>9</v>
      </c>
      <c r="D64" t="s">
        <v>70</v>
      </c>
      <c r="E64" t="s">
        <v>72</v>
      </c>
      <c r="F64">
        <v>190</v>
      </c>
      <c r="G64">
        <v>190</v>
      </c>
      <c r="H64">
        <v>0</v>
      </c>
      <c r="I64">
        <v>9</v>
      </c>
      <c r="J64" s="17">
        <v>0.81196581196581197</v>
      </c>
      <c r="K64">
        <v>33</v>
      </c>
      <c r="L64">
        <v>33</v>
      </c>
      <c r="M64" s="17">
        <v>1</v>
      </c>
      <c r="N64" s="25">
        <v>8102.25</v>
      </c>
      <c r="O64" s="25">
        <v>1805</v>
      </c>
      <c r="P64" s="25">
        <v>5445</v>
      </c>
      <c r="Q64" s="25">
        <v>15352.25</v>
      </c>
      <c r="R64" s="18">
        <v>80.801315789473691</v>
      </c>
    </row>
    <row r="65" spans="1:18" x14ac:dyDescent="0.35">
      <c r="A65" s="13">
        <v>45199</v>
      </c>
      <c r="B65">
        <v>2023</v>
      </c>
      <c r="C65">
        <v>9</v>
      </c>
      <c r="D65" t="s">
        <v>70</v>
      </c>
      <c r="E65" t="s">
        <v>72</v>
      </c>
      <c r="F65">
        <v>185</v>
      </c>
      <c r="G65">
        <v>185</v>
      </c>
      <c r="H65">
        <v>0</v>
      </c>
      <c r="I65">
        <v>9</v>
      </c>
      <c r="J65" s="17">
        <v>0.79059829059829057</v>
      </c>
      <c r="K65">
        <v>33</v>
      </c>
      <c r="L65">
        <v>32</v>
      </c>
      <c r="M65" s="17">
        <v>0.96969696969696972</v>
      </c>
      <c r="N65" s="25">
        <v>8102.25</v>
      </c>
      <c r="O65" s="25">
        <v>1757.5</v>
      </c>
      <c r="P65" s="25">
        <v>5445</v>
      </c>
      <c r="Q65" s="25">
        <v>15304.75</v>
      </c>
      <c r="R65" s="18">
        <v>82.72837837837838</v>
      </c>
    </row>
    <row r="66" spans="1:18" x14ac:dyDescent="0.35">
      <c r="A66" s="13">
        <v>45206</v>
      </c>
      <c r="B66">
        <v>2023</v>
      </c>
      <c r="C66">
        <v>10</v>
      </c>
      <c r="D66" t="s">
        <v>70</v>
      </c>
      <c r="E66" t="s">
        <v>72</v>
      </c>
      <c r="F66">
        <v>175</v>
      </c>
      <c r="G66">
        <v>175</v>
      </c>
      <c r="H66">
        <v>0</v>
      </c>
      <c r="I66">
        <v>9</v>
      </c>
      <c r="J66" s="17">
        <v>0.74786324786324787</v>
      </c>
      <c r="K66">
        <v>33</v>
      </c>
      <c r="L66">
        <v>33</v>
      </c>
      <c r="M66" s="17">
        <v>1</v>
      </c>
      <c r="N66" s="25">
        <v>8102.25</v>
      </c>
      <c r="O66" s="25">
        <v>1662.5</v>
      </c>
      <c r="P66" s="25">
        <v>5445</v>
      </c>
      <c r="Q66" s="25">
        <v>15209.75</v>
      </c>
      <c r="R66" s="18">
        <v>86.912857142857149</v>
      </c>
    </row>
    <row r="67" spans="1:18" x14ac:dyDescent="0.35">
      <c r="A67" s="13">
        <v>45213</v>
      </c>
      <c r="B67">
        <v>2023</v>
      </c>
      <c r="C67">
        <v>10</v>
      </c>
      <c r="D67" t="s">
        <v>70</v>
      </c>
      <c r="E67" t="s">
        <v>72</v>
      </c>
      <c r="F67">
        <v>188</v>
      </c>
      <c r="G67">
        <v>188</v>
      </c>
      <c r="H67">
        <v>0</v>
      </c>
      <c r="I67">
        <v>11</v>
      </c>
      <c r="J67" s="17">
        <v>0.65734265734265729</v>
      </c>
      <c r="K67">
        <v>33</v>
      </c>
      <c r="L67">
        <v>33</v>
      </c>
      <c r="M67" s="17">
        <v>1</v>
      </c>
      <c r="N67" s="25">
        <v>9902.75</v>
      </c>
      <c r="O67" s="25">
        <v>1786</v>
      </c>
      <c r="P67" s="25">
        <v>5445</v>
      </c>
      <c r="Q67" s="25">
        <v>17133.75</v>
      </c>
      <c r="R67" s="18">
        <v>91.136968085106389</v>
      </c>
    </row>
    <row r="68" spans="1:18" x14ac:dyDescent="0.35">
      <c r="A68" s="13">
        <v>45220</v>
      </c>
      <c r="B68">
        <v>2023</v>
      </c>
      <c r="C68">
        <v>10</v>
      </c>
      <c r="D68" t="s">
        <v>70</v>
      </c>
      <c r="E68" t="s">
        <v>72</v>
      </c>
      <c r="F68">
        <v>195</v>
      </c>
      <c r="G68">
        <v>195</v>
      </c>
      <c r="H68">
        <v>0</v>
      </c>
      <c r="I68">
        <v>11</v>
      </c>
      <c r="J68" s="17">
        <v>0.68181818181818177</v>
      </c>
      <c r="K68">
        <v>33</v>
      </c>
      <c r="L68">
        <v>32</v>
      </c>
      <c r="M68" s="17">
        <v>0.96969696969696972</v>
      </c>
      <c r="N68" s="25">
        <v>9902.75</v>
      </c>
      <c r="O68" s="25">
        <v>1852.5</v>
      </c>
      <c r="P68" s="25">
        <v>5445</v>
      </c>
      <c r="Q68" s="25">
        <v>17200.25</v>
      </c>
      <c r="R68" s="18">
        <v>88.206410256410251</v>
      </c>
    </row>
    <row r="69" spans="1:18" x14ac:dyDescent="0.35">
      <c r="A69" s="13">
        <v>45227</v>
      </c>
      <c r="B69">
        <v>2023</v>
      </c>
      <c r="C69">
        <v>10</v>
      </c>
      <c r="D69" t="s">
        <v>70</v>
      </c>
      <c r="E69" t="s">
        <v>72</v>
      </c>
      <c r="F69">
        <v>208</v>
      </c>
      <c r="G69">
        <v>208</v>
      </c>
      <c r="H69">
        <v>0</v>
      </c>
      <c r="I69">
        <v>11</v>
      </c>
      <c r="J69" s="17">
        <v>0.72727272727272729</v>
      </c>
      <c r="K69">
        <v>33</v>
      </c>
      <c r="L69">
        <v>32</v>
      </c>
      <c r="M69" s="17">
        <v>0.96969696969696972</v>
      </c>
      <c r="N69" s="25">
        <v>9902.75</v>
      </c>
      <c r="O69" s="25">
        <v>1976</v>
      </c>
      <c r="P69" s="25">
        <v>5445</v>
      </c>
      <c r="Q69" s="25">
        <v>17323.75</v>
      </c>
      <c r="R69" s="18">
        <v>83.287259615384613</v>
      </c>
    </row>
    <row r="70" spans="1:18" x14ac:dyDescent="0.35">
      <c r="A70" s="13">
        <v>45234</v>
      </c>
      <c r="B70">
        <v>2023</v>
      </c>
      <c r="C70">
        <v>11</v>
      </c>
      <c r="D70" t="s">
        <v>70</v>
      </c>
      <c r="E70" t="s">
        <v>72</v>
      </c>
      <c r="F70">
        <v>213</v>
      </c>
      <c r="G70">
        <v>213</v>
      </c>
      <c r="H70">
        <v>0</v>
      </c>
      <c r="I70">
        <v>11</v>
      </c>
      <c r="J70" s="17">
        <v>0.74475524475524479</v>
      </c>
      <c r="K70">
        <v>33</v>
      </c>
      <c r="L70">
        <v>33</v>
      </c>
      <c r="M70" s="17">
        <v>1</v>
      </c>
      <c r="N70" s="25">
        <v>9902.75</v>
      </c>
      <c r="O70" s="25">
        <v>2023.5</v>
      </c>
      <c r="P70" s="25">
        <v>5445</v>
      </c>
      <c r="Q70" s="25">
        <v>17371.25</v>
      </c>
      <c r="R70" s="18">
        <v>81.555164319248831</v>
      </c>
    </row>
    <row r="71" spans="1:18" x14ac:dyDescent="0.35">
      <c r="A71" s="13">
        <v>45241</v>
      </c>
      <c r="B71">
        <v>2023</v>
      </c>
      <c r="C71">
        <v>11</v>
      </c>
      <c r="D71" t="s">
        <v>70</v>
      </c>
      <c r="E71" t="s">
        <v>72</v>
      </c>
      <c r="F71">
        <v>212</v>
      </c>
      <c r="G71">
        <v>212</v>
      </c>
      <c r="H71">
        <v>0</v>
      </c>
      <c r="I71">
        <v>11</v>
      </c>
      <c r="J71" s="17">
        <v>0.74125874125874125</v>
      </c>
      <c r="K71">
        <v>33</v>
      </c>
      <c r="L71">
        <v>32</v>
      </c>
      <c r="M71" s="17">
        <v>0.96969696969696972</v>
      </c>
      <c r="N71" s="25">
        <v>9902.75</v>
      </c>
      <c r="O71" s="25">
        <v>2014</v>
      </c>
      <c r="P71" s="25">
        <v>5445</v>
      </c>
      <c r="Q71" s="25">
        <v>17361.75</v>
      </c>
      <c r="R71" s="18">
        <v>81.89504716981132</v>
      </c>
    </row>
    <row r="72" spans="1:18" x14ac:dyDescent="0.35">
      <c r="A72" s="13">
        <v>45248</v>
      </c>
      <c r="B72">
        <v>2023</v>
      </c>
      <c r="C72">
        <v>11</v>
      </c>
      <c r="D72" t="s">
        <v>70</v>
      </c>
      <c r="E72" t="s">
        <v>72</v>
      </c>
      <c r="F72">
        <v>239</v>
      </c>
      <c r="G72">
        <v>239</v>
      </c>
      <c r="H72">
        <v>0</v>
      </c>
      <c r="I72">
        <v>12</v>
      </c>
      <c r="J72" s="17">
        <v>0.76602564102564108</v>
      </c>
      <c r="K72">
        <v>33</v>
      </c>
      <c r="L72">
        <v>32</v>
      </c>
      <c r="M72" s="17">
        <v>0.96969696969696972</v>
      </c>
      <c r="N72" s="25">
        <v>10803</v>
      </c>
      <c r="O72" s="25">
        <v>2270.5</v>
      </c>
      <c r="P72" s="25">
        <v>5445</v>
      </c>
      <c r="Q72" s="25">
        <v>18518.5</v>
      </c>
      <c r="R72" s="18">
        <v>77.48326359832636</v>
      </c>
    </row>
    <row r="73" spans="1:18" x14ac:dyDescent="0.35">
      <c r="A73" s="13">
        <v>45255</v>
      </c>
      <c r="B73">
        <v>2023</v>
      </c>
      <c r="C73">
        <v>11</v>
      </c>
      <c r="D73" t="s">
        <v>70</v>
      </c>
      <c r="E73" t="s">
        <v>72</v>
      </c>
      <c r="F73">
        <v>258</v>
      </c>
      <c r="G73">
        <v>258</v>
      </c>
      <c r="H73">
        <v>0</v>
      </c>
      <c r="I73">
        <v>13</v>
      </c>
      <c r="J73" s="17">
        <v>0.76331360946745563</v>
      </c>
      <c r="K73">
        <v>33</v>
      </c>
      <c r="L73">
        <v>33</v>
      </c>
      <c r="M73" s="17">
        <v>1</v>
      </c>
      <c r="N73" s="25">
        <v>11703.25</v>
      </c>
      <c r="O73" s="25">
        <v>2451</v>
      </c>
      <c r="P73" s="25">
        <v>5445</v>
      </c>
      <c r="Q73" s="25">
        <v>19599.25</v>
      </c>
      <c r="R73" s="18">
        <v>75.966085271317823</v>
      </c>
    </row>
    <row r="74" spans="1:18" x14ac:dyDescent="0.35">
      <c r="A74" s="13">
        <v>45262</v>
      </c>
      <c r="B74">
        <v>2023</v>
      </c>
      <c r="C74">
        <v>12</v>
      </c>
      <c r="D74" t="s">
        <v>70</v>
      </c>
      <c r="E74" t="s">
        <v>72</v>
      </c>
      <c r="F74">
        <v>280</v>
      </c>
      <c r="G74">
        <v>274</v>
      </c>
      <c r="H74">
        <v>6</v>
      </c>
      <c r="I74">
        <v>14</v>
      </c>
      <c r="J74" s="17">
        <v>0.75274725274725274</v>
      </c>
      <c r="K74">
        <v>33</v>
      </c>
      <c r="L74">
        <v>32</v>
      </c>
      <c r="M74" s="17">
        <v>0.96969696969696972</v>
      </c>
      <c r="N74" s="25">
        <v>12603.5</v>
      </c>
      <c r="O74" s="25">
        <v>2603</v>
      </c>
      <c r="P74" s="25">
        <v>5445</v>
      </c>
      <c r="Q74" s="25">
        <v>20651.5</v>
      </c>
      <c r="R74" s="18">
        <v>75.370437956204384</v>
      </c>
    </row>
    <row r="75" spans="1:18" x14ac:dyDescent="0.35">
      <c r="A75" s="13">
        <v>45269</v>
      </c>
      <c r="B75">
        <v>2023</v>
      </c>
      <c r="C75">
        <v>12</v>
      </c>
      <c r="D75" t="s">
        <v>70</v>
      </c>
      <c r="E75" t="s">
        <v>72</v>
      </c>
      <c r="F75">
        <v>295</v>
      </c>
      <c r="G75">
        <v>282</v>
      </c>
      <c r="H75">
        <v>19</v>
      </c>
      <c r="I75">
        <v>14</v>
      </c>
      <c r="J75" s="17">
        <v>0.77472527472527475</v>
      </c>
      <c r="K75">
        <v>33</v>
      </c>
      <c r="L75">
        <v>33</v>
      </c>
      <c r="M75" s="17">
        <v>1</v>
      </c>
      <c r="N75" s="25">
        <v>12603.5</v>
      </c>
      <c r="O75" s="25">
        <v>2679</v>
      </c>
      <c r="P75" s="25">
        <v>5445</v>
      </c>
      <c r="Q75" s="25">
        <v>20727.5</v>
      </c>
      <c r="R75" s="18">
        <v>73.501773049645394</v>
      </c>
    </row>
    <row r="76" spans="1:18" x14ac:dyDescent="0.35">
      <c r="A76" s="13">
        <v>45276</v>
      </c>
      <c r="B76">
        <v>2023</v>
      </c>
      <c r="C76">
        <v>12</v>
      </c>
      <c r="D76" t="s">
        <v>70</v>
      </c>
      <c r="E76" t="s">
        <v>72</v>
      </c>
      <c r="F76">
        <v>290</v>
      </c>
      <c r="G76">
        <v>286</v>
      </c>
      <c r="H76">
        <v>23</v>
      </c>
      <c r="I76">
        <v>15</v>
      </c>
      <c r="J76" s="17">
        <v>0.73333333333333328</v>
      </c>
      <c r="K76">
        <v>33</v>
      </c>
      <c r="L76">
        <v>32</v>
      </c>
      <c r="M76" s="17">
        <v>0.96969696969696972</v>
      </c>
      <c r="N76" s="25">
        <v>13503.75</v>
      </c>
      <c r="O76" s="25">
        <v>2717</v>
      </c>
      <c r="P76" s="25">
        <v>5445</v>
      </c>
      <c r="Q76" s="25">
        <v>21665.75</v>
      </c>
      <c r="R76" s="18">
        <v>75.754370629370626</v>
      </c>
    </row>
    <row r="77" spans="1:18" x14ac:dyDescent="0.35">
      <c r="A77" s="13">
        <v>45283</v>
      </c>
      <c r="B77">
        <v>2023</v>
      </c>
      <c r="C77">
        <v>12</v>
      </c>
      <c r="D77" t="s">
        <v>70</v>
      </c>
      <c r="E77" t="s">
        <v>72</v>
      </c>
      <c r="F77">
        <v>244</v>
      </c>
      <c r="G77">
        <v>263</v>
      </c>
      <c r="H77">
        <v>4</v>
      </c>
      <c r="I77">
        <v>14</v>
      </c>
      <c r="J77" s="17">
        <v>0.72252747252747251</v>
      </c>
      <c r="K77">
        <v>33</v>
      </c>
      <c r="L77">
        <v>32</v>
      </c>
      <c r="M77" s="17">
        <v>0.96969696969696972</v>
      </c>
      <c r="N77" s="25">
        <v>12603.5</v>
      </c>
      <c r="O77" s="25">
        <v>2498.5</v>
      </c>
      <c r="P77" s="25">
        <v>5445</v>
      </c>
      <c r="Q77" s="25">
        <v>20547</v>
      </c>
      <c r="R77" s="18">
        <v>78.125475285171106</v>
      </c>
    </row>
    <row r="78" spans="1:18" x14ac:dyDescent="0.35">
      <c r="A78" s="13">
        <v>45290</v>
      </c>
      <c r="B78">
        <v>2023</v>
      </c>
      <c r="C78">
        <v>12</v>
      </c>
      <c r="D78" t="s">
        <v>70</v>
      </c>
      <c r="E78" t="s">
        <v>72</v>
      </c>
      <c r="F78">
        <v>212</v>
      </c>
      <c r="G78">
        <v>216</v>
      </c>
      <c r="H78">
        <v>0</v>
      </c>
      <c r="I78">
        <v>11</v>
      </c>
      <c r="J78" s="17">
        <v>0.75524475524475521</v>
      </c>
      <c r="K78">
        <v>33</v>
      </c>
      <c r="L78">
        <v>31</v>
      </c>
      <c r="M78" s="17">
        <v>0.93939393939393945</v>
      </c>
      <c r="N78" s="25">
        <v>9902.75</v>
      </c>
      <c r="O78" s="25">
        <v>2052</v>
      </c>
      <c r="P78" s="25">
        <v>5445</v>
      </c>
      <c r="Q78" s="25">
        <v>17399.75</v>
      </c>
      <c r="R78" s="18">
        <v>80.554398148148152</v>
      </c>
    </row>
    <row r="79" spans="1:18" x14ac:dyDescent="0.35">
      <c r="A79" s="13">
        <v>45297</v>
      </c>
      <c r="B79">
        <v>2024</v>
      </c>
      <c r="C79">
        <v>1</v>
      </c>
      <c r="D79" t="s">
        <v>70</v>
      </c>
      <c r="E79" t="s">
        <v>72</v>
      </c>
      <c r="F79">
        <v>171</v>
      </c>
      <c r="G79">
        <v>171</v>
      </c>
      <c r="H79">
        <v>0</v>
      </c>
      <c r="I79">
        <v>10</v>
      </c>
      <c r="J79" s="17">
        <v>0.65769230769230769</v>
      </c>
      <c r="K79">
        <v>33</v>
      </c>
      <c r="L79">
        <v>29</v>
      </c>
      <c r="M79" s="17">
        <v>0.87878787878787878</v>
      </c>
      <c r="N79" s="25">
        <v>9002.5</v>
      </c>
      <c r="O79" s="25">
        <v>1624.5</v>
      </c>
      <c r="P79" s="25">
        <v>5445</v>
      </c>
      <c r="Q79" s="25">
        <v>16072</v>
      </c>
      <c r="R79" s="18">
        <v>93.988304093567251</v>
      </c>
    </row>
    <row r="80" spans="1:18" x14ac:dyDescent="0.35">
      <c r="A80" s="13">
        <v>45304</v>
      </c>
      <c r="B80">
        <v>2024</v>
      </c>
      <c r="C80">
        <v>1</v>
      </c>
      <c r="D80" t="s">
        <v>70</v>
      </c>
      <c r="E80" t="s">
        <v>72</v>
      </c>
      <c r="F80">
        <v>150</v>
      </c>
      <c r="G80">
        <v>150</v>
      </c>
      <c r="H80">
        <v>0</v>
      </c>
      <c r="I80">
        <v>8</v>
      </c>
      <c r="J80" s="17">
        <v>0.72115384615384615</v>
      </c>
      <c r="K80">
        <v>33</v>
      </c>
      <c r="L80">
        <v>30</v>
      </c>
      <c r="M80" s="17">
        <v>0.90909090909090906</v>
      </c>
      <c r="N80" s="25">
        <v>7202</v>
      </c>
      <c r="O80" s="25">
        <v>1425</v>
      </c>
      <c r="P80" s="25">
        <v>5445</v>
      </c>
      <c r="Q80" s="25">
        <v>14072</v>
      </c>
      <c r="R80" s="18">
        <v>93.813333333333333</v>
      </c>
    </row>
    <row r="81" spans="1:18" x14ac:dyDescent="0.35">
      <c r="A81" s="13">
        <v>45311</v>
      </c>
      <c r="B81">
        <v>2024</v>
      </c>
      <c r="C81">
        <v>1</v>
      </c>
      <c r="D81" t="s">
        <v>70</v>
      </c>
      <c r="E81" t="s">
        <v>72</v>
      </c>
      <c r="F81">
        <v>160</v>
      </c>
      <c r="G81">
        <v>160</v>
      </c>
      <c r="H81">
        <v>0</v>
      </c>
      <c r="I81">
        <v>9</v>
      </c>
      <c r="J81" s="17">
        <v>0.68376068376068377</v>
      </c>
      <c r="K81">
        <v>33</v>
      </c>
      <c r="L81">
        <v>31</v>
      </c>
      <c r="M81" s="17">
        <v>0.93939393939393945</v>
      </c>
      <c r="N81" s="25">
        <v>8102.25</v>
      </c>
      <c r="O81" s="25">
        <v>1520</v>
      </c>
      <c r="P81" s="25">
        <v>5445</v>
      </c>
      <c r="Q81" s="25">
        <v>15067.25</v>
      </c>
      <c r="R81" s="18">
        <v>94.170312499999994</v>
      </c>
    </row>
    <row r="82" spans="1:18" x14ac:dyDescent="0.35">
      <c r="A82" s="13">
        <v>45318</v>
      </c>
      <c r="B82">
        <v>2024</v>
      </c>
      <c r="C82">
        <v>1</v>
      </c>
      <c r="D82" t="s">
        <v>70</v>
      </c>
      <c r="E82" t="s">
        <v>72</v>
      </c>
      <c r="F82">
        <v>162</v>
      </c>
      <c r="G82">
        <v>162</v>
      </c>
      <c r="H82">
        <v>0</v>
      </c>
      <c r="I82">
        <v>8</v>
      </c>
      <c r="J82" s="17">
        <v>0.77884615384615385</v>
      </c>
      <c r="K82">
        <v>33</v>
      </c>
      <c r="L82">
        <v>32</v>
      </c>
      <c r="M82" s="17">
        <v>0.96969696969696972</v>
      </c>
      <c r="N82" s="25">
        <v>7202</v>
      </c>
      <c r="O82" s="25">
        <v>1539</v>
      </c>
      <c r="P82" s="25">
        <v>5445</v>
      </c>
      <c r="Q82" s="25">
        <v>14186</v>
      </c>
      <c r="R82" s="18">
        <v>87.567901234567898</v>
      </c>
    </row>
    <row r="83" spans="1:18" x14ac:dyDescent="0.35">
      <c r="A83" s="13">
        <v>45325</v>
      </c>
      <c r="B83">
        <v>2024</v>
      </c>
      <c r="C83">
        <v>2</v>
      </c>
      <c r="D83" t="s">
        <v>70</v>
      </c>
      <c r="E83" t="s">
        <v>72</v>
      </c>
      <c r="F83">
        <v>173</v>
      </c>
      <c r="G83">
        <v>173</v>
      </c>
      <c r="H83">
        <v>0</v>
      </c>
      <c r="I83">
        <v>9</v>
      </c>
      <c r="J83" s="17">
        <v>0.73931623931623935</v>
      </c>
      <c r="K83">
        <v>33</v>
      </c>
      <c r="L83">
        <v>32</v>
      </c>
      <c r="M83" s="17">
        <v>0.96969696969696972</v>
      </c>
      <c r="N83" s="25">
        <v>8102.25</v>
      </c>
      <c r="O83" s="25">
        <v>1643.5</v>
      </c>
      <c r="P83" s="25">
        <v>5445</v>
      </c>
      <c r="Q83" s="25">
        <v>15190.75</v>
      </c>
      <c r="R83" s="18">
        <v>87.807803468208093</v>
      </c>
    </row>
    <row r="84" spans="1:18" x14ac:dyDescent="0.35">
      <c r="A84" s="13">
        <v>45332</v>
      </c>
      <c r="B84">
        <v>2024</v>
      </c>
      <c r="C84">
        <v>2</v>
      </c>
      <c r="D84" t="s">
        <v>70</v>
      </c>
      <c r="E84" t="s">
        <v>72</v>
      </c>
      <c r="F84">
        <v>174</v>
      </c>
      <c r="G84">
        <v>174</v>
      </c>
      <c r="H84">
        <v>0</v>
      </c>
      <c r="I84">
        <v>10</v>
      </c>
      <c r="J84" s="17">
        <v>0.66923076923076918</v>
      </c>
      <c r="K84">
        <v>33</v>
      </c>
      <c r="L84">
        <v>32</v>
      </c>
      <c r="M84" s="17">
        <v>0.96969696969696972</v>
      </c>
      <c r="N84" s="25">
        <v>9002.5</v>
      </c>
      <c r="O84" s="25">
        <v>1653</v>
      </c>
      <c r="P84" s="25">
        <v>5445</v>
      </c>
      <c r="Q84" s="25">
        <v>16100.5</v>
      </c>
      <c r="R84" s="18">
        <v>92.531609195402297</v>
      </c>
    </row>
    <row r="85" spans="1:18" x14ac:dyDescent="0.35">
      <c r="A85" s="13">
        <v>45339</v>
      </c>
      <c r="B85">
        <v>2024</v>
      </c>
      <c r="C85">
        <v>2</v>
      </c>
      <c r="D85" t="s">
        <v>70</v>
      </c>
      <c r="E85" t="s">
        <v>72</v>
      </c>
      <c r="F85">
        <v>188</v>
      </c>
      <c r="G85">
        <v>188</v>
      </c>
      <c r="H85">
        <v>0</v>
      </c>
      <c r="I85">
        <v>10</v>
      </c>
      <c r="J85" s="17">
        <v>0.72307692307692306</v>
      </c>
      <c r="K85">
        <v>33</v>
      </c>
      <c r="L85">
        <v>31</v>
      </c>
      <c r="M85" s="17">
        <v>0.93939393939393945</v>
      </c>
      <c r="N85" s="25">
        <v>9002.5</v>
      </c>
      <c r="O85" s="25">
        <v>1786</v>
      </c>
      <c r="P85" s="25">
        <v>5445</v>
      </c>
      <c r="Q85" s="25">
        <v>16233.5</v>
      </c>
      <c r="R85" s="18">
        <v>86.348404255319153</v>
      </c>
    </row>
    <row r="86" spans="1:18" x14ac:dyDescent="0.35">
      <c r="A86" s="13">
        <v>45346</v>
      </c>
      <c r="B86">
        <v>2024</v>
      </c>
      <c r="C86">
        <v>2</v>
      </c>
      <c r="D86" t="s">
        <v>70</v>
      </c>
      <c r="E86" t="s">
        <v>72</v>
      </c>
      <c r="F86">
        <v>187</v>
      </c>
      <c r="G86">
        <v>187</v>
      </c>
      <c r="H86">
        <v>0</v>
      </c>
      <c r="I86">
        <v>10</v>
      </c>
      <c r="J86" s="17">
        <v>0.71923076923076923</v>
      </c>
      <c r="K86">
        <v>33</v>
      </c>
      <c r="L86">
        <v>31</v>
      </c>
      <c r="M86" s="17">
        <v>0.93939393939393945</v>
      </c>
      <c r="N86" s="25">
        <v>9002.5</v>
      </c>
      <c r="O86" s="25">
        <v>1776.5</v>
      </c>
      <c r="P86" s="25">
        <v>5445</v>
      </c>
      <c r="Q86" s="25">
        <v>16224</v>
      </c>
      <c r="R86" s="18">
        <v>86.759358288770059</v>
      </c>
    </row>
    <row r="87" spans="1:18" x14ac:dyDescent="0.35">
      <c r="A87" s="13">
        <v>45353</v>
      </c>
      <c r="B87">
        <v>2024</v>
      </c>
      <c r="C87">
        <v>3</v>
      </c>
      <c r="D87" t="s">
        <v>70</v>
      </c>
      <c r="E87" t="s">
        <v>72</v>
      </c>
      <c r="F87">
        <v>195</v>
      </c>
      <c r="G87">
        <v>195</v>
      </c>
      <c r="H87">
        <v>0</v>
      </c>
      <c r="I87">
        <v>11</v>
      </c>
      <c r="J87" s="17">
        <v>0.68181818181818177</v>
      </c>
      <c r="K87">
        <v>33</v>
      </c>
      <c r="L87">
        <v>32</v>
      </c>
      <c r="M87" s="17">
        <v>0.96969696969696972</v>
      </c>
      <c r="N87" s="25">
        <v>9902.75</v>
      </c>
      <c r="O87" s="25">
        <v>1852.5</v>
      </c>
      <c r="P87" s="25">
        <v>5445</v>
      </c>
      <c r="Q87" s="25">
        <v>17200.25</v>
      </c>
      <c r="R87" s="18">
        <v>88.206410256410251</v>
      </c>
    </row>
    <row r="88" spans="1:18" x14ac:dyDescent="0.35">
      <c r="A88" s="13">
        <v>45360</v>
      </c>
      <c r="B88">
        <v>2024</v>
      </c>
      <c r="C88">
        <v>3</v>
      </c>
      <c r="D88" t="s">
        <v>70</v>
      </c>
      <c r="E88" t="s">
        <v>72</v>
      </c>
      <c r="F88">
        <v>182</v>
      </c>
      <c r="G88">
        <v>182</v>
      </c>
      <c r="H88">
        <v>0</v>
      </c>
      <c r="I88">
        <v>10</v>
      </c>
      <c r="J88" s="17">
        <v>0.7</v>
      </c>
      <c r="K88">
        <v>33</v>
      </c>
      <c r="L88">
        <v>33</v>
      </c>
      <c r="M88" s="17">
        <v>1</v>
      </c>
      <c r="N88" s="25">
        <v>9002.5</v>
      </c>
      <c r="O88" s="25">
        <v>1729</v>
      </c>
      <c r="P88" s="25">
        <v>5445</v>
      </c>
      <c r="Q88" s="25">
        <v>16176.5</v>
      </c>
      <c r="R88" s="18">
        <v>88.881868131868131</v>
      </c>
    </row>
    <row r="89" spans="1:18" x14ac:dyDescent="0.35">
      <c r="A89" s="13">
        <v>45367</v>
      </c>
      <c r="B89">
        <v>2024</v>
      </c>
      <c r="C89">
        <v>3</v>
      </c>
      <c r="D89" t="s">
        <v>70</v>
      </c>
      <c r="E89" t="s">
        <v>72</v>
      </c>
      <c r="F89">
        <v>197</v>
      </c>
      <c r="G89">
        <v>197</v>
      </c>
      <c r="H89">
        <v>0</v>
      </c>
      <c r="I89">
        <v>11</v>
      </c>
      <c r="J89" s="17">
        <v>0.68881118881118886</v>
      </c>
      <c r="K89">
        <v>33</v>
      </c>
      <c r="L89">
        <v>32</v>
      </c>
      <c r="M89" s="17">
        <v>0.96969696969696972</v>
      </c>
      <c r="N89" s="25">
        <v>9902.75</v>
      </c>
      <c r="O89" s="25">
        <v>1871.5</v>
      </c>
      <c r="P89" s="25">
        <v>5445</v>
      </c>
      <c r="Q89" s="25">
        <v>17219.25</v>
      </c>
      <c r="R89" s="18">
        <v>87.407360406091371</v>
      </c>
    </row>
    <row r="90" spans="1:18" x14ac:dyDescent="0.35">
      <c r="A90" s="13">
        <v>45374</v>
      </c>
      <c r="B90">
        <v>2024</v>
      </c>
      <c r="C90">
        <v>3</v>
      </c>
      <c r="D90" t="s">
        <v>70</v>
      </c>
      <c r="E90" t="s">
        <v>72</v>
      </c>
      <c r="F90">
        <v>201</v>
      </c>
      <c r="G90">
        <v>201</v>
      </c>
      <c r="H90">
        <v>0</v>
      </c>
      <c r="I90">
        <v>11</v>
      </c>
      <c r="J90" s="17">
        <v>0.70279720279720281</v>
      </c>
      <c r="K90">
        <v>33</v>
      </c>
      <c r="L90">
        <v>30</v>
      </c>
      <c r="M90" s="17">
        <v>0.90909090909090906</v>
      </c>
      <c r="N90" s="25">
        <v>9902.75</v>
      </c>
      <c r="O90" s="25">
        <v>1909.5</v>
      </c>
      <c r="P90" s="25">
        <v>5445</v>
      </c>
      <c r="Q90" s="25">
        <v>17257.25</v>
      </c>
      <c r="R90" s="18">
        <v>85.856965174129357</v>
      </c>
    </row>
    <row r="91" spans="1:18" x14ac:dyDescent="0.35">
      <c r="A91" s="13">
        <v>45381</v>
      </c>
      <c r="B91">
        <v>2024</v>
      </c>
      <c r="C91">
        <v>3</v>
      </c>
      <c r="D91" t="s">
        <v>70</v>
      </c>
      <c r="E91" t="s">
        <v>72</v>
      </c>
      <c r="F91">
        <v>192</v>
      </c>
      <c r="G91">
        <v>192</v>
      </c>
      <c r="H91">
        <v>0</v>
      </c>
      <c r="I91">
        <v>11</v>
      </c>
      <c r="J91" s="17">
        <v>0.67132867132867136</v>
      </c>
      <c r="K91">
        <v>33</v>
      </c>
      <c r="L91">
        <v>33</v>
      </c>
      <c r="M91" s="17">
        <v>1</v>
      </c>
      <c r="N91" s="25">
        <v>9902.75</v>
      </c>
      <c r="O91" s="25">
        <v>1824</v>
      </c>
      <c r="P91" s="25">
        <v>5445</v>
      </c>
      <c r="Q91" s="25">
        <v>17171.75</v>
      </c>
      <c r="R91" s="18">
        <v>89.436197916666671</v>
      </c>
    </row>
    <row r="92" spans="1:18" x14ac:dyDescent="0.35">
      <c r="A92" s="13">
        <v>45388</v>
      </c>
      <c r="B92">
        <v>2024</v>
      </c>
      <c r="C92">
        <v>4</v>
      </c>
      <c r="D92" t="s">
        <v>70</v>
      </c>
      <c r="E92" t="s">
        <v>72</v>
      </c>
      <c r="F92">
        <v>176</v>
      </c>
      <c r="G92">
        <v>176</v>
      </c>
      <c r="H92">
        <v>0</v>
      </c>
      <c r="I92">
        <v>11</v>
      </c>
      <c r="J92" s="17">
        <v>0.61538461538461542</v>
      </c>
      <c r="K92">
        <v>33</v>
      </c>
      <c r="L92">
        <v>31</v>
      </c>
      <c r="M92" s="17">
        <v>0.93939393939393945</v>
      </c>
      <c r="N92" s="25">
        <v>9902.75</v>
      </c>
      <c r="O92" s="25">
        <v>1672</v>
      </c>
      <c r="P92" s="25">
        <v>5445</v>
      </c>
      <c r="Q92" s="25">
        <v>17019.75</v>
      </c>
      <c r="R92" s="18">
        <v>96.703125</v>
      </c>
    </row>
    <row r="93" spans="1:18" x14ac:dyDescent="0.35">
      <c r="A93" s="13">
        <v>45395</v>
      </c>
      <c r="B93">
        <v>2024</v>
      </c>
      <c r="C93">
        <v>4</v>
      </c>
      <c r="D93" t="s">
        <v>70</v>
      </c>
      <c r="E93" t="s">
        <v>72</v>
      </c>
      <c r="F93">
        <v>194</v>
      </c>
      <c r="G93">
        <v>194</v>
      </c>
      <c r="H93">
        <v>0</v>
      </c>
      <c r="I93">
        <v>11</v>
      </c>
      <c r="J93" s="17">
        <v>0.67832167832167833</v>
      </c>
      <c r="K93">
        <v>33</v>
      </c>
      <c r="L93">
        <v>33</v>
      </c>
      <c r="M93" s="17">
        <v>1</v>
      </c>
      <c r="N93" s="25">
        <v>9902.75</v>
      </c>
      <c r="O93" s="25">
        <v>1843</v>
      </c>
      <c r="P93" s="25">
        <v>5445</v>
      </c>
      <c r="Q93" s="25">
        <v>17190.75</v>
      </c>
      <c r="R93" s="18">
        <v>88.612113402061851</v>
      </c>
    </row>
    <row r="94" spans="1:18" x14ac:dyDescent="0.35">
      <c r="A94" s="13">
        <v>45402</v>
      </c>
      <c r="B94">
        <v>2024</v>
      </c>
      <c r="C94">
        <v>4</v>
      </c>
      <c r="D94" t="s">
        <v>70</v>
      </c>
      <c r="E94" t="s">
        <v>72</v>
      </c>
      <c r="F94">
        <v>202</v>
      </c>
      <c r="G94">
        <v>202</v>
      </c>
      <c r="H94">
        <v>0</v>
      </c>
      <c r="I94">
        <v>11</v>
      </c>
      <c r="J94" s="17">
        <v>0.70629370629370625</v>
      </c>
      <c r="K94">
        <v>33</v>
      </c>
      <c r="L94">
        <v>31</v>
      </c>
      <c r="M94" s="17">
        <v>0.93939393939393945</v>
      </c>
      <c r="N94" s="25">
        <v>9902.75</v>
      </c>
      <c r="O94" s="25">
        <v>1919</v>
      </c>
      <c r="P94" s="25">
        <v>5445</v>
      </c>
      <c r="Q94" s="25">
        <v>17266.75</v>
      </c>
      <c r="R94" s="18">
        <v>85.478960396039611</v>
      </c>
    </row>
    <row r="95" spans="1:18" x14ac:dyDescent="0.35">
      <c r="A95" s="13">
        <v>45409</v>
      </c>
      <c r="B95">
        <v>2024</v>
      </c>
      <c r="C95">
        <v>4</v>
      </c>
      <c r="D95" t="s">
        <v>70</v>
      </c>
      <c r="E95" t="s">
        <v>72</v>
      </c>
      <c r="F95">
        <v>200</v>
      </c>
      <c r="G95">
        <v>200</v>
      </c>
      <c r="H95">
        <v>0</v>
      </c>
      <c r="I95">
        <v>11</v>
      </c>
      <c r="J95" s="17">
        <v>0.69930069930069927</v>
      </c>
      <c r="K95">
        <v>33</v>
      </c>
      <c r="L95">
        <v>33</v>
      </c>
      <c r="M95" s="17">
        <v>1</v>
      </c>
      <c r="N95" s="25">
        <v>9902.75</v>
      </c>
      <c r="O95" s="25">
        <v>1900</v>
      </c>
      <c r="P95" s="25">
        <v>5445</v>
      </c>
      <c r="Q95" s="25">
        <v>17247.75</v>
      </c>
      <c r="R95" s="18">
        <v>86.238749999999996</v>
      </c>
    </row>
    <row r="96" spans="1:18" x14ac:dyDescent="0.35">
      <c r="A96" s="13">
        <v>45416</v>
      </c>
      <c r="B96">
        <v>2024</v>
      </c>
      <c r="C96">
        <v>5</v>
      </c>
      <c r="D96" t="s">
        <v>70</v>
      </c>
      <c r="E96" t="s">
        <v>72</v>
      </c>
      <c r="F96">
        <v>206</v>
      </c>
      <c r="G96">
        <v>206</v>
      </c>
      <c r="H96">
        <v>0</v>
      </c>
      <c r="I96">
        <v>11</v>
      </c>
      <c r="J96" s="17">
        <v>0.72027972027972031</v>
      </c>
      <c r="K96">
        <v>33</v>
      </c>
      <c r="L96">
        <v>31</v>
      </c>
      <c r="M96" s="17">
        <v>0.93939393939393945</v>
      </c>
      <c r="N96" s="25">
        <v>9902.75</v>
      </c>
      <c r="O96" s="25">
        <v>1957</v>
      </c>
      <c r="P96" s="25">
        <v>5445</v>
      </c>
      <c r="Q96" s="25">
        <v>17304.75</v>
      </c>
      <c r="R96" s="18">
        <v>84.003640776699029</v>
      </c>
    </row>
    <row r="97" spans="1:18" x14ac:dyDescent="0.35">
      <c r="A97" s="13">
        <v>45423</v>
      </c>
      <c r="B97">
        <v>2024</v>
      </c>
      <c r="C97">
        <v>5</v>
      </c>
      <c r="D97" t="s">
        <v>70</v>
      </c>
      <c r="E97" t="s">
        <v>72</v>
      </c>
      <c r="F97">
        <v>216</v>
      </c>
      <c r="G97">
        <v>216</v>
      </c>
      <c r="H97">
        <v>0</v>
      </c>
      <c r="I97">
        <v>11</v>
      </c>
      <c r="J97" s="17">
        <v>0.75524475524475521</v>
      </c>
      <c r="K97">
        <v>33</v>
      </c>
      <c r="L97">
        <v>33</v>
      </c>
      <c r="M97" s="17">
        <v>1</v>
      </c>
      <c r="N97" s="25">
        <v>9902.75</v>
      </c>
      <c r="O97" s="25">
        <v>2052</v>
      </c>
      <c r="P97" s="25">
        <v>5445</v>
      </c>
      <c r="Q97" s="25">
        <v>17399.75</v>
      </c>
      <c r="R97" s="18">
        <v>80.554398148148152</v>
      </c>
    </row>
    <row r="98" spans="1:18" x14ac:dyDescent="0.35">
      <c r="A98" s="13">
        <v>45430</v>
      </c>
      <c r="B98">
        <v>2024</v>
      </c>
      <c r="C98">
        <v>5</v>
      </c>
      <c r="D98" t="s">
        <v>70</v>
      </c>
      <c r="E98" t="s">
        <v>72</v>
      </c>
      <c r="F98">
        <v>215</v>
      </c>
      <c r="G98">
        <v>215</v>
      </c>
      <c r="H98">
        <v>0</v>
      </c>
      <c r="I98">
        <v>11</v>
      </c>
      <c r="J98" s="17">
        <v>0.75174825174825177</v>
      </c>
      <c r="K98">
        <v>33</v>
      </c>
      <c r="L98">
        <v>29</v>
      </c>
      <c r="M98" s="17">
        <v>0.87878787878787878</v>
      </c>
      <c r="N98" s="25">
        <v>9902.75</v>
      </c>
      <c r="O98" s="25">
        <v>2042.5</v>
      </c>
      <c r="P98" s="25">
        <v>5445</v>
      </c>
      <c r="Q98" s="25">
        <v>17390.25</v>
      </c>
      <c r="R98" s="18">
        <v>80.884883720930233</v>
      </c>
    </row>
    <row r="99" spans="1:18" x14ac:dyDescent="0.35">
      <c r="A99" s="13">
        <v>45437</v>
      </c>
      <c r="B99">
        <v>2024</v>
      </c>
      <c r="C99">
        <v>5</v>
      </c>
      <c r="D99" t="s">
        <v>70</v>
      </c>
      <c r="E99" t="s">
        <v>72</v>
      </c>
      <c r="F99">
        <v>213</v>
      </c>
      <c r="G99">
        <v>213</v>
      </c>
      <c r="H99">
        <v>0</v>
      </c>
      <c r="I99">
        <v>11</v>
      </c>
      <c r="J99" s="17">
        <v>0.74475524475524479</v>
      </c>
      <c r="K99">
        <v>33</v>
      </c>
      <c r="L99">
        <v>33</v>
      </c>
      <c r="M99" s="17">
        <v>1</v>
      </c>
      <c r="N99" s="25">
        <v>9902.75</v>
      </c>
      <c r="O99" s="25">
        <v>2023.5</v>
      </c>
      <c r="P99" s="25">
        <v>5445</v>
      </c>
      <c r="Q99" s="25">
        <v>17371.25</v>
      </c>
      <c r="R99" s="18">
        <v>81.555164319248831</v>
      </c>
    </row>
    <row r="100" spans="1:18" x14ac:dyDescent="0.35">
      <c r="A100" s="13">
        <v>45444</v>
      </c>
      <c r="B100">
        <v>2024</v>
      </c>
      <c r="C100">
        <v>6</v>
      </c>
      <c r="D100" t="s">
        <v>70</v>
      </c>
      <c r="E100" t="s">
        <v>72</v>
      </c>
      <c r="F100">
        <v>200</v>
      </c>
      <c r="G100">
        <v>200</v>
      </c>
      <c r="H100">
        <v>0</v>
      </c>
      <c r="I100">
        <v>11</v>
      </c>
      <c r="J100" s="17">
        <v>0.69930069930069927</v>
      </c>
      <c r="K100">
        <v>33</v>
      </c>
      <c r="L100">
        <v>32</v>
      </c>
      <c r="M100" s="17">
        <v>0.96969696969696972</v>
      </c>
      <c r="N100" s="25">
        <v>9902.75</v>
      </c>
      <c r="O100" s="25">
        <v>1900</v>
      </c>
      <c r="P100" s="25">
        <v>5445</v>
      </c>
      <c r="Q100" s="25">
        <v>17247.75</v>
      </c>
      <c r="R100" s="18">
        <v>86.238749999999996</v>
      </c>
    </row>
    <row r="101" spans="1:18" x14ac:dyDescent="0.35">
      <c r="A101" s="13">
        <v>45451</v>
      </c>
      <c r="B101">
        <v>2024</v>
      </c>
      <c r="C101">
        <v>6</v>
      </c>
      <c r="D101" t="s">
        <v>70</v>
      </c>
      <c r="E101" t="s">
        <v>72</v>
      </c>
      <c r="F101">
        <v>203</v>
      </c>
      <c r="G101">
        <v>203</v>
      </c>
      <c r="H101">
        <v>0</v>
      </c>
      <c r="I101">
        <v>11</v>
      </c>
      <c r="J101" s="17">
        <v>0.70979020979020979</v>
      </c>
      <c r="K101">
        <v>33</v>
      </c>
      <c r="L101">
        <v>32</v>
      </c>
      <c r="M101" s="17">
        <v>0.96969696969696972</v>
      </c>
      <c r="N101" s="25">
        <v>9902.75</v>
      </c>
      <c r="O101" s="25">
        <v>1928.5</v>
      </c>
      <c r="P101" s="25">
        <v>5445</v>
      </c>
      <c r="Q101" s="25">
        <v>17276.25</v>
      </c>
      <c r="R101" s="18">
        <v>85.104679802955658</v>
      </c>
    </row>
    <row r="102" spans="1:18" x14ac:dyDescent="0.35">
      <c r="A102" s="13">
        <v>45458</v>
      </c>
      <c r="B102">
        <v>2024</v>
      </c>
      <c r="C102">
        <v>6</v>
      </c>
      <c r="D102" t="s">
        <v>70</v>
      </c>
      <c r="E102" t="s">
        <v>72</v>
      </c>
      <c r="F102">
        <v>188</v>
      </c>
      <c r="G102">
        <v>188</v>
      </c>
      <c r="H102">
        <v>0</v>
      </c>
      <c r="I102">
        <v>10</v>
      </c>
      <c r="J102" s="17">
        <v>0.72307692307692306</v>
      </c>
      <c r="K102">
        <v>33</v>
      </c>
      <c r="L102">
        <v>32</v>
      </c>
      <c r="M102" s="17">
        <v>0.96969696969696972</v>
      </c>
      <c r="N102" s="25">
        <v>9002.5</v>
      </c>
      <c r="O102" s="25">
        <v>1786</v>
      </c>
      <c r="P102" s="25">
        <v>5445</v>
      </c>
      <c r="Q102" s="25">
        <v>16233.5</v>
      </c>
      <c r="R102" s="18">
        <v>86.348404255319153</v>
      </c>
    </row>
    <row r="103" spans="1:18" x14ac:dyDescent="0.35">
      <c r="A103" s="13">
        <v>45465</v>
      </c>
      <c r="B103">
        <v>2024</v>
      </c>
      <c r="C103">
        <v>6</v>
      </c>
      <c r="D103" t="s">
        <v>70</v>
      </c>
      <c r="E103" t="s">
        <v>72</v>
      </c>
      <c r="F103">
        <v>196</v>
      </c>
      <c r="G103">
        <v>196</v>
      </c>
      <c r="H103">
        <v>0</v>
      </c>
      <c r="I103">
        <v>11</v>
      </c>
      <c r="J103" s="17">
        <v>0.68531468531468531</v>
      </c>
      <c r="K103">
        <v>33</v>
      </c>
      <c r="L103">
        <v>33</v>
      </c>
      <c r="M103" s="17">
        <v>1</v>
      </c>
      <c r="N103" s="25">
        <v>9902.75</v>
      </c>
      <c r="O103" s="25">
        <v>1862</v>
      </c>
      <c r="P103" s="25">
        <v>5445</v>
      </c>
      <c r="Q103" s="25">
        <v>17209.75</v>
      </c>
      <c r="R103" s="18">
        <v>87.804846938775512</v>
      </c>
    </row>
    <row r="104" spans="1:18" x14ac:dyDescent="0.35">
      <c r="A104" s="13">
        <v>45472</v>
      </c>
      <c r="B104">
        <v>2024</v>
      </c>
      <c r="C104">
        <v>6</v>
      </c>
      <c r="D104" t="s">
        <v>70</v>
      </c>
      <c r="E104" t="s">
        <v>72</v>
      </c>
      <c r="F104">
        <v>196</v>
      </c>
      <c r="G104">
        <v>196</v>
      </c>
      <c r="H104">
        <v>0</v>
      </c>
      <c r="I104">
        <v>11</v>
      </c>
      <c r="J104" s="17">
        <v>0.68531468531468531</v>
      </c>
      <c r="K104">
        <v>33</v>
      </c>
      <c r="L104">
        <v>33</v>
      </c>
      <c r="M104" s="17">
        <v>1</v>
      </c>
      <c r="N104" s="25">
        <v>9902.75</v>
      </c>
      <c r="O104" s="25">
        <v>1862</v>
      </c>
      <c r="P104" s="25">
        <v>5445</v>
      </c>
      <c r="Q104" s="25">
        <v>17209.75</v>
      </c>
      <c r="R104" s="18">
        <v>87.804846938775512</v>
      </c>
    </row>
    <row r="105" spans="1:18" x14ac:dyDescent="0.35">
      <c r="A105" s="13">
        <v>45479</v>
      </c>
      <c r="B105">
        <v>2024</v>
      </c>
      <c r="C105">
        <v>7</v>
      </c>
      <c r="D105" t="s">
        <v>70</v>
      </c>
      <c r="E105" t="s">
        <v>72</v>
      </c>
      <c r="F105">
        <v>203</v>
      </c>
      <c r="G105">
        <v>203</v>
      </c>
      <c r="H105">
        <v>0</v>
      </c>
      <c r="I105">
        <v>11</v>
      </c>
      <c r="J105" s="17">
        <v>0.70979020979020979</v>
      </c>
      <c r="K105">
        <v>33</v>
      </c>
      <c r="L105">
        <v>30</v>
      </c>
      <c r="M105" s="17">
        <v>0.90909090909090906</v>
      </c>
      <c r="N105" s="25">
        <v>9902.75</v>
      </c>
      <c r="O105" s="25">
        <v>1928.5</v>
      </c>
      <c r="P105" s="25">
        <v>5445</v>
      </c>
      <c r="Q105" s="25">
        <v>17276.25</v>
      </c>
      <c r="R105" s="18">
        <v>85.104679802955658</v>
      </c>
    </row>
    <row r="106" spans="1:18" x14ac:dyDescent="0.35">
      <c r="A106" s="13">
        <v>45486</v>
      </c>
      <c r="B106">
        <v>2024</v>
      </c>
      <c r="C106">
        <v>7</v>
      </c>
      <c r="D106" t="s">
        <v>70</v>
      </c>
      <c r="E106" t="s">
        <v>72</v>
      </c>
      <c r="F106">
        <v>199</v>
      </c>
      <c r="G106">
        <v>199</v>
      </c>
      <c r="H106">
        <v>0</v>
      </c>
      <c r="I106">
        <v>11</v>
      </c>
      <c r="J106" s="17">
        <v>0.69580419580419584</v>
      </c>
      <c r="K106">
        <v>33</v>
      </c>
      <c r="L106">
        <v>32</v>
      </c>
      <c r="M106" s="17">
        <v>0.96969696969696972</v>
      </c>
      <c r="N106" s="25">
        <v>9902.75</v>
      </c>
      <c r="O106" s="25">
        <v>1890.5</v>
      </c>
      <c r="P106" s="25">
        <v>5445</v>
      </c>
      <c r="Q106" s="25">
        <v>17238.25</v>
      </c>
      <c r="R106" s="18">
        <v>86.624371859296488</v>
      </c>
    </row>
    <row r="107" spans="1:18" x14ac:dyDescent="0.35">
      <c r="A107" s="13">
        <v>45493</v>
      </c>
      <c r="B107">
        <v>2024</v>
      </c>
      <c r="C107">
        <v>7</v>
      </c>
      <c r="D107" t="s">
        <v>70</v>
      </c>
      <c r="E107" t="s">
        <v>72</v>
      </c>
      <c r="F107">
        <v>188</v>
      </c>
      <c r="G107">
        <v>188</v>
      </c>
      <c r="H107">
        <v>0</v>
      </c>
      <c r="I107">
        <v>11</v>
      </c>
      <c r="J107" s="17">
        <v>0.65734265734265729</v>
      </c>
      <c r="K107">
        <v>33</v>
      </c>
      <c r="L107">
        <v>32</v>
      </c>
      <c r="M107" s="17">
        <v>0.96969696969696972</v>
      </c>
      <c r="N107" s="25">
        <v>9902.75</v>
      </c>
      <c r="O107" s="25">
        <v>1786</v>
      </c>
      <c r="P107" s="25">
        <v>5445</v>
      </c>
      <c r="Q107" s="25">
        <v>17133.75</v>
      </c>
      <c r="R107" s="18">
        <v>91.136968085106389</v>
      </c>
    </row>
    <row r="108" spans="1:18" x14ac:dyDescent="0.35">
      <c r="A108" s="13">
        <v>45500</v>
      </c>
      <c r="B108">
        <v>2024</v>
      </c>
      <c r="C108">
        <v>7</v>
      </c>
      <c r="D108" t="s">
        <v>70</v>
      </c>
      <c r="E108" t="s">
        <v>72</v>
      </c>
      <c r="F108">
        <v>205</v>
      </c>
      <c r="G108">
        <v>205</v>
      </c>
      <c r="H108">
        <v>0</v>
      </c>
      <c r="I108">
        <v>10</v>
      </c>
      <c r="J108" s="17">
        <v>0.78846153846153844</v>
      </c>
      <c r="K108">
        <v>33</v>
      </c>
      <c r="L108">
        <v>32</v>
      </c>
      <c r="M108" s="17">
        <v>0.96969696969696972</v>
      </c>
      <c r="N108" s="25">
        <v>9002.5</v>
      </c>
      <c r="O108" s="25">
        <v>1947.5</v>
      </c>
      <c r="P108" s="25">
        <v>5445</v>
      </c>
      <c r="Q108" s="25">
        <v>16395</v>
      </c>
      <c r="R108" s="18">
        <v>79.975609756097555</v>
      </c>
    </row>
    <row r="109" spans="1:18" x14ac:dyDescent="0.35">
      <c r="A109" s="13">
        <v>45507</v>
      </c>
      <c r="B109">
        <v>2024</v>
      </c>
      <c r="C109">
        <v>8</v>
      </c>
      <c r="D109" t="s">
        <v>70</v>
      </c>
      <c r="E109" t="s">
        <v>72</v>
      </c>
      <c r="F109">
        <v>207</v>
      </c>
      <c r="G109">
        <v>207</v>
      </c>
      <c r="H109">
        <v>0</v>
      </c>
      <c r="I109">
        <v>11</v>
      </c>
      <c r="J109" s="17">
        <v>0.72377622377622375</v>
      </c>
      <c r="K109">
        <v>33</v>
      </c>
      <c r="L109">
        <v>31</v>
      </c>
      <c r="M109" s="17">
        <v>0.93939393939393945</v>
      </c>
      <c r="N109" s="25">
        <v>9902.75</v>
      </c>
      <c r="O109" s="25">
        <v>1966.5</v>
      </c>
      <c r="P109" s="25">
        <v>5445</v>
      </c>
      <c r="Q109" s="25">
        <v>17314.25</v>
      </c>
      <c r="R109" s="18">
        <v>83.643719806763286</v>
      </c>
    </row>
    <row r="110" spans="1:18" x14ac:dyDescent="0.35">
      <c r="A110" s="13">
        <v>45514</v>
      </c>
      <c r="B110">
        <v>2024</v>
      </c>
      <c r="C110">
        <v>8</v>
      </c>
      <c r="D110" t="s">
        <v>70</v>
      </c>
      <c r="E110" t="s">
        <v>72</v>
      </c>
      <c r="F110">
        <v>213</v>
      </c>
      <c r="G110">
        <v>213</v>
      </c>
      <c r="H110">
        <v>0</v>
      </c>
      <c r="I110">
        <v>11</v>
      </c>
      <c r="J110" s="17">
        <v>0.74475524475524479</v>
      </c>
      <c r="K110">
        <v>33</v>
      </c>
      <c r="L110">
        <v>31</v>
      </c>
      <c r="M110" s="17">
        <v>0.93939393939393945</v>
      </c>
      <c r="N110" s="25">
        <v>9902.75</v>
      </c>
      <c r="O110" s="25">
        <v>2023.5</v>
      </c>
      <c r="P110" s="25">
        <v>5445</v>
      </c>
      <c r="Q110" s="25">
        <v>17371.25</v>
      </c>
      <c r="R110" s="18">
        <v>81.555164319248831</v>
      </c>
    </row>
    <row r="111" spans="1:18" x14ac:dyDescent="0.35">
      <c r="A111" s="13">
        <v>45521</v>
      </c>
      <c r="B111">
        <v>2024</v>
      </c>
      <c r="C111">
        <v>8</v>
      </c>
      <c r="D111" t="s">
        <v>70</v>
      </c>
      <c r="E111" t="s">
        <v>72</v>
      </c>
      <c r="F111">
        <v>211</v>
      </c>
      <c r="G111">
        <v>211</v>
      </c>
      <c r="H111">
        <v>0</v>
      </c>
      <c r="I111">
        <v>11</v>
      </c>
      <c r="J111" s="17">
        <v>0.73776223776223782</v>
      </c>
      <c r="K111">
        <v>33</v>
      </c>
      <c r="L111">
        <v>33</v>
      </c>
      <c r="M111" s="17">
        <v>1</v>
      </c>
      <c r="N111" s="25">
        <v>9902.75</v>
      </c>
      <c r="O111" s="25">
        <v>2004.5</v>
      </c>
      <c r="P111" s="25">
        <v>5445</v>
      </c>
      <c r="Q111" s="25">
        <v>17352.25</v>
      </c>
      <c r="R111" s="18">
        <v>82.238151658767777</v>
      </c>
    </row>
    <row r="112" spans="1:18" x14ac:dyDescent="0.35">
      <c r="A112" s="13">
        <v>45528</v>
      </c>
      <c r="B112">
        <v>2024</v>
      </c>
      <c r="C112">
        <v>8</v>
      </c>
      <c r="D112" t="s">
        <v>70</v>
      </c>
      <c r="E112" t="s">
        <v>72</v>
      </c>
      <c r="F112">
        <v>208</v>
      </c>
      <c r="G112">
        <v>208</v>
      </c>
      <c r="H112">
        <v>0</v>
      </c>
      <c r="I112">
        <v>11</v>
      </c>
      <c r="J112" s="17">
        <v>0.72727272727272729</v>
      </c>
      <c r="K112">
        <v>33</v>
      </c>
      <c r="L112">
        <v>32</v>
      </c>
      <c r="M112" s="17">
        <v>0.96969696969696972</v>
      </c>
      <c r="N112" s="25">
        <v>9902.75</v>
      </c>
      <c r="O112" s="25">
        <v>1976</v>
      </c>
      <c r="P112" s="25">
        <v>5445</v>
      </c>
      <c r="Q112" s="25">
        <v>17323.75</v>
      </c>
      <c r="R112" s="18">
        <v>83.287259615384613</v>
      </c>
    </row>
    <row r="113" spans="1:18" x14ac:dyDescent="0.35">
      <c r="A113" s="13">
        <v>45535</v>
      </c>
      <c r="B113">
        <v>2024</v>
      </c>
      <c r="C113">
        <v>8</v>
      </c>
      <c r="D113" t="s">
        <v>70</v>
      </c>
      <c r="E113" t="s">
        <v>72</v>
      </c>
      <c r="F113">
        <v>192</v>
      </c>
      <c r="G113">
        <v>192</v>
      </c>
      <c r="H113">
        <v>0</v>
      </c>
      <c r="I113">
        <v>10</v>
      </c>
      <c r="J113" s="17">
        <v>0.7384615384615385</v>
      </c>
      <c r="K113">
        <v>33</v>
      </c>
      <c r="L113">
        <v>31</v>
      </c>
      <c r="M113" s="17">
        <v>0.93939393939393945</v>
      </c>
      <c r="N113" s="25">
        <v>9002.5</v>
      </c>
      <c r="O113" s="25">
        <v>1824</v>
      </c>
      <c r="P113" s="25">
        <v>5445</v>
      </c>
      <c r="Q113" s="25">
        <v>16271.5</v>
      </c>
      <c r="R113" s="18">
        <v>84.747395833333329</v>
      </c>
    </row>
    <row r="114" spans="1:18" x14ac:dyDescent="0.35">
      <c r="A114" s="13">
        <v>45542</v>
      </c>
      <c r="B114">
        <v>2024</v>
      </c>
      <c r="C114">
        <v>9</v>
      </c>
      <c r="D114" t="s">
        <v>70</v>
      </c>
      <c r="E114" t="s">
        <v>72</v>
      </c>
      <c r="F114">
        <v>184</v>
      </c>
      <c r="G114">
        <v>184</v>
      </c>
      <c r="H114">
        <v>0</v>
      </c>
      <c r="I114">
        <v>10</v>
      </c>
      <c r="J114" s="17">
        <v>0.70769230769230773</v>
      </c>
      <c r="K114">
        <v>33</v>
      </c>
      <c r="L114">
        <v>31</v>
      </c>
      <c r="M114" s="17">
        <v>0.93939393939393945</v>
      </c>
      <c r="N114" s="25">
        <v>9002.5</v>
      </c>
      <c r="O114" s="25">
        <v>1748</v>
      </c>
      <c r="P114" s="25">
        <v>5445</v>
      </c>
      <c r="Q114" s="25">
        <v>16195.5</v>
      </c>
      <c r="R114" s="18">
        <v>88.019021739130437</v>
      </c>
    </row>
    <row r="115" spans="1:18" x14ac:dyDescent="0.35">
      <c r="A115" s="13">
        <v>45549</v>
      </c>
      <c r="B115">
        <v>2024</v>
      </c>
      <c r="C115">
        <v>9</v>
      </c>
      <c r="D115" t="s">
        <v>70</v>
      </c>
      <c r="E115" t="s">
        <v>72</v>
      </c>
      <c r="F115">
        <v>184</v>
      </c>
      <c r="G115">
        <v>184</v>
      </c>
      <c r="H115">
        <v>0</v>
      </c>
      <c r="I115">
        <v>11</v>
      </c>
      <c r="J115" s="17">
        <v>0.64335664335664333</v>
      </c>
      <c r="K115">
        <v>33</v>
      </c>
      <c r="L115">
        <v>31</v>
      </c>
      <c r="M115" s="17">
        <v>0.93939393939393945</v>
      </c>
      <c r="N115" s="25">
        <v>9902.75</v>
      </c>
      <c r="O115" s="25">
        <v>1748</v>
      </c>
      <c r="P115" s="25">
        <v>5445</v>
      </c>
      <c r="Q115" s="25">
        <v>17095.75</v>
      </c>
      <c r="R115" s="18">
        <v>92.911684782608702</v>
      </c>
    </row>
    <row r="116" spans="1:18" x14ac:dyDescent="0.35">
      <c r="A116" s="13">
        <v>45556</v>
      </c>
      <c r="B116">
        <v>2024</v>
      </c>
      <c r="C116">
        <v>9</v>
      </c>
      <c r="D116" t="s">
        <v>70</v>
      </c>
      <c r="E116" t="s">
        <v>72</v>
      </c>
      <c r="F116">
        <v>199</v>
      </c>
      <c r="G116">
        <v>199</v>
      </c>
      <c r="H116">
        <v>0</v>
      </c>
      <c r="I116">
        <v>11</v>
      </c>
      <c r="J116" s="17">
        <v>0.69580419580419584</v>
      </c>
      <c r="K116">
        <v>35</v>
      </c>
      <c r="L116">
        <v>35</v>
      </c>
      <c r="M116" s="17">
        <v>1</v>
      </c>
      <c r="N116" s="25">
        <v>9902.75</v>
      </c>
      <c r="O116" s="25">
        <v>1890.5</v>
      </c>
      <c r="P116" s="25">
        <v>5775</v>
      </c>
      <c r="Q116" s="25">
        <v>17568.25</v>
      </c>
      <c r="R116" s="18">
        <v>88.282663316582912</v>
      </c>
    </row>
    <row r="117" spans="1:18" x14ac:dyDescent="0.35">
      <c r="A117" s="13">
        <v>45563</v>
      </c>
      <c r="B117">
        <v>2024</v>
      </c>
      <c r="C117">
        <v>9</v>
      </c>
      <c r="D117" t="s">
        <v>70</v>
      </c>
      <c r="E117" t="s">
        <v>72</v>
      </c>
      <c r="F117">
        <v>195</v>
      </c>
      <c r="G117">
        <v>195</v>
      </c>
      <c r="H117">
        <v>0</v>
      </c>
      <c r="I117">
        <v>11</v>
      </c>
      <c r="J117" s="17">
        <v>0.68181818181818177</v>
      </c>
      <c r="K117">
        <v>35</v>
      </c>
      <c r="L117">
        <v>34</v>
      </c>
      <c r="M117" s="17">
        <v>0.97142857142857142</v>
      </c>
      <c r="N117" s="25">
        <v>9902.75</v>
      </c>
      <c r="O117" s="25">
        <v>1852.5</v>
      </c>
      <c r="P117" s="25">
        <v>5775</v>
      </c>
      <c r="Q117" s="25">
        <v>17530.25</v>
      </c>
      <c r="R117" s="18">
        <v>89.898717948717945</v>
      </c>
    </row>
    <row r="118" spans="1:18" x14ac:dyDescent="0.35">
      <c r="A118" s="13">
        <v>45570</v>
      </c>
      <c r="B118">
        <v>2024</v>
      </c>
      <c r="C118">
        <v>10</v>
      </c>
      <c r="D118" t="s">
        <v>70</v>
      </c>
      <c r="E118" t="s">
        <v>72</v>
      </c>
      <c r="F118">
        <v>194</v>
      </c>
      <c r="G118">
        <v>194</v>
      </c>
      <c r="H118">
        <v>0</v>
      </c>
      <c r="I118">
        <v>11</v>
      </c>
      <c r="J118" s="17">
        <v>0.67832167832167833</v>
      </c>
      <c r="K118">
        <v>35</v>
      </c>
      <c r="L118">
        <v>35</v>
      </c>
      <c r="M118" s="17">
        <v>1</v>
      </c>
      <c r="N118" s="25">
        <v>9902.75</v>
      </c>
      <c r="O118" s="25">
        <v>1843</v>
      </c>
      <c r="P118" s="25">
        <v>5775</v>
      </c>
      <c r="Q118" s="25">
        <v>17520.75</v>
      </c>
      <c r="R118" s="18">
        <v>90.3131443298969</v>
      </c>
    </row>
    <row r="119" spans="1:18" x14ac:dyDescent="0.35">
      <c r="A119" s="13">
        <v>45577</v>
      </c>
      <c r="B119">
        <v>2024</v>
      </c>
      <c r="C119">
        <v>10</v>
      </c>
      <c r="D119" t="s">
        <v>70</v>
      </c>
      <c r="E119" t="s">
        <v>72</v>
      </c>
      <c r="F119">
        <v>216</v>
      </c>
      <c r="G119">
        <v>216</v>
      </c>
      <c r="H119">
        <v>0</v>
      </c>
      <c r="I119">
        <v>11</v>
      </c>
      <c r="J119" s="17">
        <v>0.75524475524475521</v>
      </c>
      <c r="K119">
        <v>35</v>
      </c>
      <c r="L119">
        <v>33</v>
      </c>
      <c r="M119" s="17">
        <v>0.94285714285714284</v>
      </c>
      <c r="N119" s="25">
        <v>9902.75</v>
      </c>
      <c r="O119" s="25">
        <v>2052</v>
      </c>
      <c r="P119" s="25">
        <v>5775</v>
      </c>
      <c r="Q119" s="25">
        <v>17729.75</v>
      </c>
      <c r="R119" s="18">
        <v>82.082175925925924</v>
      </c>
    </row>
    <row r="120" spans="1:18" x14ac:dyDescent="0.35">
      <c r="A120" s="13">
        <v>45584</v>
      </c>
      <c r="B120">
        <v>2024</v>
      </c>
      <c r="C120">
        <v>10</v>
      </c>
      <c r="D120" t="s">
        <v>70</v>
      </c>
      <c r="E120" t="s">
        <v>72</v>
      </c>
      <c r="F120">
        <v>217</v>
      </c>
      <c r="G120">
        <v>217</v>
      </c>
      <c r="H120">
        <v>0</v>
      </c>
      <c r="I120">
        <v>12</v>
      </c>
      <c r="J120" s="17">
        <v>0.69551282051282048</v>
      </c>
      <c r="K120">
        <v>35</v>
      </c>
      <c r="L120">
        <v>35</v>
      </c>
      <c r="M120" s="17">
        <v>1</v>
      </c>
      <c r="N120" s="25">
        <v>10803</v>
      </c>
      <c r="O120" s="25">
        <v>2061.5</v>
      </c>
      <c r="P120" s="25">
        <v>5775</v>
      </c>
      <c r="Q120" s="25">
        <v>18639.5</v>
      </c>
      <c r="R120" s="18">
        <v>85.896313364055302</v>
      </c>
    </row>
    <row r="121" spans="1:18" x14ac:dyDescent="0.35">
      <c r="A121" s="13">
        <v>45591</v>
      </c>
      <c r="B121">
        <v>2024</v>
      </c>
      <c r="C121">
        <v>10</v>
      </c>
      <c r="D121" t="s">
        <v>70</v>
      </c>
      <c r="E121" t="s">
        <v>72</v>
      </c>
      <c r="F121">
        <v>233</v>
      </c>
      <c r="G121">
        <v>233</v>
      </c>
      <c r="H121">
        <v>0</v>
      </c>
      <c r="I121">
        <v>14</v>
      </c>
      <c r="J121" s="17">
        <v>0.64010989010989006</v>
      </c>
      <c r="K121">
        <v>35</v>
      </c>
      <c r="L121">
        <v>34</v>
      </c>
      <c r="M121" s="17">
        <v>0.97142857142857142</v>
      </c>
      <c r="N121" s="25">
        <v>12603.5</v>
      </c>
      <c r="O121" s="25">
        <v>2213.5</v>
      </c>
      <c r="P121" s="25">
        <v>5775</v>
      </c>
      <c r="Q121" s="25">
        <v>20592</v>
      </c>
      <c r="R121" s="18">
        <v>88.377682403433482</v>
      </c>
    </row>
    <row r="122" spans="1:18" x14ac:dyDescent="0.35">
      <c r="A122" s="13">
        <v>45598</v>
      </c>
      <c r="B122">
        <v>2024</v>
      </c>
      <c r="C122">
        <v>11</v>
      </c>
      <c r="D122" t="s">
        <v>70</v>
      </c>
      <c r="E122" t="s">
        <v>72</v>
      </c>
      <c r="F122">
        <v>234</v>
      </c>
      <c r="G122">
        <v>234</v>
      </c>
      <c r="H122">
        <v>0</v>
      </c>
      <c r="I122">
        <v>12</v>
      </c>
      <c r="J122" s="17">
        <v>0.75</v>
      </c>
      <c r="K122">
        <v>35</v>
      </c>
      <c r="L122">
        <v>34</v>
      </c>
      <c r="M122" s="17">
        <v>0.97142857142857142</v>
      </c>
      <c r="N122" s="25">
        <v>10803</v>
      </c>
      <c r="O122" s="25">
        <v>2223</v>
      </c>
      <c r="P122" s="25">
        <v>5775</v>
      </c>
      <c r="Q122" s="25">
        <v>18801</v>
      </c>
      <c r="R122" s="18">
        <v>80.34615384615384</v>
      </c>
    </row>
    <row r="123" spans="1:18" x14ac:dyDescent="0.35">
      <c r="A123" s="13">
        <v>45605</v>
      </c>
      <c r="B123">
        <v>2024</v>
      </c>
      <c r="C123">
        <v>11</v>
      </c>
      <c r="D123" t="s">
        <v>70</v>
      </c>
      <c r="E123" t="s">
        <v>72</v>
      </c>
      <c r="F123">
        <v>251</v>
      </c>
      <c r="G123">
        <v>251</v>
      </c>
      <c r="H123">
        <v>0</v>
      </c>
      <c r="I123">
        <v>14</v>
      </c>
      <c r="J123" s="17">
        <v>0.68956043956043955</v>
      </c>
      <c r="K123">
        <v>35</v>
      </c>
      <c r="L123">
        <v>34</v>
      </c>
      <c r="M123" s="17">
        <v>0.97142857142857142</v>
      </c>
      <c r="N123" s="25">
        <v>12603.5</v>
      </c>
      <c r="O123" s="25">
        <v>2384.5</v>
      </c>
      <c r="P123" s="25">
        <v>5775</v>
      </c>
      <c r="Q123" s="25">
        <v>20763</v>
      </c>
      <c r="R123" s="18">
        <v>82.721115537848604</v>
      </c>
    </row>
    <row r="124" spans="1:18" x14ac:dyDescent="0.35">
      <c r="A124" s="13">
        <v>45612</v>
      </c>
      <c r="B124">
        <v>2024</v>
      </c>
      <c r="C124">
        <v>11</v>
      </c>
      <c r="D124" t="s">
        <v>70</v>
      </c>
      <c r="E124" t="s">
        <v>72</v>
      </c>
      <c r="F124">
        <v>264</v>
      </c>
      <c r="G124">
        <v>263</v>
      </c>
      <c r="H124">
        <v>1</v>
      </c>
      <c r="I124">
        <v>14</v>
      </c>
      <c r="J124" s="17">
        <v>0.72252747252747251</v>
      </c>
      <c r="K124">
        <v>35</v>
      </c>
      <c r="L124">
        <v>34</v>
      </c>
      <c r="M124" s="17">
        <v>0.97142857142857142</v>
      </c>
      <c r="N124" s="25">
        <v>12603.5</v>
      </c>
      <c r="O124" s="25">
        <v>2498.5</v>
      </c>
      <c r="P124" s="25">
        <v>5775</v>
      </c>
      <c r="Q124" s="25">
        <v>20877</v>
      </c>
      <c r="R124" s="18">
        <v>79.380228136882124</v>
      </c>
    </row>
    <row r="125" spans="1:18" x14ac:dyDescent="0.35">
      <c r="A125" s="13">
        <v>45619</v>
      </c>
      <c r="B125">
        <v>2024</v>
      </c>
      <c r="C125">
        <v>11</v>
      </c>
      <c r="D125" t="s">
        <v>70</v>
      </c>
      <c r="E125" t="s">
        <v>72</v>
      </c>
      <c r="F125">
        <v>295</v>
      </c>
      <c r="G125">
        <v>286</v>
      </c>
      <c r="H125">
        <v>10</v>
      </c>
      <c r="I125">
        <v>14</v>
      </c>
      <c r="J125" s="17">
        <v>0.7857142857142857</v>
      </c>
      <c r="K125">
        <v>35</v>
      </c>
      <c r="L125">
        <v>35</v>
      </c>
      <c r="M125" s="17">
        <v>1</v>
      </c>
      <c r="N125" s="25">
        <v>12603.5</v>
      </c>
      <c r="O125" s="25">
        <v>2717</v>
      </c>
      <c r="P125" s="25">
        <v>5775</v>
      </c>
      <c r="Q125" s="25">
        <v>21095.5</v>
      </c>
      <c r="R125" s="18">
        <v>73.760489510489506</v>
      </c>
    </row>
    <row r="126" spans="1:18" x14ac:dyDescent="0.35">
      <c r="A126" s="13">
        <v>45626</v>
      </c>
      <c r="B126">
        <v>2024</v>
      </c>
      <c r="C126">
        <v>11</v>
      </c>
      <c r="D126" t="s">
        <v>70</v>
      </c>
      <c r="E126" t="s">
        <v>72</v>
      </c>
      <c r="F126">
        <v>312</v>
      </c>
      <c r="G126">
        <v>306</v>
      </c>
      <c r="H126">
        <v>16</v>
      </c>
      <c r="I126">
        <v>15</v>
      </c>
      <c r="J126" s="17">
        <v>0.7846153846153846</v>
      </c>
      <c r="K126">
        <v>35</v>
      </c>
      <c r="L126">
        <v>35</v>
      </c>
      <c r="M126" s="17">
        <v>1</v>
      </c>
      <c r="N126" s="25">
        <v>13503.75</v>
      </c>
      <c r="O126" s="25">
        <v>2907</v>
      </c>
      <c r="P126" s="25">
        <v>5775</v>
      </c>
      <c r="Q126" s="25">
        <v>22185.75</v>
      </c>
      <c r="R126" s="18">
        <v>72.502450980392155</v>
      </c>
    </row>
    <row r="127" spans="1:18" x14ac:dyDescent="0.35">
      <c r="A127" s="13">
        <v>45633</v>
      </c>
      <c r="B127">
        <v>2024</v>
      </c>
      <c r="C127">
        <v>12</v>
      </c>
      <c r="D127" t="s">
        <v>70</v>
      </c>
      <c r="E127" t="s">
        <v>72</v>
      </c>
      <c r="F127">
        <v>326</v>
      </c>
      <c r="G127">
        <v>306</v>
      </c>
      <c r="H127">
        <v>36</v>
      </c>
      <c r="I127">
        <v>14</v>
      </c>
      <c r="J127" s="17">
        <v>0.84065934065934067</v>
      </c>
      <c r="K127">
        <v>35</v>
      </c>
      <c r="L127">
        <v>33</v>
      </c>
      <c r="M127" s="17">
        <v>0.94285714285714284</v>
      </c>
      <c r="N127" s="25">
        <v>12603.5</v>
      </c>
      <c r="O127" s="25">
        <v>2907</v>
      </c>
      <c r="P127" s="25">
        <v>5775</v>
      </c>
      <c r="Q127" s="25">
        <v>21285.5</v>
      </c>
      <c r="R127" s="18">
        <v>69.560457516339866</v>
      </c>
    </row>
    <row r="128" spans="1:18" x14ac:dyDescent="0.35">
      <c r="A128" s="13">
        <v>45640</v>
      </c>
      <c r="B128">
        <v>2024</v>
      </c>
      <c r="C128">
        <v>12</v>
      </c>
      <c r="D128" t="s">
        <v>70</v>
      </c>
      <c r="E128" t="s">
        <v>72</v>
      </c>
      <c r="F128">
        <v>346</v>
      </c>
      <c r="G128">
        <v>313</v>
      </c>
      <c r="H128">
        <v>69</v>
      </c>
      <c r="I128">
        <v>15</v>
      </c>
      <c r="J128" s="17">
        <v>0.8025641025641026</v>
      </c>
      <c r="K128">
        <v>35</v>
      </c>
      <c r="L128">
        <v>33</v>
      </c>
      <c r="M128" s="17">
        <v>0.94285714285714284</v>
      </c>
      <c r="N128" s="25">
        <v>13503.75</v>
      </c>
      <c r="O128" s="25">
        <v>2973.5</v>
      </c>
      <c r="P128" s="25">
        <v>5775</v>
      </c>
      <c r="Q128" s="25">
        <v>22252.25</v>
      </c>
      <c r="R128" s="18">
        <v>71.093450479233226</v>
      </c>
    </row>
    <row r="129" spans="1:18" x14ac:dyDescent="0.35">
      <c r="A129" s="13">
        <v>45647</v>
      </c>
      <c r="B129">
        <v>2024</v>
      </c>
      <c r="C129">
        <v>12</v>
      </c>
      <c r="D129" t="s">
        <v>70</v>
      </c>
      <c r="E129" t="s">
        <v>72</v>
      </c>
      <c r="F129">
        <v>278</v>
      </c>
      <c r="G129">
        <v>306</v>
      </c>
      <c r="H129">
        <v>41</v>
      </c>
      <c r="I129">
        <v>14</v>
      </c>
      <c r="J129" s="17">
        <v>0.84065934065934067</v>
      </c>
      <c r="K129">
        <v>35</v>
      </c>
      <c r="L129">
        <v>35</v>
      </c>
      <c r="M129" s="17">
        <v>1</v>
      </c>
      <c r="N129" s="25">
        <v>12603.5</v>
      </c>
      <c r="O129" s="25">
        <v>2907</v>
      </c>
      <c r="P129" s="25">
        <v>5775</v>
      </c>
      <c r="Q129" s="25">
        <v>21285.5</v>
      </c>
      <c r="R129" s="18">
        <v>69.560457516339866</v>
      </c>
    </row>
    <row r="130" spans="1:18" x14ac:dyDescent="0.35">
      <c r="A130" s="13">
        <v>45654</v>
      </c>
      <c r="B130">
        <v>2024</v>
      </c>
      <c r="C130">
        <v>12</v>
      </c>
      <c r="D130" t="s">
        <v>70</v>
      </c>
      <c r="E130" t="s">
        <v>72</v>
      </c>
      <c r="F130">
        <v>251</v>
      </c>
      <c r="G130">
        <v>274</v>
      </c>
      <c r="H130">
        <v>18</v>
      </c>
      <c r="I130">
        <v>14</v>
      </c>
      <c r="J130" s="17">
        <v>0.75274725274725274</v>
      </c>
      <c r="K130">
        <v>35</v>
      </c>
      <c r="L130">
        <v>35</v>
      </c>
      <c r="M130" s="17">
        <v>1</v>
      </c>
      <c r="N130" s="25">
        <v>12603.5</v>
      </c>
      <c r="O130" s="25">
        <v>2603</v>
      </c>
      <c r="P130" s="25">
        <v>5775</v>
      </c>
      <c r="Q130" s="25">
        <v>20981.5</v>
      </c>
      <c r="R130" s="18">
        <v>76.574817518248182</v>
      </c>
    </row>
    <row r="131" spans="1:18" x14ac:dyDescent="0.35">
      <c r="A131" s="13">
        <v>45661</v>
      </c>
      <c r="B131">
        <v>2025</v>
      </c>
      <c r="C131">
        <v>1</v>
      </c>
      <c r="D131" t="s">
        <v>70</v>
      </c>
      <c r="E131" t="s">
        <v>72</v>
      </c>
      <c r="F131">
        <v>224</v>
      </c>
      <c r="G131">
        <v>238</v>
      </c>
      <c r="H131">
        <v>4</v>
      </c>
      <c r="I131">
        <v>12</v>
      </c>
      <c r="J131" s="17">
        <v>0.76282051282051277</v>
      </c>
      <c r="K131">
        <v>35</v>
      </c>
      <c r="L131">
        <v>33</v>
      </c>
      <c r="M131" s="17">
        <v>0.94285714285714284</v>
      </c>
      <c r="N131" s="25">
        <v>10803</v>
      </c>
      <c r="O131" s="25">
        <v>2261</v>
      </c>
      <c r="P131" s="25">
        <v>5775</v>
      </c>
      <c r="Q131" s="25">
        <v>18839</v>
      </c>
      <c r="R131" s="18">
        <v>79.155462184873954</v>
      </c>
    </row>
    <row r="132" spans="1:18" x14ac:dyDescent="0.35">
      <c r="A132" s="13">
        <v>45668</v>
      </c>
      <c r="B132">
        <v>2025</v>
      </c>
      <c r="C132">
        <v>1</v>
      </c>
      <c r="D132" t="s">
        <v>70</v>
      </c>
      <c r="E132" t="s">
        <v>72</v>
      </c>
      <c r="F132">
        <v>172</v>
      </c>
      <c r="G132">
        <v>176</v>
      </c>
      <c r="H132">
        <v>0</v>
      </c>
      <c r="I132">
        <v>10</v>
      </c>
      <c r="J132" s="17">
        <v>0.67692307692307696</v>
      </c>
      <c r="K132">
        <v>35</v>
      </c>
      <c r="L132">
        <v>34</v>
      </c>
      <c r="M132" s="17">
        <v>0.97142857142857142</v>
      </c>
      <c r="N132" s="25">
        <v>9002.5</v>
      </c>
      <c r="O132" s="25">
        <v>1672</v>
      </c>
      <c r="P132" s="25">
        <v>5775</v>
      </c>
      <c r="Q132" s="25">
        <v>16449.5</v>
      </c>
      <c r="R132" s="18">
        <v>93.463068181818187</v>
      </c>
    </row>
    <row r="133" spans="1:18" x14ac:dyDescent="0.35">
      <c r="A133" s="13">
        <v>45675</v>
      </c>
      <c r="B133">
        <v>2025</v>
      </c>
      <c r="C133">
        <v>1</v>
      </c>
      <c r="D133" t="s">
        <v>70</v>
      </c>
      <c r="E133" t="s">
        <v>72</v>
      </c>
      <c r="F133">
        <v>167</v>
      </c>
      <c r="G133">
        <v>167</v>
      </c>
      <c r="H133">
        <v>0</v>
      </c>
      <c r="I133">
        <v>9</v>
      </c>
      <c r="J133" s="17">
        <v>0.71367521367521369</v>
      </c>
      <c r="K133">
        <v>35</v>
      </c>
      <c r="L133">
        <v>32</v>
      </c>
      <c r="M133" s="17">
        <v>0.91428571428571426</v>
      </c>
      <c r="N133" s="25">
        <v>8102.25</v>
      </c>
      <c r="O133" s="25">
        <v>1586.5</v>
      </c>
      <c r="P133" s="25">
        <v>5775</v>
      </c>
      <c r="Q133" s="25">
        <v>15463.75</v>
      </c>
      <c r="R133" s="18">
        <v>92.59730538922156</v>
      </c>
    </row>
    <row r="134" spans="1:18" x14ac:dyDescent="0.35">
      <c r="A134" s="13">
        <v>45682</v>
      </c>
      <c r="B134">
        <v>2025</v>
      </c>
      <c r="C134">
        <v>1</v>
      </c>
      <c r="D134" t="s">
        <v>70</v>
      </c>
      <c r="E134" t="s">
        <v>72</v>
      </c>
      <c r="F134">
        <v>170</v>
      </c>
      <c r="G134">
        <v>170</v>
      </c>
      <c r="H134">
        <v>0</v>
      </c>
      <c r="I134">
        <v>10</v>
      </c>
      <c r="J134" s="17">
        <v>0.65384615384615385</v>
      </c>
      <c r="K134">
        <v>35</v>
      </c>
      <c r="L134">
        <v>31</v>
      </c>
      <c r="M134" s="17">
        <v>0.88571428571428568</v>
      </c>
      <c r="N134" s="25">
        <v>9002.5</v>
      </c>
      <c r="O134" s="25">
        <v>1615</v>
      </c>
      <c r="P134" s="25">
        <v>5775</v>
      </c>
      <c r="Q134" s="25">
        <v>16392.5</v>
      </c>
      <c r="R134" s="18">
        <v>96.42647058823529</v>
      </c>
    </row>
    <row r="135" spans="1:18" x14ac:dyDescent="0.35">
      <c r="A135" s="13">
        <v>45689</v>
      </c>
      <c r="B135">
        <v>2025</v>
      </c>
      <c r="C135">
        <v>2</v>
      </c>
      <c r="D135" t="s">
        <v>70</v>
      </c>
      <c r="E135" t="s">
        <v>72</v>
      </c>
      <c r="F135">
        <v>186</v>
      </c>
      <c r="G135">
        <v>186</v>
      </c>
      <c r="H135">
        <v>0</v>
      </c>
      <c r="I135">
        <v>10</v>
      </c>
      <c r="J135" s="17">
        <v>0.7153846153846154</v>
      </c>
      <c r="K135">
        <v>35</v>
      </c>
      <c r="L135">
        <v>34</v>
      </c>
      <c r="M135" s="17">
        <v>0.97142857142857142</v>
      </c>
      <c r="N135" s="25">
        <v>9002.5</v>
      </c>
      <c r="O135" s="25">
        <v>1767</v>
      </c>
      <c r="P135" s="25">
        <v>5775</v>
      </c>
      <c r="Q135" s="25">
        <v>16544.5</v>
      </c>
      <c r="R135" s="18">
        <v>88.9489247311828</v>
      </c>
    </row>
    <row r="136" spans="1:18" x14ac:dyDescent="0.35">
      <c r="A136" s="13">
        <v>45696</v>
      </c>
      <c r="B136">
        <v>2025</v>
      </c>
      <c r="C136">
        <v>2</v>
      </c>
      <c r="D136" t="s">
        <v>70</v>
      </c>
      <c r="E136" t="s">
        <v>72</v>
      </c>
      <c r="F136">
        <v>187</v>
      </c>
      <c r="G136">
        <v>187</v>
      </c>
      <c r="H136">
        <v>0</v>
      </c>
      <c r="I136">
        <v>10</v>
      </c>
      <c r="J136" s="17">
        <v>0.71923076923076923</v>
      </c>
      <c r="K136">
        <v>35</v>
      </c>
      <c r="L136">
        <v>29</v>
      </c>
      <c r="M136" s="17">
        <v>0.82857142857142863</v>
      </c>
      <c r="N136" s="25">
        <v>9002.5</v>
      </c>
      <c r="O136" s="25">
        <v>1776.5</v>
      </c>
      <c r="P136" s="25">
        <v>5775</v>
      </c>
      <c r="Q136" s="25">
        <v>16554</v>
      </c>
      <c r="R136" s="18">
        <v>88.524064171123001</v>
      </c>
    </row>
    <row r="137" spans="1:18" x14ac:dyDescent="0.35">
      <c r="A137" s="13">
        <v>45703</v>
      </c>
      <c r="B137">
        <v>2025</v>
      </c>
      <c r="C137">
        <v>2</v>
      </c>
      <c r="D137" t="s">
        <v>70</v>
      </c>
      <c r="E137" t="s">
        <v>72</v>
      </c>
      <c r="F137">
        <v>202</v>
      </c>
      <c r="G137">
        <v>202</v>
      </c>
      <c r="H137">
        <v>0</v>
      </c>
      <c r="I137">
        <v>11</v>
      </c>
      <c r="J137" s="17">
        <v>0.70629370629370625</v>
      </c>
      <c r="K137">
        <v>35</v>
      </c>
      <c r="L137">
        <v>34</v>
      </c>
      <c r="M137" s="17">
        <v>0.97142857142857142</v>
      </c>
      <c r="N137" s="25">
        <v>9902.75</v>
      </c>
      <c r="O137" s="25">
        <v>1919</v>
      </c>
      <c r="P137" s="25">
        <v>5775</v>
      </c>
      <c r="Q137" s="25">
        <v>17596.75</v>
      </c>
      <c r="R137" s="18">
        <v>87.112623762376231</v>
      </c>
    </row>
    <row r="138" spans="1:18" x14ac:dyDescent="0.35">
      <c r="A138" s="13">
        <v>45710</v>
      </c>
      <c r="B138">
        <v>2025</v>
      </c>
      <c r="C138">
        <v>2</v>
      </c>
      <c r="D138" t="s">
        <v>70</v>
      </c>
      <c r="E138" t="s">
        <v>72</v>
      </c>
      <c r="F138">
        <v>203</v>
      </c>
      <c r="G138">
        <v>203</v>
      </c>
      <c r="H138">
        <v>0</v>
      </c>
      <c r="I138">
        <v>11</v>
      </c>
      <c r="J138" s="17">
        <v>0.70979020979020979</v>
      </c>
      <c r="K138">
        <v>35</v>
      </c>
      <c r="L138">
        <v>33</v>
      </c>
      <c r="M138" s="17">
        <v>0.94285714285714284</v>
      </c>
      <c r="N138" s="25">
        <v>9902.75</v>
      </c>
      <c r="O138" s="25">
        <v>1928.5</v>
      </c>
      <c r="P138" s="25">
        <v>5775</v>
      </c>
      <c r="Q138" s="25">
        <v>17606.25</v>
      </c>
      <c r="R138" s="18">
        <v>86.730295566502463</v>
      </c>
    </row>
    <row r="139" spans="1:18" x14ac:dyDescent="0.35">
      <c r="A139" s="13">
        <v>45717</v>
      </c>
      <c r="B139">
        <v>2025</v>
      </c>
      <c r="C139">
        <v>3</v>
      </c>
      <c r="D139" t="s">
        <v>70</v>
      </c>
      <c r="E139" t="s">
        <v>72</v>
      </c>
      <c r="F139">
        <v>205</v>
      </c>
      <c r="G139">
        <v>205</v>
      </c>
      <c r="H139">
        <v>0</v>
      </c>
      <c r="I139">
        <v>11</v>
      </c>
      <c r="J139" s="17">
        <v>0.71678321678321677</v>
      </c>
      <c r="K139">
        <v>35</v>
      </c>
      <c r="L139">
        <v>34</v>
      </c>
      <c r="M139" s="17">
        <v>0.97142857142857142</v>
      </c>
      <c r="N139" s="25">
        <v>9902.75</v>
      </c>
      <c r="O139" s="25">
        <v>1947.5</v>
      </c>
      <c r="P139" s="25">
        <v>5775</v>
      </c>
      <c r="Q139" s="25">
        <v>17625.25</v>
      </c>
      <c r="R139" s="18">
        <v>85.97682926829269</v>
      </c>
    </row>
    <row r="140" spans="1:18" x14ac:dyDescent="0.35">
      <c r="A140" s="13">
        <v>45724</v>
      </c>
      <c r="B140">
        <v>2025</v>
      </c>
      <c r="C140">
        <v>3</v>
      </c>
      <c r="D140" t="s">
        <v>70</v>
      </c>
      <c r="E140" t="s">
        <v>72</v>
      </c>
      <c r="F140">
        <v>213</v>
      </c>
      <c r="G140">
        <v>213</v>
      </c>
      <c r="H140">
        <v>0</v>
      </c>
      <c r="I140">
        <v>11</v>
      </c>
      <c r="J140" s="17">
        <v>0.74475524475524479</v>
      </c>
      <c r="K140">
        <v>35</v>
      </c>
      <c r="L140">
        <v>34</v>
      </c>
      <c r="M140" s="17">
        <v>0.97142857142857142</v>
      </c>
      <c r="N140" s="25">
        <v>9902.75</v>
      </c>
      <c r="O140" s="25">
        <v>2023.5</v>
      </c>
      <c r="P140" s="25">
        <v>5775</v>
      </c>
      <c r="Q140" s="25">
        <v>17701.25</v>
      </c>
      <c r="R140" s="18">
        <v>83.104460093896719</v>
      </c>
    </row>
    <row r="141" spans="1:18" x14ac:dyDescent="0.35">
      <c r="A141" s="13">
        <v>45731</v>
      </c>
      <c r="B141">
        <v>2025</v>
      </c>
      <c r="C141">
        <v>3</v>
      </c>
      <c r="D141" t="s">
        <v>70</v>
      </c>
      <c r="E141" t="s">
        <v>72</v>
      </c>
      <c r="F141">
        <v>212</v>
      </c>
      <c r="G141">
        <v>212</v>
      </c>
      <c r="H141">
        <v>0</v>
      </c>
      <c r="I141">
        <v>11</v>
      </c>
      <c r="J141" s="17">
        <v>0.74125874125874125</v>
      </c>
      <c r="K141">
        <v>35</v>
      </c>
      <c r="L141">
        <v>35</v>
      </c>
      <c r="M141" s="17">
        <v>1</v>
      </c>
      <c r="N141" s="25">
        <v>9902.75</v>
      </c>
      <c r="O141" s="25">
        <v>2014</v>
      </c>
      <c r="P141" s="25">
        <v>5775</v>
      </c>
      <c r="Q141" s="25">
        <v>17691.75</v>
      </c>
      <c r="R141" s="18">
        <v>83.451650943396231</v>
      </c>
    </row>
    <row r="142" spans="1:18" x14ac:dyDescent="0.35">
      <c r="A142" s="13">
        <v>45738</v>
      </c>
      <c r="B142">
        <v>2025</v>
      </c>
      <c r="C142">
        <v>3</v>
      </c>
      <c r="D142" t="s">
        <v>70</v>
      </c>
      <c r="E142" t="s">
        <v>72</v>
      </c>
      <c r="F142">
        <v>220</v>
      </c>
      <c r="G142">
        <v>220</v>
      </c>
      <c r="H142">
        <v>0</v>
      </c>
      <c r="I142">
        <v>12</v>
      </c>
      <c r="J142" s="17">
        <v>0.70512820512820518</v>
      </c>
      <c r="K142">
        <v>35</v>
      </c>
      <c r="L142">
        <v>34</v>
      </c>
      <c r="M142" s="17">
        <v>0.97142857142857142</v>
      </c>
      <c r="N142" s="25">
        <v>10803</v>
      </c>
      <c r="O142" s="25">
        <v>2090</v>
      </c>
      <c r="P142" s="25">
        <v>5775</v>
      </c>
      <c r="Q142" s="25">
        <v>18668</v>
      </c>
      <c r="R142" s="18">
        <v>84.854545454545459</v>
      </c>
    </row>
    <row r="143" spans="1:18" x14ac:dyDescent="0.35">
      <c r="A143" s="13">
        <v>45745</v>
      </c>
      <c r="B143">
        <v>2025</v>
      </c>
      <c r="C143">
        <v>3</v>
      </c>
      <c r="D143" t="s">
        <v>70</v>
      </c>
      <c r="E143" t="s">
        <v>72</v>
      </c>
      <c r="F143">
        <v>229</v>
      </c>
      <c r="G143">
        <v>229</v>
      </c>
      <c r="H143">
        <v>0</v>
      </c>
      <c r="I143">
        <v>12</v>
      </c>
      <c r="J143" s="17">
        <v>0.73397435897435892</v>
      </c>
      <c r="K143">
        <v>35</v>
      </c>
      <c r="L143">
        <v>33</v>
      </c>
      <c r="M143" s="17">
        <v>0.94285714285714284</v>
      </c>
      <c r="N143" s="25">
        <v>10803</v>
      </c>
      <c r="O143" s="25">
        <v>2175.5</v>
      </c>
      <c r="P143" s="25">
        <v>5775</v>
      </c>
      <c r="Q143" s="25">
        <v>18753.5</v>
      </c>
      <c r="R143" s="18">
        <v>81.893013100436676</v>
      </c>
    </row>
    <row r="144" spans="1:18" x14ac:dyDescent="0.35">
      <c r="A144" s="13">
        <v>45752</v>
      </c>
      <c r="B144">
        <v>2025</v>
      </c>
      <c r="C144">
        <v>4</v>
      </c>
      <c r="D144" t="s">
        <v>70</v>
      </c>
      <c r="E144" t="s">
        <v>72</v>
      </c>
      <c r="F144">
        <v>214</v>
      </c>
      <c r="G144">
        <v>214</v>
      </c>
      <c r="H144">
        <v>0</v>
      </c>
      <c r="I144">
        <v>12</v>
      </c>
      <c r="J144" s="17">
        <v>0.6858974358974359</v>
      </c>
      <c r="K144">
        <v>35</v>
      </c>
      <c r="L144">
        <v>35</v>
      </c>
      <c r="M144" s="17">
        <v>1</v>
      </c>
      <c r="N144" s="25">
        <v>10803</v>
      </c>
      <c r="O144" s="25">
        <v>2033</v>
      </c>
      <c r="P144" s="25">
        <v>5775</v>
      </c>
      <c r="Q144" s="25">
        <v>18611</v>
      </c>
      <c r="R144" s="18">
        <v>86.967289719626166</v>
      </c>
    </row>
    <row r="145" spans="1:18" x14ac:dyDescent="0.35">
      <c r="A145" s="13">
        <v>45759</v>
      </c>
      <c r="B145">
        <v>2025</v>
      </c>
      <c r="C145">
        <v>4</v>
      </c>
      <c r="D145" t="s">
        <v>70</v>
      </c>
      <c r="E145" t="s">
        <v>72</v>
      </c>
      <c r="F145">
        <v>227</v>
      </c>
      <c r="G145">
        <v>227</v>
      </c>
      <c r="H145">
        <v>0</v>
      </c>
      <c r="I145">
        <v>11</v>
      </c>
      <c r="J145" s="17">
        <v>0.79370629370629375</v>
      </c>
      <c r="K145">
        <v>35</v>
      </c>
      <c r="L145">
        <v>35</v>
      </c>
      <c r="M145" s="17">
        <v>1</v>
      </c>
      <c r="N145" s="25">
        <v>9902.75</v>
      </c>
      <c r="O145" s="25">
        <v>2156.5</v>
      </c>
      <c r="P145" s="25">
        <v>5775</v>
      </c>
      <c r="Q145" s="25">
        <v>17834.25</v>
      </c>
      <c r="R145" s="18">
        <v>78.564977973568276</v>
      </c>
    </row>
    <row r="146" spans="1:18" x14ac:dyDescent="0.35">
      <c r="A146" s="13">
        <v>45766</v>
      </c>
      <c r="B146">
        <v>2025</v>
      </c>
      <c r="C146">
        <v>4</v>
      </c>
      <c r="D146" t="s">
        <v>70</v>
      </c>
      <c r="E146" t="s">
        <v>72</v>
      </c>
      <c r="F146">
        <v>222</v>
      </c>
      <c r="G146">
        <v>222</v>
      </c>
      <c r="H146">
        <v>0</v>
      </c>
      <c r="I146">
        <v>12</v>
      </c>
      <c r="J146" s="17">
        <v>0.71153846153846156</v>
      </c>
      <c r="K146">
        <v>35</v>
      </c>
      <c r="L146">
        <v>34</v>
      </c>
      <c r="M146" s="17">
        <v>0.97142857142857142</v>
      </c>
      <c r="N146" s="25">
        <v>10803</v>
      </c>
      <c r="O146" s="25">
        <v>2109</v>
      </c>
      <c r="P146" s="25">
        <v>5775</v>
      </c>
      <c r="Q146" s="25">
        <v>18687</v>
      </c>
      <c r="R146" s="18">
        <v>84.175675675675677</v>
      </c>
    </row>
    <row r="147" spans="1:18" x14ac:dyDescent="0.35">
      <c r="A147" s="13">
        <v>45773</v>
      </c>
      <c r="B147">
        <v>2025</v>
      </c>
      <c r="C147">
        <v>4</v>
      </c>
      <c r="D147" t="s">
        <v>70</v>
      </c>
      <c r="E147" t="s">
        <v>72</v>
      </c>
      <c r="F147">
        <v>239</v>
      </c>
      <c r="G147">
        <v>239</v>
      </c>
      <c r="H147">
        <v>0</v>
      </c>
      <c r="I147">
        <v>11</v>
      </c>
      <c r="J147" s="17">
        <v>0.83566433566433562</v>
      </c>
      <c r="K147">
        <v>35</v>
      </c>
      <c r="L147">
        <v>34</v>
      </c>
      <c r="M147" s="17">
        <v>0.97142857142857142</v>
      </c>
      <c r="N147" s="25">
        <v>9902.75</v>
      </c>
      <c r="O147" s="25">
        <v>2270.5</v>
      </c>
      <c r="P147" s="25">
        <v>5775</v>
      </c>
      <c r="Q147" s="25">
        <v>17948.25</v>
      </c>
      <c r="R147" s="18">
        <v>75.09728033472804</v>
      </c>
    </row>
    <row r="148" spans="1:18" x14ac:dyDescent="0.35">
      <c r="A148" s="13">
        <v>45780</v>
      </c>
      <c r="B148">
        <v>2025</v>
      </c>
      <c r="C148">
        <v>5</v>
      </c>
      <c r="D148" t="s">
        <v>70</v>
      </c>
      <c r="E148" t="s">
        <v>72</v>
      </c>
      <c r="F148">
        <v>221</v>
      </c>
      <c r="G148">
        <v>221</v>
      </c>
      <c r="H148">
        <v>0</v>
      </c>
      <c r="I148">
        <v>12</v>
      </c>
      <c r="J148" s="17">
        <v>0.70833333333333337</v>
      </c>
      <c r="K148">
        <v>35</v>
      </c>
      <c r="L148">
        <v>34</v>
      </c>
      <c r="M148" s="17">
        <v>0.97142857142857142</v>
      </c>
      <c r="N148" s="25">
        <v>10803</v>
      </c>
      <c r="O148" s="25">
        <v>2099.5</v>
      </c>
      <c r="P148" s="25">
        <v>5775</v>
      </c>
      <c r="Q148" s="25">
        <v>18677.5</v>
      </c>
      <c r="R148" s="18">
        <v>84.513574660633481</v>
      </c>
    </row>
    <row r="149" spans="1:18" x14ac:dyDescent="0.35">
      <c r="A149" s="13">
        <v>45787</v>
      </c>
      <c r="B149">
        <v>2025</v>
      </c>
      <c r="C149">
        <v>5</v>
      </c>
      <c r="D149" t="s">
        <v>70</v>
      </c>
      <c r="E149" t="s">
        <v>72</v>
      </c>
      <c r="F149">
        <v>241</v>
      </c>
      <c r="G149">
        <v>241</v>
      </c>
      <c r="H149">
        <v>0</v>
      </c>
      <c r="I149">
        <v>13</v>
      </c>
      <c r="J149" s="17">
        <v>0.71301775147928992</v>
      </c>
      <c r="K149">
        <v>35</v>
      </c>
      <c r="L149">
        <v>34</v>
      </c>
      <c r="M149" s="17">
        <v>0.97142857142857142</v>
      </c>
      <c r="N149" s="25">
        <v>11703.25</v>
      </c>
      <c r="O149" s="25">
        <v>2289.5</v>
      </c>
      <c r="P149" s="25">
        <v>5775</v>
      </c>
      <c r="Q149" s="25">
        <v>19767.75</v>
      </c>
      <c r="R149" s="18">
        <v>82.023858921161832</v>
      </c>
    </row>
    <row r="150" spans="1:18" x14ac:dyDescent="0.35">
      <c r="A150" s="13">
        <v>45794</v>
      </c>
      <c r="B150">
        <v>2025</v>
      </c>
      <c r="C150">
        <v>5</v>
      </c>
      <c r="D150" t="s">
        <v>70</v>
      </c>
      <c r="E150" t="s">
        <v>72</v>
      </c>
      <c r="F150">
        <v>245</v>
      </c>
      <c r="G150">
        <v>245</v>
      </c>
      <c r="H150">
        <v>0</v>
      </c>
      <c r="I150">
        <v>13</v>
      </c>
      <c r="J150" s="17">
        <v>0.7248520710059172</v>
      </c>
      <c r="K150">
        <v>35</v>
      </c>
      <c r="L150">
        <v>35</v>
      </c>
      <c r="M150" s="17">
        <v>1</v>
      </c>
      <c r="N150" s="25">
        <v>11703.25</v>
      </c>
      <c r="O150" s="25">
        <v>2327.5</v>
      </c>
      <c r="P150" s="25">
        <v>5775</v>
      </c>
      <c r="Q150" s="25">
        <v>19805.75</v>
      </c>
      <c r="R150" s="18">
        <v>80.839795918367344</v>
      </c>
    </row>
    <row r="151" spans="1:18" x14ac:dyDescent="0.35">
      <c r="A151" s="13">
        <v>45801</v>
      </c>
      <c r="B151">
        <v>2025</v>
      </c>
      <c r="C151">
        <v>5</v>
      </c>
      <c r="D151" t="s">
        <v>70</v>
      </c>
      <c r="E151" t="s">
        <v>72</v>
      </c>
      <c r="F151">
        <v>225</v>
      </c>
      <c r="G151">
        <v>225</v>
      </c>
      <c r="H151">
        <v>0</v>
      </c>
      <c r="I151">
        <v>12</v>
      </c>
      <c r="J151" s="17">
        <v>0.72115384615384615</v>
      </c>
      <c r="K151">
        <v>35</v>
      </c>
      <c r="L151">
        <v>34</v>
      </c>
      <c r="M151" s="17">
        <v>0.97142857142857142</v>
      </c>
      <c r="N151" s="25">
        <v>10803</v>
      </c>
      <c r="O151" s="25">
        <v>2137.5</v>
      </c>
      <c r="P151" s="25">
        <v>5775</v>
      </c>
      <c r="Q151" s="25">
        <v>18715.5</v>
      </c>
      <c r="R151" s="18">
        <v>83.18</v>
      </c>
    </row>
    <row r="152" spans="1:18" x14ac:dyDescent="0.35">
      <c r="A152" s="13">
        <v>45808</v>
      </c>
      <c r="B152">
        <v>2025</v>
      </c>
      <c r="C152">
        <v>5</v>
      </c>
      <c r="D152" t="s">
        <v>70</v>
      </c>
      <c r="E152" t="s">
        <v>72</v>
      </c>
      <c r="F152">
        <v>228</v>
      </c>
      <c r="G152">
        <v>228</v>
      </c>
      <c r="H152">
        <v>0</v>
      </c>
      <c r="I152">
        <v>12</v>
      </c>
      <c r="J152" s="17">
        <v>0.73076923076923073</v>
      </c>
      <c r="K152">
        <v>35</v>
      </c>
      <c r="L152">
        <v>35</v>
      </c>
      <c r="M152" s="17">
        <v>1</v>
      </c>
      <c r="N152" s="25">
        <v>10803</v>
      </c>
      <c r="O152" s="25">
        <v>2166</v>
      </c>
      <c r="P152" s="25">
        <v>5775</v>
      </c>
      <c r="Q152" s="25">
        <v>18744</v>
      </c>
      <c r="R152" s="18">
        <v>82.21052631578948</v>
      </c>
    </row>
    <row r="153" spans="1:18" x14ac:dyDescent="0.35">
      <c r="A153" s="13">
        <v>45815</v>
      </c>
      <c r="B153">
        <v>2025</v>
      </c>
      <c r="C153">
        <v>6</v>
      </c>
      <c r="D153" t="s">
        <v>70</v>
      </c>
      <c r="E153" t="s">
        <v>72</v>
      </c>
      <c r="F153">
        <v>226</v>
      </c>
      <c r="G153">
        <v>226</v>
      </c>
      <c r="H153">
        <v>0</v>
      </c>
      <c r="I153">
        <v>12</v>
      </c>
      <c r="J153" s="17">
        <v>0.72435897435897434</v>
      </c>
      <c r="K153">
        <v>35</v>
      </c>
      <c r="L153">
        <v>35</v>
      </c>
      <c r="M153" s="17">
        <v>1</v>
      </c>
      <c r="N153" s="25">
        <v>10803</v>
      </c>
      <c r="O153" s="25">
        <v>2147</v>
      </c>
      <c r="P153" s="25">
        <v>5775</v>
      </c>
      <c r="Q153" s="25">
        <v>18725</v>
      </c>
      <c r="R153" s="18">
        <v>82.853982300884951</v>
      </c>
    </row>
    <row r="154" spans="1:18" x14ac:dyDescent="0.35">
      <c r="A154" s="13">
        <v>45822</v>
      </c>
      <c r="B154">
        <v>2025</v>
      </c>
      <c r="C154">
        <v>6</v>
      </c>
      <c r="D154" t="s">
        <v>70</v>
      </c>
      <c r="E154" t="s">
        <v>72</v>
      </c>
      <c r="F154">
        <v>237</v>
      </c>
      <c r="G154">
        <v>237</v>
      </c>
      <c r="H154">
        <v>0</v>
      </c>
      <c r="I154">
        <v>12</v>
      </c>
      <c r="J154" s="17">
        <v>0.75961538461538458</v>
      </c>
      <c r="K154">
        <v>35</v>
      </c>
      <c r="L154">
        <v>34</v>
      </c>
      <c r="M154" s="17">
        <v>0.97142857142857142</v>
      </c>
      <c r="N154" s="25">
        <v>10803</v>
      </c>
      <c r="O154" s="25">
        <v>2251.5</v>
      </c>
      <c r="P154" s="25">
        <v>5775</v>
      </c>
      <c r="Q154" s="25">
        <v>18829.5</v>
      </c>
      <c r="R154" s="18">
        <v>79.449367088607602</v>
      </c>
    </row>
    <row r="155" spans="1:18" x14ac:dyDescent="0.35">
      <c r="A155" s="13">
        <v>45829</v>
      </c>
      <c r="B155">
        <v>2025</v>
      </c>
      <c r="C155">
        <v>6</v>
      </c>
      <c r="D155" t="s">
        <v>70</v>
      </c>
      <c r="E155" t="s">
        <v>72</v>
      </c>
      <c r="F155">
        <v>217</v>
      </c>
      <c r="G155">
        <v>217</v>
      </c>
      <c r="H155">
        <v>0</v>
      </c>
      <c r="I155">
        <v>11</v>
      </c>
      <c r="J155" s="17">
        <v>0.75874125874125875</v>
      </c>
      <c r="K155">
        <v>35</v>
      </c>
      <c r="L155">
        <v>34</v>
      </c>
      <c r="M155" s="17">
        <v>0.97142857142857142</v>
      </c>
      <c r="N155" s="25">
        <v>9902.75</v>
      </c>
      <c r="O155" s="25">
        <v>2061.5</v>
      </c>
      <c r="P155" s="25">
        <v>5775</v>
      </c>
      <c r="Q155" s="25">
        <v>17739.25</v>
      </c>
      <c r="R155" s="18">
        <v>81.747695852534562</v>
      </c>
    </row>
    <row r="156" spans="1:18" x14ac:dyDescent="0.35">
      <c r="A156" s="13">
        <v>45836</v>
      </c>
      <c r="B156">
        <v>2025</v>
      </c>
      <c r="C156">
        <v>6</v>
      </c>
      <c r="D156" t="s">
        <v>70</v>
      </c>
      <c r="E156" t="s">
        <v>72</v>
      </c>
      <c r="F156">
        <v>221</v>
      </c>
      <c r="G156">
        <v>221</v>
      </c>
      <c r="H156">
        <v>0</v>
      </c>
      <c r="I156">
        <v>11</v>
      </c>
      <c r="J156" s="17">
        <v>0.77272727272727271</v>
      </c>
      <c r="K156">
        <v>35</v>
      </c>
      <c r="L156">
        <v>35</v>
      </c>
      <c r="M156" s="17">
        <v>1</v>
      </c>
      <c r="N156" s="25">
        <v>9902.75</v>
      </c>
      <c r="O156" s="25">
        <v>2099.5</v>
      </c>
      <c r="P156" s="25">
        <v>5775</v>
      </c>
      <c r="Q156" s="25">
        <v>17777.25</v>
      </c>
      <c r="R156" s="18">
        <v>80.440045248868785</v>
      </c>
    </row>
    <row r="157" spans="1:18" x14ac:dyDescent="0.35">
      <c r="A157" s="13">
        <v>45843</v>
      </c>
      <c r="B157">
        <v>2025</v>
      </c>
      <c r="C157">
        <v>7</v>
      </c>
      <c r="D157" t="s">
        <v>70</v>
      </c>
      <c r="E157" t="s">
        <v>72</v>
      </c>
      <c r="F157">
        <v>226</v>
      </c>
      <c r="G157">
        <v>226</v>
      </c>
      <c r="H157">
        <v>0</v>
      </c>
      <c r="I157">
        <v>12</v>
      </c>
      <c r="J157" s="17">
        <v>0.72435897435897434</v>
      </c>
      <c r="K157">
        <v>35</v>
      </c>
      <c r="L157">
        <v>35</v>
      </c>
      <c r="M157" s="17">
        <v>1</v>
      </c>
      <c r="N157" s="25">
        <v>10803</v>
      </c>
      <c r="O157" s="25">
        <v>2147</v>
      </c>
      <c r="P157" s="25">
        <v>5775</v>
      </c>
      <c r="Q157" s="25">
        <v>18725</v>
      </c>
      <c r="R157" s="18">
        <v>82.853982300884951</v>
      </c>
    </row>
    <row r="158" spans="1:18" x14ac:dyDescent="0.35">
      <c r="A158" s="13">
        <v>45850</v>
      </c>
      <c r="B158">
        <v>2025</v>
      </c>
      <c r="C158">
        <v>7</v>
      </c>
      <c r="D158" t="s">
        <v>70</v>
      </c>
      <c r="E158" t="s">
        <v>72</v>
      </c>
      <c r="F158">
        <v>237</v>
      </c>
      <c r="G158">
        <v>237</v>
      </c>
      <c r="H158">
        <v>0</v>
      </c>
      <c r="I158">
        <v>13</v>
      </c>
      <c r="J158" s="17">
        <v>0.70118343195266275</v>
      </c>
      <c r="K158">
        <v>35</v>
      </c>
      <c r="L158">
        <v>35</v>
      </c>
      <c r="M158" s="17">
        <v>1</v>
      </c>
      <c r="N158" s="25">
        <v>11703.25</v>
      </c>
      <c r="O158" s="25">
        <v>2251.5</v>
      </c>
      <c r="P158" s="25">
        <v>5775</v>
      </c>
      <c r="Q158" s="25">
        <v>19729.75</v>
      </c>
      <c r="R158" s="18">
        <v>83.247890295358644</v>
      </c>
    </row>
    <row r="159" spans="1:18" x14ac:dyDescent="0.35">
      <c r="A159" s="13">
        <v>45857</v>
      </c>
      <c r="B159">
        <v>2025</v>
      </c>
      <c r="C159">
        <v>7</v>
      </c>
      <c r="D159" t="s">
        <v>70</v>
      </c>
      <c r="E159" t="s">
        <v>72</v>
      </c>
      <c r="F159">
        <v>235</v>
      </c>
      <c r="G159">
        <v>235</v>
      </c>
      <c r="H159">
        <v>0</v>
      </c>
      <c r="I159">
        <v>13</v>
      </c>
      <c r="J159" s="17">
        <v>0.69526627218934911</v>
      </c>
      <c r="K159">
        <v>35</v>
      </c>
      <c r="L159">
        <v>35</v>
      </c>
      <c r="M159" s="17">
        <v>1</v>
      </c>
      <c r="N159" s="25">
        <v>11703.25</v>
      </c>
      <c r="O159" s="25">
        <v>2232.5</v>
      </c>
      <c r="P159" s="25">
        <v>5775</v>
      </c>
      <c r="Q159" s="25">
        <v>19710.75</v>
      </c>
      <c r="R159" s="18">
        <v>83.875531914893614</v>
      </c>
    </row>
    <row r="160" spans="1:18" x14ac:dyDescent="0.35">
      <c r="A160" s="13">
        <v>45864</v>
      </c>
      <c r="B160">
        <v>2025</v>
      </c>
      <c r="C160">
        <v>7</v>
      </c>
      <c r="D160" t="s">
        <v>70</v>
      </c>
      <c r="E160" t="s">
        <v>72</v>
      </c>
      <c r="F160">
        <v>232</v>
      </c>
      <c r="G160">
        <v>232</v>
      </c>
      <c r="H160">
        <v>0</v>
      </c>
      <c r="I160">
        <v>12</v>
      </c>
      <c r="J160" s="17">
        <v>0.74358974358974361</v>
      </c>
      <c r="K160">
        <v>35</v>
      </c>
      <c r="L160">
        <v>35</v>
      </c>
      <c r="M160" s="17">
        <v>1</v>
      </c>
      <c r="N160" s="25">
        <v>10803</v>
      </c>
      <c r="O160" s="25">
        <v>2204</v>
      </c>
      <c r="P160" s="25">
        <v>5775</v>
      </c>
      <c r="Q160" s="25">
        <v>18782</v>
      </c>
      <c r="R160" s="18">
        <v>80.956896551724142</v>
      </c>
    </row>
    <row r="161" spans="1:18" x14ac:dyDescent="0.35">
      <c r="A161" s="13">
        <v>45871</v>
      </c>
      <c r="B161">
        <v>2025</v>
      </c>
      <c r="C161">
        <v>8</v>
      </c>
      <c r="D161" t="s">
        <v>70</v>
      </c>
      <c r="E161" t="s">
        <v>72</v>
      </c>
      <c r="F161">
        <v>233</v>
      </c>
      <c r="G161">
        <v>233</v>
      </c>
      <c r="H161">
        <v>0</v>
      </c>
      <c r="I161">
        <v>13</v>
      </c>
      <c r="J161" s="17">
        <v>0.68934911242603547</v>
      </c>
      <c r="K161">
        <v>35</v>
      </c>
      <c r="L161">
        <v>35</v>
      </c>
      <c r="M161" s="17">
        <v>1</v>
      </c>
      <c r="N161" s="25">
        <v>11703.25</v>
      </c>
      <c r="O161" s="25">
        <v>2213.5</v>
      </c>
      <c r="P161" s="25">
        <v>5775</v>
      </c>
      <c r="Q161" s="25">
        <v>19691.75</v>
      </c>
      <c r="R161" s="18">
        <v>84.513948497854074</v>
      </c>
    </row>
    <row r="162" spans="1:18" x14ac:dyDescent="0.35">
      <c r="A162" s="13">
        <v>45878</v>
      </c>
      <c r="B162">
        <v>2025</v>
      </c>
      <c r="C162">
        <v>8</v>
      </c>
      <c r="D162" t="s">
        <v>70</v>
      </c>
      <c r="E162" t="s">
        <v>72</v>
      </c>
      <c r="F162">
        <v>255</v>
      </c>
      <c r="G162">
        <v>254</v>
      </c>
      <c r="H162">
        <v>1</v>
      </c>
      <c r="I162">
        <v>13</v>
      </c>
      <c r="J162" s="17">
        <v>0.75147928994082835</v>
      </c>
      <c r="K162">
        <v>35</v>
      </c>
      <c r="L162">
        <v>33</v>
      </c>
      <c r="M162" s="17">
        <v>0.94285714285714284</v>
      </c>
      <c r="N162" s="25">
        <v>11703.25</v>
      </c>
      <c r="O162" s="25">
        <v>2413</v>
      </c>
      <c r="P162" s="25">
        <v>5775</v>
      </c>
      <c r="Q162" s="25">
        <v>19891.25</v>
      </c>
      <c r="R162" s="18">
        <v>78.312007874015748</v>
      </c>
    </row>
    <row r="163" spans="1:18" x14ac:dyDescent="0.35">
      <c r="A163" s="13">
        <v>45885</v>
      </c>
      <c r="B163">
        <v>2025</v>
      </c>
      <c r="C163">
        <v>8</v>
      </c>
      <c r="D163" t="s">
        <v>70</v>
      </c>
      <c r="E163" t="s">
        <v>72</v>
      </c>
      <c r="F163">
        <v>223</v>
      </c>
      <c r="G163">
        <v>224</v>
      </c>
      <c r="H163">
        <v>0</v>
      </c>
      <c r="I163">
        <v>11</v>
      </c>
      <c r="J163" s="17">
        <v>0.78321678321678323</v>
      </c>
      <c r="K163">
        <v>35</v>
      </c>
      <c r="L163">
        <v>33</v>
      </c>
      <c r="M163" s="17">
        <v>0.94285714285714284</v>
      </c>
      <c r="N163" s="25">
        <v>9902.75</v>
      </c>
      <c r="O163" s="25">
        <v>2128</v>
      </c>
      <c r="P163" s="25">
        <v>5775</v>
      </c>
      <c r="Q163" s="25">
        <v>17805.75</v>
      </c>
      <c r="R163" s="18">
        <v>79.489955357142861</v>
      </c>
    </row>
    <row r="164" spans="1:18" x14ac:dyDescent="0.35">
      <c r="A164" s="13">
        <v>45892</v>
      </c>
      <c r="B164">
        <v>2025</v>
      </c>
      <c r="C164">
        <v>8</v>
      </c>
      <c r="D164" t="s">
        <v>70</v>
      </c>
      <c r="E164" t="s">
        <v>72</v>
      </c>
      <c r="F164">
        <v>227</v>
      </c>
      <c r="G164">
        <v>227</v>
      </c>
      <c r="H164">
        <v>0</v>
      </c>
      <c r="I164">
        <v>12</v>
      </c>
      <c r="J164" s="17">
        <v>0.72756410256410253</v>
      </c>
      <c r="K164">
        <v>35</v>
      </c>
      <c r="L164">
        <v>34</v>
      </c>
      <c r="M164" s="17">
        <v>0.97142857142857142</v>
      </c>
      <c r="N164" s="25">
        <v>10803</v>
      </c>
      <c r="O164" s="25">
        <v>2156.5</v>
      </c>
      <c r="P164" s="25">
        <v>5775</v>
      </c>
      <c r="Q164" s="25">
        <v>18734.5</v>
      </c>
      <c r="R164" s="18">
        <v>82.530837004405285</v>
      </c>
    </row>
    <row r="165" spans="1:18" x14ac:dyDescent="0.35">
      <c r="A165" s="13">
        <v>45899</v>
      </c>
      <c r="B165">
        <v>2025</v>
      </c>
      <c r="C165">
        <v>8</v>
      </c>
      <c r="D165" t="s">
        <v>70</v>
      </c>
      <c r="E165" t="s">
        <v>72</v>
      </c>
      <c r="F165">
        <v>224</v>
      </c>
      <c r="G165">
        <v>224</v>
      </c>
      <c r="H165">
        <v>0</v>
      </c>
      <c r="I165">
        <v>11</v>
      </c>
      <c r="J165" s="17">
        <v>0.78321678321678323</v>
      </c>
      <c r="K165">
        <v>35</v>
      </c>
      <c r="L165">
        <v>34</v>
      </c>
      <c r="M165" s="17">
        <v>0.97142857142857142</v>
      </c>
      <c r="N165" s="25">
        <v>9902.75</v>
      </c>
      <c r="O165" s="25">
        <v>2128</v>
      </c>
      <c r="P165" s="25">
        <v>5775</v>
      </c>
      <c r="Q165" s="25">
        <v>17805.75</v>
      </c>
      <c r="R165" s="18">
        <v>79.489955357142861</v>
      </c>
    </row>
    <row r="166" spans="1:18" x14ac:dyDescent="0.35">
      <c r="A166" s="13">
        <v>45906</v>
      </c>
      <c r="B166">
        <v>2025</v>
      </c>
      <c r="C166">
        <v>9</v>
      </c>
      <c r="D166" t="s">
        <v>70</v>
      </c>
      <c r="E166" t="s">
        <v>72</v>
      </c>
      <c r="F166">
        <v>220</v>
      </c>
      <c r="G166">
        <v>220</v>
      </c>
      <c r="H166">
        <v>0</v>
      </c>
      <c r="I166">
        <v>12</v>
      </c>
      <c r="J166" s="17">
        <v>0.70512820512820518</v>
      </c>
      <c r="K166">
        <v>35</v>
      </c>
      <c r="L166">
        <v>33</v>
      </c>
      <c r="M166" s="17">
        <v>0.94285714285714284</v>
      </c>
      <c r="N166" s="25">
        <v>10803</v>
      </c>
      <c r="O166" s="25">
        <v>2090</v>
      </c>
      <c r="P166" s="25">
        <v>5775</v>
      </c>
      <c r="Q166" s="25">
        <v>18668</v>
      </c>
      <c r="R166" s="18">
        <v>84.854545454545459</v>
      </c>
    </row>
    <row r="167" spans="1:18" x14ac:dyDescent="0.35">
      <c r="A167" s="13">
        <v>45913</v>
      </c>
      <c r="B167">
        <v>2025</v>
      </c>
      <c r="C167">
        <v>9</v>
      </c>
      <c r="D167" t="s">
        <v>70</v>
      </c>
      <c r="E167" t="s">
        <v>72</v>
      </c>
      <c r="F167">
        <v>225</v>
      </c>
      <c r="G167">
        <v>225</v>
      </c>
      <c r="H167">
        <v>0</v>
      </c>
      <c r="I167">
        <v>12</v>
      </c>
      <c r="J167" s="17">
        <v>0.72115384615384615</v>
      </c>
      <c r="K167">
        <v>35</v>
      </c>
      <c r="L167">
        <v>35</v>
      </c>
      <c r="M167" s="17">
        <v>1</v>
      </c>
      <c r="N167" s="25">
        <v>10803</v>
      </c>
      <c r="O167" s="25">
        <v>2137.5</v>
      </c>
      <c r="P167" s="25">
        <v>5775</v>
      </c>
      <c r="Q167" s="25">
        <v>18715.5</v>
      </c>
      <c r="R167" s="18">
        <v>83.18</v>
      </c>
    </row>
    <row r="168" spans="1:18" x14ac:dyDescent="0.35">
      <c r="A168" s="13">
        <v>45920</v>
      </c>
      <c r="B168">
        <v>2025</v>
      </c>
      <c r="C168">
        <v>9</v>
      </c>
      <c r="D168" t="s">
        <v>70</v>
      </c>
      <c r="E168" t="s">
        <v>72</v>
      </c>
      <c r="F168">
        <v>220</v>
      </c>
      <c r="G168">
        <v>220</v>
      </c>
      <c r="H168">
        <v>0</v>
      </c>
      <c r="I168">
        <v>12</v>
      </c>
      <c r="J168" s="17">
        <v>0.70512820512820518</v>
      </c>
      <c r="K168">
        <v>35</v>
      </c>
      <c r="L168">
        <v>32</v>
      </c>
      <c r="M168" s="17">
        <v>0.91428571428571426</v>
      </c>
      <c r="N168" s="25">
        <v>10803</v>
      </c>
      <c r="O168" s="25">
        <v>2090</v>
      </c>
      <c r="P168" s="25">
        <v>5775</v>
      </c>
      <c r="Q168" s="25">
        <v>18668</v>
      </c>
      <c r="R168" s="18">
        <v>84.854545454545459</v>
      </c>
    </row>
    <row r="169" spans="1:18" x14ac:dyDescent="0.35">
      <c r="A169" s="13">
        <v>45927</v>
      </c>
      <c r="B169">
        <v>2025</v>
      </c>
      <c r="C169">
        <v>9</v>
      </c>
      <c r="D169" t="s">
        <v>70</v>
      </c>
      <c r="E169" t="s">
        <v>72</v>
      </c>
      <c r="F169">
        <v>228</v>
      </c>
      <c r="G169">
        <v>228</v>
      </c>
      <c r="H169">
        <v>0</v>
      </c>
      <c r="I169">
        <v>12</v>
      </c>
      <c r="J169" s="17">
        <v>0.73076923076923073</v>
      </c>
      <c r="K169">
        <v>35</v>
      </c>
      <c r="L169">
        <v>35</v>
      </c>
      <c r="M169" s="17">
        <v>1</v>
      </c>
      <c r="N169" s="25">
        <v>10803</v>
      </c>
      <c r="O169" s="25">
        <v>2166</v>
      </c>
      <c r="P169" s="25">
        <v>5775</v>
      </c>
      <c r="Q169" s="25">
        <v>18744</v>
      </c>
      <c r="R169" s="18">
        <v>82.21052631578948</v>
      </c>
    </row>
    <row r="170" spans="1:18" x14ac:dyDescent="0.35">
      <c r="A170" s="13">
        <v>45934</v>
      </c>
      <c r="B170">
        <v>2025</v>
      </c>
      <c r="C170">
        <v>10</v>
      </c>
      <c r="D170" t="s">
        <v>70</v>
      </c>
      <c r="E170" t="s">
        <v>72</v>
      </c>
      <c r="F170">
        <v>223</v>
      </c>
      <c r="G170">
        <v>223</v>
      </c>
      <c r="H170">
        <v>0</v>
      </c>
      <c r="I170">
        <v>12</v>
      </c>
      <c r="J170" s="17">
        <v>0.71474358974358976</v>
      </c>
      <c r="K170">
        <v>35</v>
      </c>
      <c r="L170">
        <v>34</v>
      </c>
      <c r="M170" s="17">
        <v>0.97142857142857142</v>
      </c>
      <c r="N170" s="25">
        <v>10803</v>
      </c>
      <c r="O170" s="25">
        <v>2118.5</v>
      </c>
      <c r="P170" s="25">
        <v>5775</v>
      </c>
      <c r="Q170" s="25">
        <v>18696.5</v>
      </c>
      <c r="R170" s="18">
        <v>83.840807174887885</v>
      </c>
    </row>
    <row r="171" spans="1:18" x14ac:dyDescent="0.35">
      <c r="A171" s="13">
        <v>45941</v>
      </c>
      <c r="B171">
        <v>2025</v>
      </c>
      <c r="C171">
        <v>10</v>
      </c>
      <c r="D171" t="s">
        <v>70</v>
      </c>
      <c r="E171" t="s">
        <v>72</v>
      </c>
      <c r="F171">
        <v>227</v>
      </c>
      <c r="G171">
        <v>227</v>
      </c>
      <c r="H171">
        <v>0</v>
      </c>
      <c r="I171">
        <v>13</v>
      </c>
      <c r="J171" s="17">
        <v>0.67159763313609466</v>
      </c>
      <c r="K171">
        <v>35</v>
      </c>
      <c r="L171">
        <v>34</v>
      </c>
      <c r="M171" s="17">
        <v>0.97142857142857142</v>
      </c>
      <c r="N171" s="25">
        <v>11703.25</v>
      </c>
      <c r="O171" s="25">
        <v>2156.5</v>
      </c>
      <c r="P171" s="25">
        <v>5775</v>
      </c>
      <c r="Q171" s="25">
        <v>19634.75</v>
      </c>
      <c r="R171" s="18">
        <v>86.496696035242294</v>
      </c>
    </row>
    <row r="172" spans="1:18" x14ac:dyDescent="0.35">
      <c r="A172" s="13">
        <v>45948</v>
      </c>
      <c r="B172">
        <v>2025</v>
      </c>
      <c r="C172">
        <v>10</v>
      </c>
      <c r="D172" t="s">
        <v>70</v>
      </c>
      <c r="E172" t="s">
        <v>72</v>
      </c>
      <c r="F172">
        <v>235</v>
      </c>
      <c r="G172">
        <v>235</v>
      </c>
      <c r="H172">
        <v>0</v>
      </c>
      <c r="I172">
        <v>13</v>
      </c>
      <c r="J172" s="17">
        <v>0.69526627218934911</v>
      </c>
      <c r="K172">
        <v>35</v>
      </c>
      <c r="L172">
        <v>35</v>
      </c>
      <c r="M172" s="17">
        <v>1</v>
      </c>
      <c r="N172" s="25">
        <v>11703.25</v>
      </c>
      <c r="O172" s="25">
        <v>2232.5</v>
      </c>
      <c r="P172" s="25">
        <v>5775</v>
      </c>
      <c r="Q172" s="25">
        <v>19710.75</v>
      </c>
      <c r="R172" s="18">
        <v>83.875531914893614</v>
      </c>
    </row>
    <row r="173" spans="1:18" x14ac:dyDescent="0.35">
      <c r="A173" s="13">
        <v>45955</v>
      </c>
      <c r="B173">
        <v>2025</v>
      </c>
      <c r="C173">
        <v>10</v>
      </c>
      <c r="D173" t="s">
        <v>70</v>
      </c>
      <c r="E173" t="s">
        <v>72</v>
      </c>
      <c r="F173">
        <v>237</v>
      </c>
      <c r="G173">
        <v>237</v>
      </c>
      <c r="H173">
        <v>0</v>
      </c>
      <c r="I173">
        <v>12</v>
      </c>
      <c r="J173" s="17">
        <v>0.75961538461538458</v>
      </c>
      <c r="K173">
        <v>35</v>
      </c>
      <c r="L173">
        <v>32</v>
      </c>
      <c r="M173" s="17">
        <v>0.91428571428571426</v>
      </c>
      <c r="N173" s="25">
        <v>10803</v>
      </c>
      <c r="O173" s="25">
        <v>2251.5</v>
      </c>
      <c r="P173" s="25">
        <v>5775</v>
      </c>
      <c r="Q173" s="25">
        <v>18829.5</v>
      </c>
      <c r="R173" s="18">
        <v>79.449367088607602</v>
      </c>
    </row>
    <row r="174" spans="1:18" x14ac:dyDescent="0.35">
      <c r="A174" s="13">
        <v>45962</v>
      </c>
      <c r="B174">
        <v>2025</v>
      </c>
      <c r="C174">
        <v>11</v>
      </c>
      <c r="D174" t="s">
        <v>70</v>
      </c>
      <c r="E174" t="s">
        <v>72</v>
      </c>
      <c r="F174">
        <v>260</v>
      </c>
      <c r="G174">
        <v>260</v>
      </c>
      <c r="H174">
        <v>0</v>
      </c>
      <c r="I174">
        <v>14</v>
      </c>
      <c r="J174" s="17">
        <v>0.7142857142857143</v>
      </c>
      <c r="K174">
        <v>35</v>
      </c>
      <c r="L174">
        <v>35</v>
      </c>
      <c r="M174" s="17">
        <v>1</v>
      </c>
      <c r="N174" s="25">
        <v>12603.5</v>
      </c>
      <c r="O174" s="25">
        <v>2470</v>
      </c>
      <c r="P174" s="25">
        <v>5775</v>
      </c>
      <c r="Q174" s="25">
        <v>20848.5</v>
      </c>
      <c r="R174" s="18">
        <v>80.186538461538461</v>
      </c>
    </row>
    <row r="175" spans="1:18" x14ac:dyDescent="0.35">
      <c r="A175" s="13">
        <v>45969</v>
      </c>
      <c r="B175">
        <v>2025</v>
      </c>
      <c r="C175">
        <v>11</v>
      </c>
      <c r="D175" t="s">
        <v>70</v>
      </c>
      <c r="E175" t="s">
        <v>72</v>
      </c>
      <c r="F175">
        <v>271</v>
      </c>
      <c r="G175">
        <v>271</v>
      </c>
      <c r="H175">
        <v>0</v>
      </c>
      <c r="I175">
        <v>13</v>
      </c>
      <c r="J175" s="17">
        <v>0.80177514792899407</v>
      </c>
      <c r="K175">
        <v>35</v>
      </c>
      <c r="L175">
        <v>35</v>
      </c>
      <c r="M175" s="17">
        <v>1</v>
      </c>
      <c r="N175" s="25">
        <v>11703.25</v>
      </c>
      <c r="O175" s="25">
        <v>2574.5</v>
      </c>
      <c r="P175" s="25">
        <v>5775</v>
      </c>
      <c r="Q175" s="25">
        <v>20052.75</v>
      </c>
      <c r="R175" s="18">
        <v>73.995387453874542</v>
      </c>
    </row>
    <row r="176" spans="1:18" x14ac:dyDescent="0.35">
      <c r="A176" s="13">
        <v>45976</v>
      </c>
      <c r="B176">
        <v>2025</v>
      </c>
      <c r="C176">
        <v>11</v>
      </c>
      <c r="D176" t="s">
        <v>70</v>
      </c>
      <c r="E176" t="s">
        <v>72</v>
      </c>
      <c r="F176">
        <v>301</v>
      </c>
      <c r="G176">
        <v>294</v>
      </c>
      <c r="H176">
        <v>7</v>
      </c>
      <c r="I176">
        <v>15</v>
      </c>
      <c r="J176" s="17">
        <v>0.75384615384615383</v>
      </c>
      <c r="K176">
        <v>35</v>
      </c>
      <c r="L176">
        <v>34</v>
      </c>
      <c r="M176" s="17">
        <v>0.97142857142857142</v>
      </c>
      <c r="N176" s="25">
        <v>13503.75</v>
      </c>
      <c r="O176" s="25">
        <v>2793</v>
      </c>
      <c r="P176" s="25">
        <v>5775</v>
      </c>
      <c r="Q176" s="25">
        <v>22071.75</v>
      </c>
      <c r="R176" s="18">
        <v>75.073979591836732</v>
      </c>
    </row>
    <row r="177" spans="1:18" x14ac:dyDescent="0.35">
      <c r="A177" s="13">
        <v>45983</v>
      </c>
      <c r="B177">
        <v>2025</v>
      </c>
      <c r="C177">
        <v>11</v>
      </c>
      <c r="D177" t="s">
        <v>70</v>
      </c>
      <c r="E177" t="s">
        <v>72</v>
      </c>
      <c r="F177">
        <v>325</v>
      </c>
      <c r="G177">
        <v>305</v>
      </c>
      <c r="H177">
        <v>27</v>
      </c>
      <c r="I177">
        <v>14</v>
      </c>
      <c r="J177" s="17">
        <v>0.83791208791208793</v>
      </c>
      <c r="K177">
        <v>35</v>
      </c>
      <c r="L177">
        <v>32</v>
      </c>
      <c r="M177" s="17">
        <v>0.91428571428571426</v>
      </c>
      <c r="N177" s="25">
        <v>12603.5</v>
      </c>
      <c r="O177" s="25">
        <v>2897.5</v>
      </c>
      <c r="P177" s="25">
        <v>5775</v>
      </c>
      <c r="Q177" s="25">
        <v>21276</v>
      </c>
      <c r="R177" s="18">
        <v>69.757377049180334</v>
      </c>
    </row>
    <row r="178" spans="1:18" x14ac:dyDescent="0.35">
      <c r="A178" s="13">
        <v>45990</v>
      </c>
      <c r="B178">
        <v>2025</v>
      </c>
      <c r="C178">
        <v>11</v>
      </c>
      <c r="D178" t="s">
        <v>70</v>
      </c>
      <c r="E178" t="s">
        <v>72</v>
      </c>
      <c r="F178">
        <v>316</v>
      </c>
      <c r="G178">
        <v>306</v>
      </c>
      <c r="H178">
        <v>37</v>
      </c>
      <c r="I178">
        <v>15</v>
      </c>
      <c r="J178" s="17">
        <v>0.7846153846153846</v>
      </c>
      <c r="K178">
        <v>35</v>
      </c>
      <c r="L178">
        <v>34</v>
      </c>
      <c r="M178" s="17">
        <v>0.97142857142857142</v>
      </c>
      <c r="N178" s="25">
        <v>13503.75</v>
      </c>
      <c r="O178" s="25">
        <v>2907</v>
      </c>
      <c r="P178" s="25">
        <v>5775</v>
      </c>
      <c r="Q178" s="25">
        <v>22185.75</v>
      </c>
      <c r="R178" s="18">
        <v>72.502450980392155</v>
      </c>
    </row>
    <row r="179" spans="1:18" x14ac:dyDescent="0.35">
      <c r="A179" s="13">
        <v>45997</v>
      </c>
      <c r="B179">
        <v>2025</v>
      </c>
      <c r="C179">
        <v>12</v>
      </c>
      <c r="D179" t="s">
        <v>70</v>
      </c>
      <c r="E179" t="s">
        <v>72</v>
      </c>
      <c r="F179">
        <v>347</v>
      </c>
      <c r="G179">
        <v>313</v>
      </c>
      <c r="H179">
        <v>71</v>
      </c>
      <c r="I179">
        <v>15</v>
      </c>
      <c r="J179" s="17">
        <v>0.8025641025641026</v>
      </c>
      <c r="K179">
        <v>35</v>
      </c>
      <c r="L179">
        <v>33</v>
      </c>
      <c r="M179" s="17">
        <v>0.94285714285714284</v>
      </c>
      <c r="N179" s="25">
        <v>13503.75</v>
      </c>
      <c r="O179" s="25">
        <v>2973.5</v>
      </c>
      <c r="P179" s="25">
        <v>5775</v>
      </c>
      <c r="Q179" s="25">
        <v>22252.25</v>
      </c>
      <c r="R179" s="18">
        <v>71.093450479233226</v>
      </c>
    </row>
    <row r="180" spans="1:18" x14ac:dyDescent="0.35">
      <c r="A180" s="13">
        <v>46004</v>
      </c>
      <c r="B180">
        <v>2025</v>
      </c>
      <c r="C180">
        <v>12</v>
      </c>
      <c r="D180" t="s">
        <v>70</v>
      </c>
      <c r="E180" t="s">
        <v>72</v>
      </c>
      <c r="F180">
        <v>348</v>
      </c>
      <c r="G180">
        <v>313</v>
      </c>
      <c r="H180">
        <v>106</v>
      </c>
      <c r="I180">
        <v>15</v>
      </c>
      <c r="J180" s="17">
        <v>0.8025641025641026</v>
      </c>
      <c r="K180">
        <v>35</v>
      </c>
      <c r="L180">
        <v>33</v>
      </c>
      <c r="M180" s="17">
        <v>0.94285714285714284</v>
      </c>
      <c r="N180" s="25">
        <v>13503.75</v>
      </c>
      <c r="O180" s="25">
        <v>2973.5</v>
      </c>
      <c r="P180" s="25">
        <v>5775</v>
      </c>
      <c r="Q180" s="25">
        <v>22252.25</v>
      </c>
      <c r="R180" s="18">
        <v>71.093450479233226</v>
      </c>
    </row>
    <row r="181" spans="1:18" x14ac:dyDescent="0.35">
      <c r="A181" s="13">
        <v>46011</v>
      </c>
      <c r="B181">
        <v>2025</v>
      </c>
      <c r="C181">
        <v>12</v>
      </c>
      <c r="D181" t="s">
        <v>70</v>
      </c>
      <c r="E181" t="s">
        <v>72</v>
      </c>
      <c r="F181">
        <v>328</v>
      </c>
      <c r="G181">
        <v>313</v>
      </c>
      <c r="H181">
        <v>121</v>
      </c>
      <c r="I181">
        <v>14</v>
      </c>
      <c r="J181" s="17">
        <v>0.85989010989010994</v>
      </c>
      <c r="K181">
        <v>35</v>
      </c>
      <c r="L181">
        <v>33</v>
      </c>
      <c r="M181" s="17">
        <v>0.94285714285714284</v>
      </c>
      <c r="N181" s="25">
        <v>12603.5</v>
      </c>
      <c r="O181" s="25">
        <v>2973.5</v>
      </c>
      <c r="P181" s="25">
        <v>5775</v>
      </c>
      <c r="Q181" s="25">
        <v>21352</v>
      </c>
      <c r="R181" s="18">
        <v>68.217252396166131</v>
      </c>
    </row>
    <row r="182" spans="1:18" x14ac:dyDescent="0.35">
      <c r="A182" s="13">
        <v>46018</v>
      </c>
      <c r="B182">
        <v>2025</v>
      </c>
      <c r="C182">
        <v>12</v>
      </c>
      <c r="D182" t="s">
        <v>70</v>
      </c>
      <c r="E182" t="s">
        <v>72</v>
      </c>
      <c r="F182">
        <v>264</v>
      </c>
      <c r="G182">
        <v>306</v>
      </c>
      <c r="H182">
        <v>79</v>
      </c>
      <c r="I182">
        <v>15</v>
      </c>
      <c r="J182" s="17">
        <v>0.7846153846153846</v>
      </c>
      <c r="K182">
        <v>35</v>
      </c>
      <c r="L182">
        <v>33</v>
      </c>
      <c r="M182" s="17">
        <v>0.94285714285714284</v>
      </c>
      <c r="N182" s="25">
        <v>13503.75</v>
      </c>
      <c r="O182" s="25">
        <v>2907</v>
      </c>
      <c r="P182" s="25">
        <v>5775</v>
      </c>
      <c r="Q182" s="25">
        <v>22185.75</v>
      </c>
      <c r="R182" s="18">
        <v>72.502450980392155</v>
      </c>
    </row>
    <row r="183" spans="1:18" x14ac:dyDescent="0.35">
      <c r="A183" s="13">
        <v>46025</v>
      </c>
      <c r="B183">
        <v>2026</v>
      </c>
      <c r="C183">
        <v>1</v>
      </c>
      <c r="D183" t="s">
        <v>70</v>
      </c>
      <c r="E183" t="s">
        <v>72</v>
      </c>
      <c r="F183">
        <v>224</v>
      </c>
      <c r="G183">
        <v>266</v>
      </c>
      <c r="H183">
        <v>37</v>
      </c>
      <c r="I183">
        <v>14</v>
      </c>
      <c r="J183" s="17">
        <v>0.73076923076923073</v>
      </c>
      <c r="K183">
        <v>35</v>
      </c>
      <c r="L183">
        <v>31</v>
      </c>
      <c r="M183" s="17">
        <v>0.88571428571428568</v>
      </c>
      <c r="N183" s="25">
        <v>12603.5</v>
      </c>
      <c r="O183" s="25">
        <v>2527</v>
      </c>
      <c r="P183" s="25">
        <v>5775</v>
      </c>
      <c r="Q183" s="25">
        <v>20905.5</v>
      </c>
      <c r="R183" s="18">
        <v>78.59210526315789</v>
      </c>
    </row>
    <row r="184" spans="1:18" x14ac:dyDescent="0.35">
      <c r="A184" s="13">
        <v>46032</v>
      </c>
      <c r="B184">
        <v>2026</v>
      </c>
      <c r="C184">
        <v>1</v>
      </c>
      <c r="D184" t="s">
        <v>70</v>
      </c>
      <c r="E184" t="s">
        <v>72</v>
      </c>
      <c r="F184">
        <v>198</v>
      </c>
      <c r="G184">
        <v>221</v>
      </c>
      <c r="H184">
        <v>14</v>
      </c>
      <c r="I184">
        <v>11</v>
      </c>
      <c r="J184" s="17">
        <v>0.77272727272727271</v>
      </c>
      <c r="K184">
        <v>35</v>
      </c>
      <c r="L184">
        <v>31</v>
      </c>
      <c r="M184" s="17">
        <v>0.88571428571428568</v>
      </c>
      <c r="N184" s="25">
        <v>9902.75</v>
      </c>
      <c r="O184" s="25">
        <v>2099.5</v>
      </c>
      <c r="P184" s="25">
        <v>5775</v>
      </c>
      <c r="Q184" s="25">
        <v>17777.25</v>
      </c>
      <c r="R184" s="18">
        <v>80.440045248868785</v>
      </c>
    </row>
    <row r="185" spans="1:18" x14ac:dyDescent="0.35">
      <c r="A185" s="13">
        <v>46039</v>
      </c>
      <c r="B185">
        <v>2026</v>
      </c>
      <c r="C185">
        <v>1</v>
      </c>
      <c r="D185" t="s">
        <v>70</v>
      </c>
      <c r="E185" t="s">
        <v>72</v>
      </c>
      <c r="F185">
        <v>178</v>
      </c>
      <c r="G185">
        <v>189</v>
      </c>
      <c r="H185">
        <v>3</v>
      </c>
      <c r="I185">
        <v>11</v>
      </c>
      <c r="J185" s="17">
        <v>0.66083916083916083</v>
      </c>
      <c r="K185">
        <v>35</v>
      </c>
      <c r="L185">
        <v>32</v>
      </c>
      <c r="M185" s="17">
        <v>0.91428571428571426</v>
      </c>
      <c r="N185" s="25">
        <v>9902.75</v>
      </c>
      <c r="O185" s="25">
        <v>1795.5</v>
      </c>
      <c r="P185" s="25">
        <v>5775</v>
      </c>
      <c r="Q185" s="25">
        <v>17473.25</v>
      </c>
      <c r="R185" s="18">
        <v>92.451058201058203</v>
      </c>
    </row>
    <row r="186" spans="1:18" x14ac:dyDescent="0.35">
      <c r="A186" s="13">
        <v>46046</v>
      </c>
      <c r="B186">
        <v>2026</v>
      </c>
      <c r="C186">
        <v>1</v>
      </c>
      <c r="D186" t="s">
        <v>70</v>
      </c>
      <c r="E186" t="s">
        <v>72</v>
      </c>
      <c r="F186">
        <v>192</v>
      </c>
      <c r="G186">
        <v>195</v>
      </c>
      <c r="H186">
        <v>0</v>
      </c>
      <c r="I186">
        <v>10</v>
      </c>
      <c r="J186" s="17">
        <v>0.75</v>
      </c>
      <c r="K186">
        <v>35</v>
      </c>
      <c r="L186">
        <v>32</v>
      </c>
      <c r="M186" s="17">
        <v>0.91428571428571426</v>
      </c>
      <c r="N186" s="25">
        <v>9002.5</v>
      </c>
      <c r="O186" s="25">
        <v>1852.5</v>
      </c>
      <c r="P186" s="25">
        <v>5775</v>
      </c>
      <c r="Q186" s="25">
        <v>16630</v>
      </c>
      <c r="R186" s="18">
        <v>85.282051282051285</v>
      </c>
    </row>
    <row r="187" spans="1:18" x14ac:dyDescent="0.35">
      <c r="A187" s="13">
        <v>46053</v>
      </c>
      <c r="B187">
        <v>2026</v>
      </c>
      <c r="C187">
        <v>1</v>
      </c>
      <c r="D187" t="s">
        <v>70</v>
      </c>
      <c r="E187" t="s">
        <v>72</v>
      </c>
      <c r="F187">
        <v>198</v>
      </c>
      <c r="G187">
        <v>198</v>
      </c>
      <c r="H187">
        <v>0</v>
      </c>
      <c r="I187">
        <v>11</v>
      </c>
      <c r="J187" s="17">
        <v>0.69230769230769229</v>
      </c>
      <c r="K187">
        <v>35</v>
      </c>
      <c r="L187">
        <v>33</v>
      </c>
      <c r="M187" s="17">
        <v>0.94285714285714284</v>
      </c>
      <c r="N187" s="25">
        <v>9902.75</v>
      </c>
      <c r="O187" s="25">
        <v>1881</v>
      </c>
      <c r="P187" s="25">
        <v>5775</v>
      </c>
      <c r="Q187" s="25">
        <v>17558.75</v>
      </c>
      <c r="R187" s="18">
        <v>88.680555555555557</v>
      </c>
    </row>
    <row r="188" spans="1:18" x14ac:dyDescent="0.35">
      <c r="A188" s="13">
        <v>46060</v>
      </c>
      <c r="B188">
        <v>2026</v>
      </c>
      <c r="C188">
        <v>2</v>
      </c>
      <c r="D188" t="s">
        <v>70</v>
      </c>
      <c r="E188" t="s">
        <v>72</v>
      </c>
      <c r="F188">
        <v>223</v>
      </c>
      <c r="G188">
        <v>223</v>
      </c>
      <c r="H188">
        <v>0</v>
      </c>
      <c r="I188">
        <v>11</v>
      </c>
      <c r="J188" s="17">
        <v>0.77972027972027969</v>
      </c>
      <c r="K188">
        <v>35</v>
      </c>
      <c r="L188">
        <v>33</v>
      </c>
      <c r="M188" s="17">
        <v>0.94285714285714284</v>
      </c>
      <c r="N188" s="25">
        <v>9902.75</v>
      </c>
      <c r="O188" s="25">
        <v>2118.5</v>
      </c>
      <c r="P188" s="25">
        <v>5775</v>
      </c>
      <c r="Q188" s="25">
        <v>17796.25</v>
      </c>
      <c r="R188" s="18">
        <v>79.803811659192831</v>
      </c>
    </row>
    <row r="189" spans="1:18" x14ac:dyDescent="0.35">
      <c r="A189" s="13">
        <v>46067</v>
      </c>
      <c r="B189">
        <v>2026</v>
      </c>
      <c r="C189">
        <v>2</v>
      </c>
      <c r="D189" t="s">
        <v>70</v>
      </c>
      <c r="E189" t="s">
        <v>72</v>
      </c>
      <c r="F189">
        <v>216</v>
      </c>
      <c r="G189">
        <v>216</v>
      </c>
      <c r="H189">
        <v>0</v>
      </c>
      <c r="I189">
        <v>12</v>
      </c>
      <c r="J189" s="17">
        <v>0.69230769230769229</v>
      </c>
      <c r="K189">
        <v>35</v>
      </c>
      <c r="L189">
        <v>33</v>
      </c>
      <c r="M189" s="17">
        <v>0.94285714285714284</v>
      </c>
      <c r="N189" s="25">
        <v>10803</v>
      </c>
      <c r="O189" s="25">
        <v>2052</v>
      </c>
      <c r="P189" s="25">
        <v>5775</v>
      </c>
      <c r="Q189" s="25">
        <v>18630</v>
      </c>
      <c r="R189" s="18">
        <v>86.25</v>
      </c>
    </row>
    <row r="190" spans="1:18" x14ac:dyDescent="0.35">
      <c r="A190" s="13">
        <v>46074</v>
      </c>
      <c r="B190">
        <v>2026</v>
      </c>
      <c r="C190">
        <v>2</v>
      </c>
      <c r="D190" t="s">
        <v>70</v>
      </c>
      <c r="E190" t="s">
        <v>72</v>
      </c>
      <c r="F190">
        <v>214</v>
      </c>
      <c r="G190">
        <v>214</v>
      </c>
      <c r="H190">
        <v>0</v>
      </c>
      <c r="I190">
        <v>11</v>
      </c>
      <c r="J190" s="17">
        <v>0.74825174825174823</v>
      </c>
      <c r="K190">
        <v>35</v>
      </c>
      <c r="L190">
        <v>33</v>
      </c>
      <c r="M190" s="17">
        <v>0.94285714285714284</v>
      </c>
      <c r="N190" s="25">
        <v>9902.75</v>
      </c>
      <c r="O190" s="25">
        <v>2033</v>
      </c>
      <c r="P190" s="25">
        <v>5775</v>
      </c>
      <c r="Q190" s="25">
        <v>17710.75</v>
      </c>
      <c r="R190" s="18">
        <v>82.760514018691595</v>
      </c>
    </row>
    <row r="191" spans="1:18" x14ac:dyDescent="0.35">
      <c r="A191" s="13">
        <v>46081</v>
      </c>
      <c r="B191">
        <v>2026</v>
      </c>
      <c r="C191">
        <v>2</v>
      </c>
      <c r="D191" t="s">
        <v>70</v>
      </c>
      <c r="E191" t="s">
        <v>72</v>
      </c>
      <c r="F191">
        <v>237</v>
      </c>
      <c r="G191">
        <v>237</v>
      </c>
      <c r="H191">
        <v>0</v>
      </c>
      <c r="I191">
        <v>13</v>
      </c>
      <c r="J191" s="17">
        <v>0.70118343195266275</v>
      </c>
      <c r="K191">
        <v>35</v>
      </c>
      <c r="L191">
        <v>31</v>
      </c>
      <c r="M191" s="17">
        <v>0.88571428571428568</v>
      </c>
      <c r="N191" s="25">
        <v>11703.25</v>
      </c>
      <c r="O191" s="25">
        <v>2251.5</v>
      </c>
      <c r="P191" s="25">
        <v>5775</v>
      </c>
      <c r="Q191" s="25">
        <v>19729.75</v>
      </c>
      <c r="R191" s="18">
        <v>83.247890295358644</v>
      </c>
    </row>
    <row r="192" spans="1:18" x14ac:dyDescent="0.35">
      <c r="A192" s="13">
        <v>46088</v>
      </c>
      <c r="B192">
        <v>2026</v>
      </c>
      <c r="C192">
        <v>3</v>
      </c>
      <c r="D192" t="s">
        <v>70</v>
      </c>
      <c r="E192" t="s">
        <v>72</v>
      </c>
      <c r="F192">
        <v>236</v>
      </c>
      <c r="G192">
        <v>236</v>
      </c>
      <c r="H192">
        <v>0</v>
      </c>
      <c r="I192">
        <v>13</v>
      </c>
      <c r="J192" s="17">
        <v>0.69822485207100593</v>
      </c>
      <c r="K192">
        <v>35</v>
      </c>
      <c r="L192">
        <v>34</v>
      </c>
      <c r="M192" s="17">
        <v>0.97142857142857142</v>
      </c>
      <c r="N192" s="25">
        <v>11703.25</v>
      </c>
      <c r="O192" s="25">
        <v>2242</v>
      </c>
      <c r="P192" s="25">
        <v>5775</v>
      </c>
      <c r="Q192" s="25">
        <v>19720.25</v>
      </c>
      <c r="R192" s="18">
        <v>83.560381355932208</v>
      </c>
    </row>
    <row r="193" spans="1:18" x14ac:dyDescent="0.35">
      <c r="A193" s="13">
        <v>46095</v>
      </c>
      <c r="B193">
        <v>2026</v>
      </c>
      <c r="C193">
        <v>3</v>
      </c>
      <c r="D193" t="s">
        <v>70</v>
      </c>
      <c r="E193" t="s">
        <v>72</v>
      </c>
      <c r="F193">
        <v>218</v>
      </c>
      <c r="G193">
        <v>218</v>
      </c>
      <c r="H193">
        <v>0</v>
      </c>
      <c r="I193">
        <v>12</v>
      </c>
      <c r="J193" s="17">
        <v>0.69871794871794868</v>
      </c>
      <c r="K193">
        <v>35</v>
      </c>
      <c r="L193">
        <v>34</v>
      </c>
      <c r="M193" s="17">
        <v>0.97142857142857142</v>
      </c>
      <c r="N193" s="25">
        <v>10803</v>
      </c>
      <c r="O193" s="25">
        <v>2071</v>
      </c>
      <c r="P193" s="25">
        <v>5775</v>
      </c>
      <c r="Q193" s="25">
        <v>18649</v>
      </c>
      <c r="R193" s="18">
        <v>85.545871559633028</v>
      </c>
    </row>
    <row r="194" spans="1:18" x14ac:dyDescent="0.35">
      <c r="A194" s="13">
        <v>46102</v>
      </c>
      <c r="B194">
        <v>2026</v>
      </c>
      <c r="C194">
        <v>3</v>
      </c>
      <c r="D194" t="s">
        <v>70</v>
      </c>
      <c r="E194" t="s">
        <v>72</v>
      </c>
      <c r="F194">
        <v>231</v>
      </c>
      <c r="G194">
        <v>231</v>
      </c>
      <c r="H194">
        <v>0</v>
      </c>
      <c r="I194">
        <v>11</v>
      </c>
      <c r="J194" s="17">
        <v>0.80769230769230771</v>
      </c>
      <c r="K194">
        <v>35</v>
      </c>
      <c r="L194">
        <v>32</v>
      </c>
      <c r="M194" s="17">
        <v>0.91428571428571426</v>
      </c>
      <c r="N194" s="25">
        <v>9902.75</v>
      </c>
      <c r="O194" s="25">
        <v>2194.5</v>
      </c>
      <c r="P194" s="25">
        <v>5775</v>
      </c>
      <c r="Q194" s="25">
        <v>17872.25</v>
      </c>
      <c r="R194" s="18">
        <v>77.36904761904762</v>
      </c>
    </row>
    <row r="195" spans="1:18" x14ac:dyDescent="0.35">
      <c r="A195" s="13">
        <v>46109</v>
      </c>
      <c r="B195">
        <v>2026</v>
      </c>
      <c r="C195">
        <v>3</v>
      </c>
      <c r="D195" t="s">
        <v>70</v>
      </c>
      <c r="E195" t="s">
        <v>72</v>
      </c>
      <c r="F195">
        <v>211</v>
      </c>
      <c r="G195">
        <v>211</v>
      </c>
      <c r="H195">
        <v>0</v>
      </c>
      <c r="I195">
        <v>11</v>
      </c>
      <c r="J195" s="17">
        <v>0.73776223776223782</v>
      </c>
      <c r="K195">
        <v>35</v>
      </c>
      <c r="L195">
        <v>34</v>
      </c>
      <c r="M195" s="17">
        <v>0.97142857142857142</v>
      </c>
      <c r="N195" s="25">
        <v>9902.75</v>
      </c>
      <c r="O195" s="25">
        <v>2004.5</v>
      </c>
      <c r="P195" s="25">
        <v>5775</v>
      </c>
      <c r="Q195" s="25">
        <v>17682.25</v>
      </c>
      <c r="R195" s="18">
        <v>83.802132701421797</v>
      </c>
    </row>
    <row r="196" spans="1:18" x14ac:dyDescent="0.35">
      <c r="A196" s="13">
        <v>46116</v>
      </c>
      <c r="B196">
        <v>2026</v>
      </c>
      <c r="C196">
        <v>4</v>
      </c>
      <c r="D196" t="s">
        <v>70</v>
      </c>
      <c r="E196" t="s">
        <v>72</v>
      </c>
      <c r="F196">
        <v>237</v>
      </c>
      <c r="G196">
        <v>237</v>
      </c>
      <c r="H196">
        <v>0</v>
      </c>
      <c r="I196">
        <v>12</v>
      </c>
      <c r="J196" s="17">
        <v>0.75961538461538458</v>
      </c>
      <c r="K196">
        <v>35</v>
      </c>
      <c r="L196">
        <v>35</v>
      </c>
      <c r="M196" s="17">
        <v>1</v>
      </c>
      <c r="N196" s="25">
        <v>10803</v>
      </c>
      <c r="O196" s="25">
        <v>2251.5</v>
      </c>
      <c r="P196" s="25">
        <v>5775</v>
      </c>
      <c r="Q196" s="25">
        <v>18829.5</v>
      </c>
      <c r="R196" s="18">
        <v>79.449367088607602</v>
      </c>
    </row>
    <row r="197" spans="1:18" x14ac:dyDescent="0.35">
      <c r="A197" s="13">
        <v>46123</v>
      </c>
      <c r="B197">
        <v>2026</v>
      </c>
      <c r="C197">
        <v>4</v>
      </c>
      <c r="D197" t="s">
        <v>70</v>
      </c>
      <c r="E197" t="s">
        <v>72</v>
      </c>
      <c r="F197">
        <v>235</v>
      </c>
      <c r="G197">
        <v>235</v>
      </c>
      <c r="H197">
        <v>0</v>
      </c>
      <c r="I197">
        <v>13</v>
      </c>
      <c r="J197" s="17">
        <v>0.69526627218934911</v>
      </c>
      <c r="K197">
        <v>35</v>
      </c>
      <c r="L197">
        <v>34</v>
      </c>
      <c r="M197" s="17">
        <v>0.97142857142857142</v>
      </c>
      <c r="N197" s="25">
        <v>11703.25</v>
      </c>
      <c r="O197" s="25">
        <v>2232.5</v>
      </c>
      <c r="P197" s="25">
        <v>5775</v>
      </c>
      <c r="Q197" s="25">
        <v>19710.75</v>
      </c>
      <c r="R197" s="18">
        <v>83.875531914893614</v>
      </c>
    </row>
    <row r="198" spans="1:18" x14ac:dyDescent="0.35">
      <c r="A198" s="13">
        <v>46130</v>
      </c>
      <c r="B198">
        <v>2026</v>
      </c>
      <c r="C198">
        <v>4</v>
      </c>
      <c r="D198" t="s">
        <v>70</v>
      </c>
      <c r="E198" t="s">
        <v>72</v>
      </c>
      <c r="F198">
        <v>231</v>
      </c>
      <c r="G198">
        <v>231</v>
      </c>
      <c r="H198">
        <v>0</v>
      </c>
      <c r="I198">
        <v>13</v>
      </c>
      <c r="J198" s="17">
        <v>0.68343195266272194</v>
      </c>
      <c r="K198">
        <v>35</v>
      </c>
      <c r="L198">
        <v>31</v>
      </c>
      <c r="M198" s="17">
        <v>0.88571428571428568</v>
      </c>
      <c r="N198" s="25">
        <v>11703.25</v>
      </c>
      <c r="O198" s="25">
        <v>2194.5</v>
      </c>
      <c r="P198" s="25">
        <v>5775</v>
      </c>
      <c r="Q198" s="25">
        <v>19672.75</v>
      </c>
      <c r="R198" s="18">
        <v>85.163419913419915</v>
      </c>
    </row>
    <row r="199" spans="1:18" x14ac:dyDescent="0.35">
      <c r="A199" s="13">
        <v>46137</v>
      </c>
      <c r="B199">
        <v>2026</v>
      </c>
      <c r="C199">
        <v>4</v>
      </c>
      <c r="D199" t="s">
        <v>70</v>
      </c>
      <c r="E199" t="s">
        <v>72</v>
      </c>
      <c r="F199">
        <v>243</v>
      </c>
      <c r="G199">
        <v>243</v>
      </c>
      <c r="H199">
        <v>0</v>
      </c>
      <c r="I199">
        <v>12</v>
      </c>
      <c r="J199" s="17">
        <v>0.77884615384615385</v>
      </c>
      <c r="K199">
        <v>35</v>
      </c>
      <c r="L199">
        <v>30</v>
      </c>
      <c r="M199" s="17">
        <v>0.8571428571428571</v>
      </c>
      <c r="N199" s="25">
        <v>10803</v>
      </c>
      <c r="O199" s="25">
        <v>2308.5</v>
      </c>
      <c r="P199" s="25">
        <v>5775</v>
      </c>
      <c r="Q199" s="25">
        <v>18886.5</v>
      </c>
      <c r="R199" s="18">
        <v>77.722222222222229</v>
      </c>
    </row>
    <row r="200" spans="1:18" x14ac:dyDescent="0.35">
      <c r="A200" s="13">
        <v>46144</v>
      </c>
      <c r="B200">
        <v>2026</v>
      </c>
      <c r="C200">
        <v>5</v>
      </c>
      <c r="D200" t="s">
        <v>70</v>
      </c>
      <c r="E200" t="s">
        <v>72</v>
      </c>
      <c r="F200">
        <v>248</v>
      </c>
      <c r="G200">
        <v>248</v>
      </c>
      <c r="H200">
        <v>0</v>
      </c>
      <c r="I200">
        <v>14</v>
      </c>
      <c r="J200" s="17">
        <v>0.68131868131868134</v>
      </c>
      <c r="K200">
        <v>35</v>
      </c>
      <c r="L200">
        <v>34</v>
      </c>
      <c r="M200" s="17">
        <v>0.97142857142857142</v>
      </c>
      <c r="N200" s="25">
        <v>12603.5</v>
      </c>
      <c r="O200" s="25">
        <v>2356</v>
      </c>
      <c r="P200" s="25">
        <v>5775</v>
      </c>
      <c r="Q200" s="25">
        <v>20734.5</v>
      </c>
      <c r="R200" s="18">
        <v>83.60685483870968</v>
      </c>
    </row>
    <row r="201" spans="1:18" x14ac:dyDescent="0.35">
      <c r="A201" s="13">
        <v>46151</v>
      </c>
      <c r="B201">
        <v>2026</v>
      </c>
      <c r="C201">
        <v>5</v>
      </c>
      <c r="D201" t="s">
        <v>70</v>
      </c>
      <c r="E201" t="s">
        <v>72</v>
      </c>
      <c r="F201">
        <v>253</v>
      </c>
      <c r="G201">
        <v>253</v>
      </c>
      <c r="H201">
        <v>0</v>
      </c>
      <c r="I201">
        <v>13</v>
      </c>
      <c r="J201" s="17">
        <v>0.74852071005917165</v>
      </c>
      <c r="K201">
        <v>35</v>
      </c>
      <c r="L201">
        <v>33</v>
      </c>
      <c r="M201" s="17">
        <v>0.94285714285714284</v>
      </c>
      <c r="N201" s="25">
        <v>11703.25</v>
      </c>
      <c r="O201" s="25">
        <v>2403.5</v>
      </c>
      <c r="P201" s="25">
        <v>5775</v>
      </c>
      <c r="Q201" s="25">
        <v>19881.75</v>
      </c>
      <c r="R201" s="18">
        <v>78.583992094861657</v>
      </c>
    </row>
    <row r="202" spans="1:18" x14ac:dyDescent="0.35">
      <c r="A202" s="13">
        <v>46158</v>
      </c>
      <c r="B202">
        <v>2026</v>
      </c>
      <c r="C202">
        <v>5</v>
      </c>
      <c r="D202" t="s">
        <v>70</v>
      </c>
      <c r="E202" t="s">
        <v>72</v>
      </c>
      <c r="F202">
        <v>257</v>
      </c>
      <c r="G202">
        <v>257</v>
      </c>
      <c r="H202">
        <v>0</v>
      </c>
      <c r="I202">
        <v>14</v>
      </c>
      <c r="J202" s="17">
        <v>0.70604395604395609</v>
      </c>
      <c r="K202">
        <v>35</v>
      </c>
      <c r="L202">
        <v>34</v>
      </c>
      <c r="M202" s="17">
        <v>0.97142857142857142</v>
      </c>
      <c r="N202" s="25">
        <v>12603.5</v>
      </c>
      <c r="O202" s="25">
        <v>2441.5</v>
      </c>
      <c r="P202" s="25">
        <v>5775</v>
      </c>
      <c r="Q202" s="25">
        <v>20820</v>
      </c>
      <c r="R202" s="18">
        <v>81.011673151750969</v>
      </c>
    </row>
    <row r="203" spans="1:18" x14ac:dyDescent="0.35">
      <c r="A203" s="13">
        <v>46165</v>
      </c>
      <c r="B203">
        <v>2026</v>
      </c>
      <c r="C203">
        <v>5</v>
      </c>
      <c r="D203" t="s">
        <v>70</v>
      </c>
      <c r="E203" t="s">
        <v>72</v>
      </c>
      <c r="F203">
        <v>244</v>
      </c>
      <c r="G203">
        <v>244</v>
      </c>
      <c r="H203">
        <v>0</v>
      </c>
      <c r="I203">
        <v>13</v>
      </c>
      <c r="J203" s="17">
        <v>0.72189349112426038</v>
      </c>
      <c r="K203">
        <v>35</v>
      </c>
      <c r="L203">
        <v>33</v>
      </c>
      <c r="M203" s="17">
        <v>0.94285714285714284</v>
      </c>
      <c r="N203" s="25">
        <v>11703.25</v>
      </c>
      <c r="O203" s="25">
        <v>2318</v>
      </c>
      <c r="P203" s="25">
        <v>5775</v>
      </c>
      <c r="Q203" s="25">
        <v>19796.25</v>
      </c>
      <c r="R203" s="18">
        <v>81.132172131147541</v>
      </c>
    </row>
    <row r="204" spans="1:18" x14ac:dyDescent="0.35">
      <c r="A204" s="13">
        <v>46172</v>
      </c>
      <c r="B204">
        <v>2026</v>
      </c>
      <c r="C204">
        <v>5</v>
      </c>
      <c r="D204" t="s">
        <v>70</v>
      </c>
      <c r="E204" t="s">
        <v>72</v>
      </c>
      <c r="F204">
        <v>245</v>
      </c>
      <c r="G204">
        <v>245</v>
      </c>
      <c r="H204">
        <v>0</v>
      </c>
      <c r="I204">
        <v>13</v>
      </c>
      <c r="J204" s="17">
        <v>0.7248520710059172</v>
      </c>
      <c r="K204">
        <v>35</v>
      </c>
      <c r="L204">
        <v>35</v>
      </c>
      <c r="M204" s="17">
        <v>1</v>
      </c>
      <c r="N204" s="25">
        <v>11703.25</v>
      </c>
      <c r="O204" s="25">
        <v>2327.5</v>
      </c>
      <c r="P204" s="25">
        <v>5775</v>
      </c>
      <c r="Q204" s="25">
        <v>19805.75</v>
      </c>
      <c r="R204" s="18">
        <v>80.839795918367344</v>
      </c>
    </row>
    <row r="205" spans="1:18" x14ac:dyDescent="0.35">
      <c r="A205" s="13">
        <v>46179</v>
      </c>
      <c r="B205">
        <v>2026</v>
      </c>
      <c r="C205">
        <v>6</v>
      </c>
      <c r="D205" t="s">
        <v>70</v>
      </c>
      <c r="E205" t="s">
        <v>72</v>
      </c>
      <c r="F205">
        <v>234</v>
      </c>
      <c r="G205">
        <v>234</v>
      </c>
      <c r="H205">
        <v>0</v>
      </c>
      <c r="I205">
        <v>13</v>
      </c>
      <c r="J205" s="17">
        <v>0.69230769230769229</v>
      </c>
      <c r="K205">
        <v>35</v>
      </c>
      <c r="L205">
        <v>34</v>
      </c>
      <c r="M205" s="17">
        <v>0.97142857142857142</v>
      </c>
      <c r="N205" s="25">
        <v>11703.25</v>
      </c>
      <c r="O205" s="25">
        <v>2223</v>
      </c>
      <c r="P205" s="25">
        <v>5775</v>
      </c>
      <c r="Q205" s="25">
        <v>19701.25</v>
      </c>
      <c r="R205" s="18">
        <v>84.193376068376068</v>
      </c>
    </row>
    <row r="206" spans="1:18" x14ac:dyDescent="0.35">
      <c r="A206" s="13">
        <v>46186</v>
      </c>
      <c r="B206">
        <v>2026</v>
      </c>
      <c r="C206">
        <v>6</v>
      </c>
      <c r="D206" t="s">
        <v>70</v>
      </c>
      <c r="E206" t="s">
        <v>72</v>
      </c>
      <c r="F206">
        <v>223</v>
      </c>
      <c r="G206">
        <v>223</v>
      </c>
      <c r="H206">
        <v>0</v>
      </c>
      <c r="I206">
        <v>12</v>
      </c>
      <c r="J206" s="17">
        <v>0.71474358974358976</v>
      </c>
      <c r="K206">
        <v>35</v>
      </c>
      <c r="L206">
        <v>30</v>
      </c>
      <c r="M206" s="17">
        <v>0.8571428571428571</v>
      </c>
      <c r="N206" s="25">
        <v>10803</v>
      </c>
      <c r="O206" s="25">
        <v>2118.5</v>
      </c>
      <c r="P206" s="25">
        <v>5775</v>
      </c>
      <c r="Q206" s="25">
        <v>18696.5</v>
      </c>
      <c r="R206" s="18">
        <v>83.840807174887885</v>
      </c>
    </row>
    <row r="207" spans="1:18" x14ac:dyDescent="0.35">
      <c r="A207" s="13">
        <v>46193</v>
      </c>
      <c r="B207">
        <v>2026</v>
      </c>
      <c r="C207">
        <v>6</v>
      </c>
      <c r="D207" t="s">
        <v>70</v>
      </c>
      <c r="E207" t="s">
        <v>72</v>
      </c>
      <c r="F207">
        <v>237</v>
      </c>
      <c r="G207">
        <v>237</v>
      </c>
      <c r="H207">
        <v>0</v>
      </c>
      <c r="I207">
        <v>12</v>
      </c>
      <c r="J207" s="17">
        <v>0.75961538461538458</v>
      </c>
      <c r="K207">
        <v>35</v>
      </c>
      <c r="L207">
        <v>35</v>
      </c>
      <c r="M207" s="17">
        <v>1</v>
      </c>
      <c r="N207" s="25">
        <v>10803</v>
      </c>
      <c r="O207" s="25">
        <v>2251.5</v>
      </c>
      <c r="P207" s="25">
        <v>5775</v>
      </c>
      <c r="Q207" s="25">
        <v>18829.5</v>
      </c>
      <c r="R207" s="18">
        <v>79.449367088607602</v>
      </c>
    </row>
    <row r="208" spans="1:18" x14ac:dyDescent="0.35">
      <c r="A208" s="13">
        <v>46200</v>
      </c>
      <c r="B208">
        <v>2026</v>
      </c>
      <c r="C208">
        <v>6</v>
      </c>
      <c r="D208" t="s">
        <v>70</v>
      </c>
      <c r="E208" t="s">
        <v>72</v>
      </c>
      <c r="F208">
        <v>235</v>
      </c>
      <c r="G208">
        <v>235</v>
      </c>
      <c r="H208">
        <v>0</v>
      </c>
      <c r="I208">
        <v>13</v>
      </c>
      <c r="J208" s="17">
        <v>0.69526627218934911</v>
      </c>
      <c r="K208">
        <v>35</v>
      </c>
      <c r="L208">
        <v>34</v>
      </c>
      <c r="M208" s="17">
        <v>0.97142857142857142</v>
      </c>
      <c r="N208" s="25">
        <v>11703.25</v>
      </c>
      <c r="O208" s="25">
        <v>2232.5</v>
      </c>
      <c r="P208" s="25">
        <v>5775</v>
      </c>
      <c r="Q208" s="25">
        <v>19710.75</v>
      </c>
      <c r="R208" s="18">
        <v>83.875531914893614</v>
      </c>
    </row>
    <row r="209" spans="1:18" x14ac:dyDescent="0.35">
      <c r="A209" s="13">
        <v>46207</v>
      </c>
      <c r="B209">
        <v>2026</v>
      </c>
      <c r="C209">
        <v>7</v>
      </c>
      <c r="D209" t="s">
        <v>70</v>
      </c>
      <c r="E209" t="s">
        <v>72</v>
      </c>
      <c r="F209">
        <v>222</v>
      </c>
      <c r="G209">
        <v>222</v>
      </c>
      <c r="H209">
        <v>0</v>
      </c>
      <c r="I209">
        <v>11</v>
      </c>
      <c r="J209" s="17">
        <v>0.77622377622377625</v>
      </c>
      <c r="K209">
        <v>35</v>
      </c>
      <c r="L209">
        <v>35</v>
      </c>
      <c r="M209" s="17">
        <v>1</v>
      </c>
      <c r="N209" s="25">
        <v>9902.75</v>
      </c>
      <c r="O209" s="25">
        <v>2109</v>
      </c>
      <c r="P209" s="25">
        <v>5775</v>
      </c>
      <c r="Q209" s="25">
        <v>17786.75</v>
      </c>
      <c r="R209" s="18">
        <v>80.12049549549549</v>
      </c>
    </row>
    <row r="210" spans="1:18" x14ac:dyDescent="0.35">
      <c r="A210" s="13">
        <v>46214</v>
      </c>
      <c r="B210">
        <v>2026</v>
      </c>
      <c r="C210">
        <v>7</v>
      </c>
      <c r="D210" t="s">
        <v>70</v>
      </c>
      <c r="E210" t="s">
        <v>72</v>
      </c>
      <c r="F210">
        <v>233</v>
      </c>
      <c r="G210">
        <v>233</v>
      </c>
      <c r="H210">
        <v>0</v>
      </c>
      <c r="I210">
        <v>12</v>
      </c>
      <c r="J210" s="17">
        <v>0.74679487179487181</v>
      </c>
      <c r="K210">
        <v>35</v>
      </c>
      <c r="L210">
        <v>34</v>
      </c>
      <c r="M210" s="17">
        <v>0.97142857142857142</v>
      </c>
      <c r="N210" s="25">
        <v>10803</v>
      </c>
      <c r="O210" s="25">
        <v>2213.5</v>
      </c>
      <c r="P210" s="25">
        <v>5775</v>
      </c>
      <c r="Q210" s="25">
        <v>18791.5</v>
      </c>
      <c r="R210" s="18">
        <v>80.650214592274679</v>
      </c>
    </row>
    <row r="211" spans="1:18" x14ac:dyDescent="0.35">
      <c r="A211" s="13">
        <v>46221</v>
      </c>
      <c r="B211">
        <v>2026</v>
      </c>
      <c r="C211">
        <v>7</v>
      </c>
      <c r="D211" t="s">
        <v>70</v>
      </c>
      <c r="E211" t="s">
        <v>72</v>
      </c>
      <c r="F211">
        <v>239</v>
      </c>
      <c r="G211">
        <v>239</v>
      </c>
      <c r="H211">
        <v>0</v>
      </c>
      <c r="I211">
        <v>13</v>
      </c>
      <c r="J211" s="17">
        <v>0.70710059171597628</v>
      </c>
      <c r="K211">
        <v>35</v>
      </c>
      <c r="L211">
        <v>34</v>
      </c>
      <c r="M211" s="17">
        <v>0.97142857142857142</v>
      </c>
      <c r="N211" s="25">
        <v>11703.25</v>
      </c>
      <c r="O211" s="25">
        <v>2270.5</v>
      </c>
      <c r="P211" s="25">
        <v>5775</v>
      </c>
      <c r="Q211" s="25">
        <v>19748.75</v>
      </c>
      <c r="R211" s="18">
        <v>82.63075313807532</v>
      </c>
    </row>
    <row r="212" spans="1:18" x14ac:dyDescent="0.35">
      <c r="A212" s="13">
        <v>46228</v>
      </c>
      <c r="B212">
        <v>2026</v>
      </c>
      <c r="C212">
        <v>7</v>
      </c>
      <c r="D212" t="s">
        <v>70</v>
      </c>
      <c r="E212" t="s">
        <v>72</v>
      </c>
      <c r="F212">
        <v>245</v>
      </c>
      <c r="G212">
        <v>245</v>
      </c>
      <c r="H212">
        <v>0</v>
      </c>
      <c r="I212">
        <v>13</v>
      </c>
      <c r="J212" s="17">
        <v>0.7248520710059172</v>
      </c>
      <c r="K212">
        <v>35</v>
      </c>
      <c r="L212">
        <v>35</v>
      </c>
      <c r="M212" s="17">
        <v>1</v>
      </c>
      <c r="N212" s="25">
        <v>11703.25</v>
      </c>
      <c r="O212" s="25">
        <v>2327.5</v>
      </c>
      <c r="P212" s="25">
        <v>5775</v>
      </c>
      <c r="Q212" s="25">
        <v>19805.75</v>
      </c>
      <c r="R212" s="18">
        <v>80.839795918367344</v>
      </c>
    </row>
    <row r="213" spans="1:18" x14ac:dyDescent="0.35">
      <c r="A213" s="13">
        <v>44779</v>
      </c>
      <c r="B213">
        <v>2022</v>
      </c>
      <c r="C213">
        <v>8</v>
      </c>
      <c r="D213" t="s">
        <v>73</v>
      </c>
      <c r="E213" t="s">
        <v>72</v>
      </c>
      <c r="F213">
        <v>194</v>
      </c>
      <c r="G213">
        <v>194</v>
      </c>
      <c r="H213">
        <v>0</v>
      </c>
      <c r="I213">
        <v>10</v>
      </c>
      <c r="J213" s="17">
        <v>0.74615384615384617</v>
      </c>
      <c r="K213">
        <v>40</v>
      </c>
      <c r="L213">
        <v>40</v>
      </c>
      <c r="M213" s="17">
        <v>1</v>
      </c>
      <c r="N213" s="25">
        <v>8545</v>
      </c>
      <c r="O213" s="25">
        <v>1988.5</v>
      </c>
      <c r="P213" s="25">
        <v>7200</v>
      </c>
      <c r="Q213" s="25">
        <v>17733.5</v>
      </c>
      <c r="R213" s="18">
        <v>91.409793814432987</v>
      </c>
    </row>
    <row r="214" spans="1:18" x14ac:dyDescent="0.35">
      <c r="A214" s="13">
        <v>44786</v>
      </c>
      <c r="B214">
        <v>2022</v>
      </c>
      <c r="C214">
        <v>8</v>
      </c>
      <c r="D214" t="s">
        <v>73</v>
      </c>
      <c r="E214" t="s">
        <v>72</v>
      </c>
      <c r="F214">
        <v>206</v>
      </c>
      <c r="G214">
        <v>206</v>
      </c>
      <c r="H214">
        <v>0</v>
      </c>
      <c r="I214">
        <v>10</v>
      </c>
      <c r="J214" s="17">
        <v>0.79230769230769227</v>
      </c>
      <c r="K214">
        <v>40</v>
      </c>
      <c r="L214">
        <v>40</v>
      </c>
      <c r="M214" s="17">
        <v>1</v>
      </c>
      <c r="N214" s="25">
        <v>8545</v>
      </c>
      <c r="O214" s="25">
        <v>2111.5</v>
      </c>
      <c r="P214" s="25">
        <v>7200</v>
      </c>
      <c r="Q214" s="25">
        <v>17856.5</v>
      </c>
      <c r="R214" s="18">
        <v>86.682038834951456</v>
      </c>
    </row>
    <row r="215" spans="1:18" x14ac:dyDescent="0.35">
      <c r="A215" s="13">
        <v>44793</v>
      </c>
      <c r="B215">
        <v>2022</v>
      </c>
      <c r="C215">
        <v>8</v>
      </c>
      <c r="D215" t="s">
        <v>73</v>
      </c>
      <c r="E215" t="s">
        <v>72</v>
      </c>
      <c r="F215">
        <v>197</v>
      </c>
      <c r="G215">
        <v>197</v>
      </c>
      <c r="H215">
        <v>0</v>
      </c>
      <c r="I215">
        <v>10</v>
      </c>
      <c r="J215" s="17">
        <v>0.75769230769230766</v>
      </c>
      <c r="K215">
        <v>40</v>
      </c>
      <c r="L215">
        <v>38</v>
      </c>
      <c r="M215" s="17">
        <v>0.95</v>
      </c>
      <c r="N215" s="25">
        <v>8545</v>
      </c>
      <c r="O215" s="25">
        <v>2019.25</v>
      </c>
      <c r="P215" s="25">
        <v>7200</v>
      </c>
      <c r="Q215" s="25">
        <v>17764.25</v>
      </c>
      <c r="R215" s="18">
        <v>90.173857868020306</v>
      </c>
    </row>
    <row r="216" spans="1:18" x14ac:dyDescent="0.35">
      <c r="A216" s="13">
        <v>44800</v>
      </c>
      <c r="B216">
        <v>2022</v>
      </c>
      <c r="C216">
        <v>8</v>
      </c>
      <c r="D216" t="s">
        <v>73</v>
      </c>
      <c r="E216" t="s">
        <v>72</v>
      </c>
      <c r="F216">
        <v>194</v>
      </c>
      <c r="G216">
        <v>194</v>
      </c>
      <c r="H216">
        <v>0</v>
      </c>
      <c r="I216">
        <v>10</v>
      </c>
      <c r="J216" s="17">
        <v>0.74615384615384617</v>
      </c>
      <c r="K216">
        <v>40</v>
      </c>
      <c r="L216">
        <v>40</v>
      </c>
      <c r="M216" s="17">
        <v>1</v>
      </c>
      <c r="N216" s="25">
        <v>8545</v>
      </c>
      <c r="O216" s="25">
        <v>1988.5</v>
      </c>
      <c r="P216" s="25">
        <v>7200</v>
      </c>
      <c r="Q216" s="25">
        <v>17733.5</v>
      </c>
      <c r="R216" s="18">
        <v>91.409793814432987</v>
      </c>
    </row>
    <row r="217" spans="1:18" x14ac:dyDescent="0.35">
      <c r="A217" s="13">
        <v>44807</v>
      </c>
      <c r="B217">
        <v>2022</v>
      </c>
      <c r="C217">
        <v>9</v>
      </c>
      <c r="D217" t="s">
        <v>73</v>
      </c>
      <c r="E217" t="s">
        <v>72</v>
      </c>
      <c r="F217">
        <v>181</v>
      </c>
      <c r="G217">
        <v>181</v>
      </c>
      <c r="H217">
        <v>0</v>
      </c>
      <c r="I217">
        <v>10</v>
      </c>
      <c r="J217" s="17">
        <v>0.69615384615384612</v>
      </c>
      <c r="K217">
        <v>40</v>
      </c>
      <c r="L217">
        <v>37</v>
      </c>
      <c r="M217" s="17">
        <v>0.92500000000000004</v>
      </c>
      <c r="N217" s="25">
        <v>8545</v>
      </c>
      <c r="O217" s="25">
        <v>1855.25</v>
      </c>
      <c r="P217" s="25">
        <v>7200</v>
      </c>
      <c r="Q217" s="25">
        <v>17600.25</v>
      </c>
      <c r="R217" s="18">
        <v>97.238950276243088</v>
      </c>
    </row>
    <row r="218" spans="1:18" x14ac:dyDescent="0.35">
      <c r="A218" s="13">
        <v>44814</v>
      </c>
      <c r="B218">
        <v>2022</v>
      </c>
      <c r="C218">
        <v>9</v>
      </c>
      <c r="D218" t="s">
        <v>73</v>
      </c>
      <c r="E218" t="s">
        <v>72</v>
      </c>
      <c r="F218">
        <v>183</v>
      </c>
      <c r="G218">
        <v>183</v>
      </c>
      <c r="H218">
        <v>0</v>
      </c>
      <c r="I218">
        <v>10</v>
      </c>
      <c r="J218" s="17">
        <v>0.7038461538461539</v>
      </c>
      <c r="K218">
        <v>40</v>
      </c>
      <c r="L218">
        <v>39</v>
      </c>
      <c r="M218" s="17">
        <v>0.97499999999999998</v>
      </c>
      <c r="N218" s="25">
        <v>8545</v>
      </c>
      <c r="O218" s="25">
        <v>1875.75</v>
      </c>
      <c r="P218" s="25">
        <v>7200</v>
      </c>
      <c r="Q218" s="25">
        <v>17620.75</v>
      </c>
      <c r="R218" s="18">
        <v>96.288251366120221</v>
      </c>
    </row>
    <row r="219" spans="1:18" x14ac:dyDescent="0.35">
      <c r="A219" s="13">
        <v>44821</v>
      </c>
      <c r="B219">
        <v>2022</v>
      </c>
      <c r="C219">
        <v>9</v>
      </c>
      <c r="D219" t="s">
        <v>73</v>
      </c>
      <c r="E219" t="s">
        <v>72</v>
      </c>
      <c r="F219">
        <v>183</v>
      </c>
      <c r="G219">
        <v>183</v>
      </c>
      <c r="H219">
        <v>0</v>
      </c>
      <c r="I219">
        <v>10</v>
      </c>
      <c r="J219" s="17">
        <v>0.7038461538461539</v>
      </c>
      <c r="K219">
        <v>40</v>
      </c>
      <c r="L219">
        <v>39</v>
      </c>
      <c r="M219" s="17">
        <v>0.97499999999999998</v>
      </c>
      <c r="N219" s="25">
        <v>8545</v>
      </c>
      <c r="O219" s="25">
        <v>1875.75</v>
      </c>
      <c r="P219" s="25">
        <v>7200</v>
      </c>
      <c r="Q219" s="25">
        <v>17620.75</v>
      </c>
      <c r="R219" s="18">
        <v>96.288251366120221</v>
      </c>
    </row>
    <row r="220" spans="1:18" x14ac:dyDescent="0.35">
      <c r="A220" s="13">
        <v>44828</v>
      </c>
      <c r="B220">
        <v>2022</v>
      </c>
      <c r="C220">
        <v>9</v>
      </c>
      <c r="D220" t="s">
        <v>73</v>
      </c>
      <c r="E220" t="s">
        <v>72</v>
      </c>
      <c r="F220">
        <v>175</v>
      </c>
      <c r="G220">
        <v>175</v>
      </c>
      <c r="H220">
        <v>0</v>
      </c>
      <c r="I220">
        <v>10</v>
      </c>
      <c r="J220" s="17">
        <v>0.67307692307692313</v>
      </c>
      <c r="K220">
        <v>40</v>
      </c>
      <c r="L220">
        <v>38</v>
      </c>
      <c r="M220" s="17">
        <v>0.95</v>
      </c>
      <c r="N220" s="25">
        <v>8545</v>
      </c>
      <c r="O220" s="25">
        <v>1793.75</v>
      </c>
      <c r="P220" s="25">
        <v>7200</v>
      </c>
      <c r="Q220" s="25">
        <v>17538.75</v>
      </c>
      <c r="R220" s="18">
        <v>100.2214285714286</v>
      </c>
    </row>
    <row r="221" spans="1:18" x14ac:dyDescent="0.35">
      <c r="A221" s="13">
        <v>44835</v>
      </c>
      <c r="B221">
        <v>2022</v>
      </c>
      <c r="C221">
        <v>10</v>
      </c>
      <c r="D221" t="s">
        <v>73</v>
      </c>
      <c r="E221" t="s">
        <v>72</v>
      </c>
      <c r="F221">
        <v>181</v>
      </c>
      <c r="G221">
        <v>181</v>
      </c>
      <c r="H221">
        <v>0</v>
      </c>
      <c r="I221">
        <v>10</v>
      </c>
      <c r="J221" s="17">
        <v>0.69615384615384612</v>
      </c>
      <c r="K221">
        <v>40</v>
      </c>
      <c r="L221">
        <v>36</v>
      </c>
      <c r="M221" s="17">
        <v>0.9</v>
      </c>
      <c r="N221" s="25">
        <v>8545</v>
      </c>
      <c r="O221" s="25">
        <v>1855.25</v>
      </c>
      <c r="P221" s="25">
        <v>7200</v>
      </c>
      <c r="Q221" s="25">
        <v>17600.25</v>
      </c>
      <c r="R221" s="18">
        <v>97.238950276243088</v>
      </c>
    </row>
    <row r="222" spans="1:18" x14ac:dyDescent="0.35">
      <c r="A222" s="13">
        <v>44842</v>
      </c>
      <c r="B222">
        <v>2022</v>
      </c>
      <c r="C222">
        <v>10</v>
      </c>
      <c r="D222" t="s">
        <v>73</v>
      </c>
      <c r="E222" t="s">
        <v>72</v>
      </c>
      <c r="F222">
        <v>184</v>
      </c>
      <c r="G222">
        <v>184</v>
      </c>
      <c r="H222">
        <v>0</v>
      </c>
      <c r="I222">
        <v>10</v>
      </c>
      <c r="J222" s="17">
        <v>0.70769230769230773</v>
      </c>
      <c r="K222">
        <v>40</v>
      </c>
      <c r="L222">
        <v>36</v>
      </c>
      <c r="M222" s="17">
        <v>0.9</v>
      </c>
      <c r="N222" s="25">
        <v>8545</v>
      </c>
      <c r="O222" s="25">
        <v>1886</v>
      </c>
      <c r="P222" s="25">
        <v>7200</v>
      </c>
      <c r="Q222" s="25">
        <v>17631</v>
      </c>
      <c r="R222" s="18">
        <v>95.820652173913047</v>
      </c>
    </row>
    <row r="223" spans="1:18" x14ac:dyDescent="0.35">
      <c r="A223" s="13">
        <v>44849</v>
      </c>
      <c r="B223">
        <v>2022</v>
      </c>
      <c r="C223">
        <v>10</v>
      </c>
      <c r="D223" t="s">
        <v>73</v>
      </c>
      <c r="E223" t="s">
        <v>72</v>
      </c>
      <c r="F223">
        <v>177</v>
      </c>
      <c r="G223">
        <v>177</v>
      </c>
      <c r="H223">
        <v>0</v>
      </c>
      <c r="I223">
        <v>10</v>
      </c>
      <c r="J223" s="17">
        <v>0.68076923076923079</v>
      </c>
      <c r="K223">
        <v>40</v>
      </c>
      <c r="L223">
        <v>38</v>
      </c>
      <c r="M223" s="17">
        <v>0.95</v>
      </c>
      <c r="N223" s="25">
        <v>8545</v>
      </c>
      <c r="O223" s="25">
        <v>1814.25</v>
      </c>
      <c r="P223" s="25">
        <v>7200</v>
      </c>
      <c r="Q223" s="25">
        <v>17559.25</v>
      </c>
      <c r="R223" s="18">
        <v>99.204802259887003</v>
      </c>
    </row>
    <row r="224" spans="1:18" x14ac:dyDescent="0.35">
      <c r="A224" s="13">
        <v>44856</v>
      </c>
      <c r="B224">
        <v>2022</v>
      </c>
      <c r="C224">
        <v>10</v>
      </c>
      <c r="D224" t="s">
        <v>73</v>
      </c>
      <c r="E224" t="s">
        <v>72</v>
      </c>
      <c r="F224">
        <v>201</v>
      </c>
      <c r="G224">
        <v>201</v>
      </c>
      <c r="H224">
        <v>0</v>
      </c>
      <c r="I224">
        <v>10</v>
      </c>
      <c r="J224" s="17">
        <v>0.77307692307692311</v>
      </c>
      <c r="K224">
        <v>40</v>
      </c>
      <c r="L224">
        <v>40</v>
      </c>
      <c r="M224" s="17">
        <v>1</v>
      </c>
      <c r="N224" s="25">
        <v>8545</v>
      </c>
      <c r="O224" s="25">
        <v>2060.25</v>
      </c>
      <c r="P224" s="25">
        <v>7200</v>
      </c>
      <c r="Q224" s="25">
        <v>17805.25</v>
      </c>
      <c r="R224" s="18">
        <v>88.583333333333329</v>
      </c>
    </row>
    <row r="225" spans="1:18" x14ac:dyDescent="0.35">
      <c r="A225" s="13">
        <v>44863</v>
      </c>
      <c r="B225">
        <v>2022</v>
      </c>
      <c r="C225">
        <v>10</v>
      </c>
      <c r="D225" t="s">
        <v>73</v>
      </c>
      <c r="E225" t="s">
        <v>72</v>
      </c>
      <c r="F225">
        <v>204</v>
      </c>
      <c r="G225">
        <v>204</v>
      </c>
      <c r="H225">
        <v>0</v>
      </c>
      <c r="I225">
        <v>10</v>
      </c>
      <c r="J225" s="17">
        <v>0.7846153846153846</v>
      </c>
      <c r="K225">
        <v>40</v>
      </c>
      <c r="L225">
        <v>39</v>
      </c>
      <c r="M225" s="17">
        <v>0.97499999999999998</v>
      </c>
      <c r="N225" s="25">
        <v>8545</v>
      </c>
      <c r="O225" s="25">
        <v>2091</v>
      </c>
      <c r="P225" s="25">
        <v>7200</v>
      </c>
      <c r="Q225" s="25">
        <v>17836</v>
      </c>
      <c r="R225" s="18">
        <v>87.431372549019613</v>
      </c>
    </row>
    <row r="226" spans="1:18" x14ac:dyDescent="0.35">
      <c r="A226" s="13">
        <v>44870</v>
      </c>
      <c r="B226">
        <v>2022</v>
      </c>
      <c r="C226">
        <v>11</v>
      </c>
      <c r="D226" t="s">
        <v>73</v>
      </c>
      <c r="E226" t="s">
        <v>72</v>
      </c>
      <c r="F226">
        <v>212</v>
      </c>
      <c r="G226">
        <v>212</v>
      </c>
      <c r="H226">
        <v>0</v>
      </c>
      <c r="I226">
        <v>10</v>
      </c>
      <c r="J226" s="17">
        <v>0.81538461538461537</v>
      </c>
      <c r="K226">
        <v>40</v>
      </c>
      <c r="L226">
        <v>39</v>
      </c>
      <c r="M226" s="17">
        <v>0.97499999999999998</v>
      </c>
      <c r="N226" s="25">
        <v>8545</v>
      </c>
      <c r="O226" s="25">
        <v>2173</v>
      </c>
      <c r="P226" s="25">
        <v>7200</v>
      </c>
      <c r="Q226" s="25">
        <v>17918</v>
      </c>
      <c r="R226" s="18">
        <v>84.518867924528308</v>
      </c>
    </row>
    <row r="227" spans="1:18" x14ac:dyDescent="0.35">
      <c r="A227" s="13">
        <v>44877</v>
      </c>
      <c r="B227">
        <v>2022</v>
      </c>
      <c r="C227">
        <v>11</v>
      </c>
      <c r="D227" t="s">
        <v>73</v>
      </c>
      <c r="E227" t="s">
        <v>72</v>
      </c>
      <c r="F227">
        <v>220</v>
      </c>
      <c r="G227">
        <v>220</v>
      </c>
      <c r="H227">
        <v>0</v>
      </c>
      <c r="I227">
        <v>10</v>
      </c>
      <c r="J227" s="17">
        <v>0.84615384615384615</v>
      </c>
      <c r="K227">
        <v>40</v>
      </c>
      <c r="L227">
        <v>38</v>
      </c>
      <c r="M227" s="17">
        <v>0.95</v>
      </c>
      <c r="N227" s="25">
        <v>8545</v>
      </c>
      <c r="O227" s="25">
        <v>2255</v>
      </c>
      <c r="P227" s="25">
        <v>7200</v>
      </c>
      <c r="Q227" s="25">
        <v>18000</v>
      </c>
      <c r="R227" s="18">
        <v>81.818181818181813</v>
      </c>
    </row>
    <row r="228" spans="1:18" x14ac:dyDescent="0.35">
      <c r="A228" s="13">
        <v>44884</v>
      </c>
      <c r="B228">
        <v>2022</v>
      </c>
      <c r="C228">
        <v>11</v>
      </c>
      <c r="D228" t="s">
        <v>73</v>
      </c>
      <c r="E228" t="s">
        <v>72</v>
      </c>
      <c r="F228">
        <v>246</v>
      </c>
      <c r="G228">
        <v>246</v>
      </c>
      <c r="H228">
        <v>0</v>
      </c>
      <c r="I228">
        <v>13</v>
      </c>
      <c r="J228" s="17">
        <v>0.72781065088757402</v>
      </c>
      <c r="K228">
        <v>40</v>
      </c>
      <c r="L228">
        <v>39</v>
      </c>
      <c r="M228" s="17">
        <v>0.97499999999999998</v>
      </c>
      <c r="N228" s="25">
        <v>11108.5</v>
      </c>
      <c r="O228" s="25">
        <v>2521.5</v>
      </c>
      <c r="P228" s="25">
        <v>7200</v>
      </c>
      <c r="Q228" s="25">
        <v>20830</v>
      </c>
      <c r="R228" s="18">
        <v>84.674796747967477</v>
      </c>
    </row>
    <row r="229" spans="1:18" x14ac:dyDescent="0.35">
      <c r="A229" s="13">
        <v>44891</v>
      </c>
      <c r="B229">
        <v>2022</v>
      </c>
      <c r="C229">
        <v>11</v>
      </c>
      <c r="D229" t="s">
        <v>73</v>
      </c>
      <c r="E229" t="s">
        <v>72</v>
      </c>
      <c r="F229">
        <v>267</v>
      </c>
      <c r="G229">
        <v>265</v>
      </c>
      <c r="H229">
        <v>2</v>
      </c>
      <c r="I229">
        <v>12</v>
      </c>
      <c r="J229" s="17">
        <v>0.84935897435897434</v>
      </c>
      <c r="K229">
        <v>40</v>
      </c>
      <c r="L229">
        <v>39</v>
      </c>
      <c r="M229" s="17">
        <v>0.97499999999999998</v>
      </c>
      <c r="N229" s="25">
        <v>10254</v>
      </c>
      <c r="O229" s="25">
        <v>2716.25</v>
      </c>
      <c r="P229" s="25">
        <v>7200</v>
      </c>
      <c r="Q229" s="25">
        <v>20170.25</v>
      </c>
      <c r="R229" s="18">
        <v>76.114150943396226</v>
      </c>
    </row>
    <row r="230" spans="1:18" x14ac:dyDescent="0.35">
      <c r="A230" s="13">
        <v>44898</v>
      </c>
      <c r="B230">
        <v>2022</v>
      </c>
      <c r="C230">
        <v>12</v>
      </c>
      <c r="D230" t="s">
        <v>73</v>
      </c>
      <c r="E230" t="s">
        <v>72</v>
      </c>
      <c r="F230">
        <v>285</v>
      </c>
      <c r="G230">
        <v>273</v>
      </c>
      <c r="H230">
        <v>14</v>
      </c>
      <c r="I230">
        <v>14</v>
      </c>
      <c r="J230" s="17">
        <v>0.75</v>
      </c>
      <c r="K230">
        <v>40</v>
      </c>
      <c r="L230">
        <v>40</v>
      </c>
      <c r="M230" s="17">
        <v>1</v>
      </c>
      <c r="N230" s="25">
        <v>11963</v>
      </c>
      <c r="O230" s="25">
        <v>2798.25</v>
      </c>
      <c r="P230" s="25">
        <v>7200</v>
      </c>
      <c r="Q230" s="25">
        <v>21961.25</v>
      </c>
      <c r="R230" s="18">
        <v>80.444139194139197</v>
      </c>
    </row>
    <row r="231" spans="1:18" x14ac:dyDescent="0.35">
      <c r="A231" s="13">
        <v>44905</v>
      </c>
      <c r="B231">
        <v>2022</v>
      </c>
      <c r="C231">
        <v>12</v>
      </c>
      <c r="D231" t="s">
        <v>73</v>
      </c>
      <c r="E231" t="s">
        <v>72</v>
      </c>
      <c r="F231">
        <v>292</v>
      </c>
      <c r="G231">
        <v>285</v>
      </c>
      <c r="H231">
        <v>21</v>
      </c>
      <c r="I231">
        <v>14</v>
      </c>
      <c r="J231" s="17">
        <v>0.78296703296703296</v>
      </c>
      <c r="K231">
        <v>40</v>
      </c>
      <c r="L231">
        <v>38</v>
      </c>
      <c r="M231" s="17">
        <v>0.95</v>
      </c>
      <c r="N231" s="25">
        <v>11963</v>
      </c>
      <c r="O231" s="25">
        <v>2921.25</v>
      </c>
      <c r="P231" s="25">
        <v>7200</v>
      </c>
      <c r="Q231" s="25">
        <v>22084.25</v>
      </c>
      <c r="R231" s="18">
        <v>77.488596491228066</v>
      </c>
    </row>
    <row r="232" spans="1:18" x14ac:dyDescent="0.35">
      <c r="A232" s="13">
        <v>44912</v>
      </c>
      <c r="B232">
        <v>2022</v>
      </c>
      <c r="C232">
        <v>12</v>
      </c>
      <c r="D232" t="s">
        <v>73</v>
      </c>
      <c r="E232" t="s">
        <v>72</v>
      </c>
      <c r="F232">
        <v>275</v>
      </c>
      <c r="G232">
        <v>278</v>
      </c>
      <c r="H232">
        <v>18</v>
      </c>
      <c r="I232">
        <v>13</v>
      </c>
      <c r="J232" s="17">
        <v>0.8224852071005917</v>
      </c>
      <c r="K232">
        <v>40</v>
      </c>
      <c r="L232">
        <v>39</v>
      </c>
      <c r="M232" s="17">
        <v>0.97499999999999998</v>
      </c>
      <c r="N232" s="25">
        <v>11108.5</v>
      </c>
      <c r="O232" s="25">
        <v>2849.5</v>
      </c>
      <c r="P232" s="25">
        <v>7200</v>
      </c>
      <c r="Q232" s="25">
        <v>21158</v>
      </c>
      <c r="R232" s="18">
        <v>76.107913669064743</v>
      </c>
    </row>
    <row r="233" spans="1:18" x14ac:dyDescent="0.35">
      <c r="A233" s="13">
        <v>44919</v>
      </c>
      <c r="B233">
        <v>2022</v>
      </c>
      <c r="C233">
        <v>12</v>
      </c>
      <c r="D233" t="s">
        <v>73</v>
      </c>
      <c r="E233" t="s">
        <v>72</v>
      </c>
      <c r="F233">
        <v>235</v>
      </c>
      <c r="G233">
        <v>249</v>
      </c>
      <c r="H233">
        <v>4</v>
      </c>
      <c r="I233">
        <v>12</v>
      </c>
      <c r="J233" s="17">
        <v>0.79807692307692313</v>
      </c>
      <c r="K233">
        <v>40</v>
      </c>
      <c r="L233">
        <v>39</v>
      </c>
      <c r="M233" s="17">
        <v>0.97499999999999998</v>
      </c>
      <c r="N233" s="25">
        <v>10254</v>
      </c>
      <c r="O233" s="25">
        <v>2552.25</v>
      </c>
      <c r="P233" s="25">
        <v>7200</v>
      </c>
      <c r="Q233" s="25">
        <v>20006.25</v>
      </c>
      <c r="R233" s="18">
        <v>80.346385542168676</v>
      </c>
    </row>
    <row r="234" spans="1:18" x14ac:dyDescent="0.35">
      <c r="A234" s="13">
        <v>44926</v>
      </c>
      <c r="B234">
        <v>2022</v>
      </c>
      <c r="C234">
        <v>12</v>
      </c>
      <c r="D234" t="s">
        <v>73</v>
      </c>
      <c r="E234" t="s">
        <v>72</v>
      </c>
      <c r="F234">
        <v>198</v>
      </c>
      <c r="G234">
        <v>202</v>
      </c>
      <c r="H234">
        <v>0</v>
      </c>
      <c r="I234">
        <v>10</v>
      </c>
      <c r="J234" s="17">
        <v>0.77692307692307694</v>
      </c>
      <c r="K234">
        <v>40</v>
      </c>
      <c r="L234">
        <v>40</v>
      </c>
      <c r="M234" s="17">
        <v>1</v>
      </c>
      <c r="N234" s="25">
        <v>8545</v>
      </c>
      <c r="O234" s="25">
        <v>2070.5</v>
      </c>
      <c r="P234" s="25">
        <v>7200</v>
      </c>
      <c r="Q234" s="25">
        <v>17815.5</v>
      </c>
      <c r="R234" s="18">
        <v>88.195544554455452</v>
      </c>
    </row>
    <row r="235" spans="1:18" x14ac:dyDescent="0.35">
      <c r="A235" s="13">
        <v>44933</v>
      </c>
      <c r="B235">
        <v>2023</v>
      </c>
      <c r="C235">
        <v>1</v>
      </c>
      <c r="D235" t="s">
        <v>73</v>
      </c>
      <c r="E235" t="s">
        <v>72</v>
      </c>
      <c r="F235">
        <v>170</v>
      </c>
      <c r="G235">
        <v>170</v>
      </c>
      <c r="H235">
        <v>0</v>
      </c>
      <c r="I235">
        <v>10</v>
      </c>
      <c r="J235" s="17">
        <v>0.65384615384615385</v>
      </c>
      <c r="K235">
        <v>40</v>
      </c>
      <c r="L235">
        <v>36</v>
      </c>
      <c r="M235" s="17">
        <v>0.9</v>
      </c>
      <c r="N235" s="25">
        <v>8545</v>
      </c>
      <c r="O235" s="25">
        <v>1742.5</v>
      </c>
      <c r="P235" s="25">
        <v>7200</v>
      </c>
      <c r="Q235" s="25">
        <v>17487.5</v>
      </c>
      <c r="R235" s="18">
        <v>102.86764705882349</v>
      </c>
    </row>
    <row r="236" spans="1:18" x14ac:dyDescent="0.35">
      <c r="A236" s="13">
        <v>44940</v>
      </c>
      <c r="B236">
        <v>2023</v>
      </c>
      <c r="C236">
        <v>1</v>
      </c>
      <c r="D236" t="s">
        <v>73</v>
      </c>
      <c r="E236" t="s">
        <v>72</v>
      </c>
      <c r="F236">
        <v>147</v>
      </c>
      <c r="G236">
        <v>147</v>
      </c>
      <c r="H236">
        <v>0</v>
      </c>
      <c r="I236">
        <v>9</v>
      </c>
      <c r="J236" s="17">
        <v>0.62820512820512819</v>
      </c>
      <c r="K236">
        <v>40</v>
      </c>
      <c r="L236">
        <v>37</v>
      </c>
      <c r="M236" s="17">
        <v>0.92500000000000004</v>
      </c>
      <c r="N236" s="25">
        <v>7690.5</v>
      </c>
      <c r="O236" s="25">
        <v>1506.75</v>
      </c>
      <c r="P236" s="25">
        <v>7200</v>
      </c>
      <c r="Q236" s="25">
        <v>16397.25</v>
      </c>
      <c r="R236" s="18">
        <v>111.5459183673469</v>
      </c>
    </row>
    <row r="237" spans="1:18" x14ac:dyDescent="0.35">
      <c r="A237" s="13">
        <v>44947</v>
      </c>
      <c r="B237">
        <v>2023</v>
      </c>
      <c r="C237">
        <v>1</v>
      </c>
      <c r="D237" t="s">
        <v>73</v>
      </c>
      <c r="E237" t="s">
        <v>72</v>
      </c>
      <c r="F237">
        <v>147</v>
      </c>
      <c r="G237">
        <v>147</v>
      </c>
      <c r="H237">
        <v>0</v>
      </c>
      <c r="I237">
        <v>8</v>
      </c>
      <c r="J237" s="17">
        <v>0.70673076923076927</v>
      </c>
      <c r="K237">
        <v>40</v>
      </c>
      <c r="L237">
        <v>37</v>
      </c>
      <c r="M237" s="17">
        <v>0.92500000000000004</v>
      </c>
      <c r="N237" s="25">
        <v>6836</v>
      </c>
      <c r="O237" s="25">
        <v>1506.75</v>
      </c>
      <c r="P237" s="25">
        <v>7200</v>
      </c>
      <c r="Q237" s="25">
        <v>15542.75</v>
      </c>
      <c r="R237" s="18">
        <v>105.7329931972789</v>
      </c>
    </row>
    <row r="238" spans="1:18" x14ac:dyDescent="0.35">
      <c r="A238" s="13">
        <v>44954</v>
      </c>
      <c r="B238">
        <v>2023</v>
      </c>
      <c r="C238">
        <v>1</v>
      </c>
      <c r="D238" t="s">
        <v>73</v>
      </c>
      <c r="E238" t="s">
        <v>72</v>
      </c>
      <c r="F238">
        <v>163</v>
      </c>
      <c r="G238">
        <v>163</v>
      </c>
      <c r="H238">
        <v>0</v>
      </c>
      <c r="I238">
        <v>10</v>
      </c>
      <c r="J238" s="17">
        <v>0.62692307692307692</v>
      </c>
      <c r="K238">
        <v>40</v>
      </c>
      <c r="L238">
        <v>36</v>
      </c>
      <c r="M238" s="17">
        <v>0.9</v>
      </c>
      <c r="N238" s="25">
        <v>8545</v>
      </c>
      <c r="O238" s="25">
        <v>1670.75</v>
      </c>
      <c r="P238" s="25">
        <v>7200</v>
      </c>
      <c r="Q238" s="25">
        <v>17415.75</v>
      </c>
      <c r="R238" s="18">
        <v>106.84509202453989</v>
      </c>
    </row>
    <row r="239" spans="1:18" x14ac:dyDescent="0.35">
      <c r="A239" s="13">
        <v>44961</v>
      </c>
      <c r="B239">
        <v>2023</v>
      </c>
      <c r="C239">
        <v>2</v>
      </c>
      <c r="D239" t="s">
        <v>73</v>
      </c>
      <c r="E239" t="s">
        <v>72</v>
      </c>
      <c r="F239">
        <v>165</v>
      </c>
      <c r="G239">
        <v>165</v>
      </c>
      <c r="H239">
        <v>0</v>
      </c>
      <c r="I239">
        <v>10</v>
      </c>
      <c r="J239" s="17">
        <v>0.63461538461538458</v>
      </c>
      <c r="K239">
        <v>40</v>
      </c>
      <c r="L239">
        <v>38</v>
      </c>
      <c r="M239" s="17">
        <v>0.95</v>
      </c>
      <c r="N239" s="25">
        <v>8545</v>
      </c>
      <c r="O239" s="25">
        <v>1691.25</v>
      </c>
      <c r="P239" s="25">
        <v>7200</v>
      </c>
      <c r="Q239" s="25">
        <v>17436.25</v>
      </c>
      <c r="R239" s="18">
        <v>105.67424242424239</v>
      </c>
    </row>
    <row r="240" spans="1:18" x14ac:dyDescent="0.35">
      <c r="A240" s="13">
        <v>44968</v>
      </c>
      <c r="B240">
        <v>2023</v>
      </c>
      <c r="C240">
        <v>2</v>
      </c>
      <c r="D240" t="s">
        <v>73</v>
      </c>
      <c r="E240" t="s">
        <v>72</v>
      </c>
      <c r="F240">
        <v>170</v>
      </c>
      <c r="G240">
        <v>170</v>
      </c>
      <c r="H240">
        <v>0</v>
      </c>
      <c r="I240">
        <v>10</v>
      </c>
      <c r="J240" s="17">
        <v>0.65384615384615385</v>
      </c>
      <c r="K240">
        <v>40</v>
      </c>
      <c r="L240">
        <v>38</v>
      </c>
      <c r="M240" s="17">
        <v>0.95</v>
      </c>
      <c r="N240" s="25">
        <v>8545</v>
      </c>
      <c r="O240" s="25">
        <v>1742.5</v>
      </c>
      <c r="P240" s="25">
        <v>7200</v>
      </c>
      <c r="Q240" s="25">
        <v>17487.5</v>
      </c>
      <c r="R240" s="18">
        <v>102.86764705882349</v>
      </c>
    </row>
    <row r="241" spans="1:18" x14ac:dyDescent="0.35">
      <c r="A241" s="13">
        <v>44975</v>
      </c>
      <c r="B241">
        <v>2023</v>
      </c>
      <c r="C241">
        <v>2</v>
      </c>
      <c r="D241" t="s">
        <v>73</v>
      </c>
      <c r="E241" t="s">
        <v>72</v>
      </c>
      <c r="F241">
        <v>176</v>
      </c>
      <c r="G241">
        <v>176</v>
      </c>
      <c r="H241">
        <v>0</v>
      </c>
      <c r="I241">
        <v>10</v>
      </c>
      <c r="J241" s="17">
        <v>0.67692307692307696</v>
      </c>
      <c r="K241">
        <v>40</v>
      </c>
      <c r="L241">
        <v>39</v>
      </c>
      <c r="M241" s="17">
        <v>0.97499999999999998</v>
      </c>
      <c r="N241" s="25">
        <v>8545</v>
      </c>
      <c r="O241" s="25">
        <v>1804</v>
      </c>
      <c r="P241" s="25">
        <v>7200</v>
      </c>
      <c r="Q241" s="25">
        <v>17549</v>
      </c>
      <c r="R241" s="18">
        <v>99.710227272727266</v>
      </c>
    </row>
    <row r="242" spans="1:18" x14ac:dyDescent="0.35">
      <c r="A242" s="13">
        <v>44982</v>
      </c>
      <c r="B242">
        <v>2023</v>
      </c>
      <c r="C242">
        <v>2</v>
      </c>
      <c r="D242" t="s">
        <v>73</v>
      </c>
      <c r="E242" t="s">
        <v>72</v>
      </c>
      <c r="F242">
        <v>177</v>
      </c>
      <c r="G242">
        <v>177</v>
      </c>
      <c r="H242">
        <v>0</v>
      </c>
      <c r="I242">
        <v>10</v>
      </c>
      <c r="J242" s="17">
        <v>0.68076923076923079</v>
      </c>
      <c r="K242">
        <v>40</v>
      </c>
      <c r="L242">
        <v>38</v>
      </c>
      <c r="M242" s="17">
        <v>0.95</v>
      </c>
      <c r="N242" s="25">
        <v>8545</v>
      </c>
      <c r="O242" s="25">
        <v>1814.25</v>
      </c>
      <c r="P242" s="25">
        <v>7200</v>
      </c>
      <c r="Q242" s="25">
        <v>17559.25</v>
      </c>
      <c r="R242" s="18">
        <v>99.204802259887003</v>
      </c>
    </row>
    <row r="243" spans="1:18" x14ac:dyDescent="0.35">
      <c r="A243" s="13">
        <v>44989</v>
      </c>
      <c r="B243">
        <v>2023</v>
      </c>
      <c r="C243">
        <v>3</v>
      </c>
      <c r="D243" t="s">
        <v>73</v>
      </c>
      <c r="E243" t="s">
        <v>72</v>
      </c>
      <c r="F243">
        <v>188</v>
      </c>
      <c r="G243">
        <v>188</v>
      </c>
      <c r="H243">
        <v>0</v>
      </c>
      <c r="I243">
        <v>10</v>
      </c>
      <c r="J243" s="17">
        <v>0.72307692307692306</v>
      </c>
      <c r="K243">
        <v>40</v>
      </c>
      <c r="L243">
        <v>37</v>
      </c>
      <c r="M243" s="17">
        <v>0.92500000000000004</v>
      </c>
      <c r="N243" s="25">
        <v>8545</v>
      </c>
      <c r="O243" s="25">
        <v>1927</v>
      </c>
      <c r="P243" s="25">
        <v>7200</v>
      </c>
      <c r="Q243" s="25">
        <v>17672</v>
      </c>
      <c r="R243" s="18">
        <v>94</v>
      </c>
    </row>
    <row r="244" spans="1:18" x14ac:dyDescent="0.35">
      <c r="A244" s="13">
        <v>44996</v>
      </c>
      <c r="B244">
        <v>2023</v>
      </c>
      <c r="C244">
        <v>3</v>
      </c>
      <c r="D244" t="s">
        <v>73</v>
      </c>
      <c r="E244" t="s">
        <v>72</v>
      </c>
      <c r="F244">
        <v>191</v>
      </c>
      <c r="G244">
        <v>191</v>
      </c>
      <c r="H244">
        <v>0</v>
      </c>
      <c r="I244">
        <v>10</v>
      </c>
      <c r="J244" s="17">
        <v>0.73461538461538467</v>
      </c>
      <c r="K244">
        <v>40</v>
      </c>
      <c r="L244">
        <v>38</v>
      </c>
      <c r="M244" s="17">
        <v>0.95</v>
      </c>
      <c r="N244" s="25">
        <v>8545</v>
      </c>
      <c r="O244" s="25">
        <v>1957.75</v>
      </c>
      <c r="P244" s="25">
        <v>7200</v>
      </c>
      <c r="Q244" s="25">
        <v>17702.75</v>
      </c>
      <c r="R244" s="18">
        <v>92.684554973821989</v>
      </c>
    </row>
    <row r="245" spans="1:18" x14ac:dyDescent="0.35">
      <c r="A245" s="13">
        <v>45003</v>
      </c>
      <c r="B245">
        <v>2023</v>
      </c>
      <c r="C245">
        <v>3</v>
      </c>
      <c r="D245" t="s">
        <v>73</v>
      </c>
      <c r="E245" t="s">
        <v>72</v>
      </c>
      <c r="F245">
        <v>189</v>
      </c>
      <c r="G245">
        <v>189</v>
      </c>
      <c r="H245">
        <v>0</v>
      </c>
      <c r="I245">
        <v>10</v>
      </c>
      <c r="J245" s="17">
        <v>0.72692307692307689</v>
      </c>
      <c r="K245">
        <v>40</v>
      </c>
      <c r="L245">
        <v>40</v>
      </c>
      <c r="M245" s="17">
        <v>1</v>
      </c>
      <c r="N245" s="25">
        <v>8545</v>
      </c>
      <c r="O245" s="25">
        <v>1937.25</v>
      </c>
      <c r="P245" s="25">
        <v>7200</v>
      </c>
      <c r="Q245" s="25">
        <v>17682.25</v>
      </c>
      <c r="R245" s="18">
        <v>93.556878306878303</v>
      </c>
    </row>
    <row r="246" spans="1:18" x14ac:dyDescent="0.35">
      <c r="A246" s="13">
        <v>45010</v>
      </c>
      <c r="B246">
        <v>2023</v>
      </c>
      <c r="C246">
        <v>3</v>
      </c>
      <c r="D246" t="s">
        <v>73</v>
      </c>
      <c r="E246" t="s">
        <v>72</v>
      </c>
      <c r="F246">
        <v>192</v>
      </c>
      <c r="G246">
        <v>192</v>
      </c>
      <c r="H246">
        <v>0</v>
      </c>
      <c r="I246">
        <v>10</v>
      </c>
      <c r="J246" s="17">
        <v>0.7384615384615385</v>
      </c>
      <c r="K246">
        <v>40</v>
      </c>
      <c r="L246">
        <v>38</v>
      </c>
      <c r="M246" s="17">
        <v>0.95</v>
      </c>
      <c r="N246" s="25">
        <v>8545</v>
      </c>
      <c r="O246" s="25">
        <v>1968</v>
      </c>
      <c r="P246" s="25">
        <v>7200</v>
      </c>
      <c r="Q246" s="25">
        <v>17713</v>
      </c>
      <c r="R246" s="18">
        <v>92.255208333333329</v>
      </c>
    </row>
    <row r="247" spans="1:18" x14ac:dyDescent="0.35">
      <c r="A247" s="13">
        <v>45017</v>
      </c>
      <c r="B247">
        <v>2023</v>
      </c>
      <c r="C247">
        <v>4</v>
      </c>
      <c r="D247" t="s">
        <v>73</v>
      </c>
      <c r="E247" t="s">
        <v>72</v>
      </c>
      <c r="F247">
        <v>196</v>
      </c>
      <c r="G247">
        <v>196</v>
      </c>
      <c r="H247">
        <v>0</v>
      </c>
      <c r="I247">
        <v>10</v>
      </c>
      <c r="J247" s="17">
        <v>0.75384615384615383</v>
      </c>
      <c r="K247">
        <v>40</v>
      </c>
      <c r="L247">
        <v>37</v>
      </c>
      <c r="M247" s="17">
        <v>0.92500000000000004</v>
      </c>
      <c r="N247" s="25">
        <v>8545</v>
      </c>
      <c r="O247" s="25">
        <v>2009</v>
      </c>
      <c r="P247" s="25">
        <v>7200</v>
      </c>
      <c r="Q247" s="25">
        <v>17754</v>
      </c>
      <c r="R247" s="18">
        <v>90.58163265306122</v>
      </c>
    </row>
    <row r="248" spans="1:18" x14ac:dyDescent="0.35">
      <c r="A248" s="13">
        <v>45024</v>
      </c>
      <c r="B248">
        <v>2023</v>
      </c>
      <c r="C248">
        <v>4</v>
      </c>
      <c r="D248" t="s">
        <v>73</v>
      </c>
      <c r="E248" t="s">
        <v>72</v>
      </c>
      <c r="F248">
        <v>189</v>
      </c>
      <c r="G248">
        <v>189</v>
      </c>
      <c r="H248">
        <v>0</v>
      </c>
      <c r="I248">
        <v>10</v>
      </c>
      <c r="J248" s="17">
        <v>0.72692307692307689</v>
      </c>
      <c r="K248">
        <v>40</v>
      </c>
      <c r="L248">
        <v>39</v>
      </c>
      <c r="M248" s="17">
        <v>0.97499999999999998</v>
      </c>
      <c r="N248" s="25">
        <v>8545</v>
      </c>
      <c r="O248" s="25">
        <v>1937.25</v>
      </c>
      <c r="P248" s="25">
        <v>7200</v>
      </c>
      <c r="Q248" s="25">
        <v>17682.25</v>
      </c>
      <c r="R248" s="18">
        <v>93.556878306878303</v>
      </c>
    </row>
    <row r="249" spans="1:18" x14ac:dyDescent="0.35">
      <c r="A249" s="13">
        <v>45031</v>
      </c>
      <c r="B249">
        <v>2023</v>
      </c>
      <c r="C249">
        <v>4</v>
      </c>
      <c r="D249" t="s">
        <v>73</v>
      </c>
      <c r="E249" t="s">
        <v>72</v>
      </c>
      <c r="F249">
        <v>194</v>
      </c>
      <c r="G249">
        <v>194</v>
      </c>
      <c r="H249">
        <v>0</v>
      </c>
      <c r="I249">
        <v>10</v>
      </c>
      <c r="J249" s="17">
        <v>0.74615384615384617</v>
      </c>
      <c r="K249">
        <v>40</v>
      </c>
      <c r="L249">
        <v>39</v>
      </c>
      <c r="M249" s="17">
        <v>0.97499999999999998</v>
      </c>
      <c r="N249" s="25">
        <v>8545</v>
      </c>
      <c r="O249" s="25">
        <v>1988.5</v>
      </c>
      <c r="P249" s="25">
        <v>7200</v>
      </c>
      <c r="Q249" s="25">
        <v>17733.5</v>
      </c>
      <c r="R249" s="18">
        <v>91.409793814432987</v>
      </c>
    </row>
    <row r="250" spans="1:18" x14ac:dyDescent="0.35">
      <c r="A250" s="13">
        <v>45038</v>
      </c>
      <c r="B250">
        <v>2023</v>
      </c>
      <c r="C250">
        <v>4</v>
      </c>
      <c r="D250" t="s">
        <v>73</v>
      </c>
      <c r="E250" t="s">
        <v>72</v>
      </c>
      <c r="F250">
        <v>207</v>
      </c>
      <c r="G250">
        <v>207</v>
      </c>
      <c r="H250">
        <v>0</v>
      </c>
      <c r="I250">
        <v>10</v>
      </c>
      <c r="J250" s="17">
        <v>0.7961538461538461</v>
      </c>
      <c r="K250">
        <v>43</v>
      </c>
      <c r="L250">
        <v>43</v>
      </c>
      <c r="M250" s="17">
        <v>1</v>
      </c>
      <c r="N250" s="25">
        <v>8545</v>
      </c>
      <c r="O250" s="25">
        <v>2121.75</v>
      </c>
      <c r="P250" s="25">
        <v>7740</v>
      </c>
      <c r="Q250" s="25">
        <v>18406.75</v>
      </c>
      <c r="R250" s="18">
        <v>88.921497584541058</v>
      </c>
    </row>
    <row r="251" spans="1:18" x14ac:dyDescent="0.35">
      <c r="A251" s="13">
        <v>45045</v>
      </c>
      <c r="B251">
        <v>2023</v>
      </c>
      <c r="C251">
        <v>4</v>
      </c>
      <c r="D251" t="s">
        <v>73</v>
      </c>
      <c r="E251" t="s">
        <v>72</v>
      </c>
      <c r="F251">
        <v>195</v>
      </c>
      <c r="G251">
        <v>195</v>
      </c>
      <c r="H251">
        <v>0</v>
      </c>
      <c r="I251">
        <v>10</v>
      </c>
      <c r="J251" s="17">
        <v>0.75</v>
      </c>
      <c r="K251">
        <v>43</v>
      </c>
      <c r="L251">
        <v>42</v>
      </c>
      <c r="M251" s="17">
        <v>0.97674418604651159</v>
      </c>
      <c r="N251" s="25">
        <v>8545</v>
      </c>
      <c r="O251" s="25">
        <v>1998.75</v>
      </c>
      <c r="P251" s="25">
        <v>7740</v>
      </c>
      <c r="Q251" s="25">
        <v>18283.75</v>
      </c>
      <c r="R251" s="18">
        <v>93.762820512820511</v>
      </c>
    </row>
    <row r="252" spans="1:18" x14ac:dyDescent="0.35">
      <c r="A252" s="13">
        <v>45052</v>
      </c>
      <c r="B252">
        <v>2023</v>
      </c>
      <c r="C252">
        <v>5</v>
      </c>
      <c r="D252" t="s">
        <v>73</v>
      </c>
      <c r="E252" t="s">
        <v>72</v>
      </c>
      <c r="F252">
        <v>218</v>
      </c>
      <c r="G252">
        <v>218</v>
      </c>
      <c r="H252">
        <v>0</v>
      </c>
      <c r="I252">
        <v>11</v>
      </c>
      <c r="J252" s="17">
        <v>0.76223776223776218</v>
      </c>
      <c r="K252">
        <v>43</v>
      </c>
      <c r="L252">
        <v>43</v>
      </c>
      <c r="M252" s="17">
        <v>1</v>
      </c>
      <c r="N252" s="25">
        <v>9399.5</v>
      </c>
      <c r="O252" s="25">
        <v>2234.5</v>
      </c>
      <c r="P252" s="25">
        <v>7740</v>
      </c>
      <c r="Q252" s="25">
        <v>19374</v>
      </c>
      <c r="R252" s="18">
        <v>88.871559633027516</v>
      </c>
    </row>
    <row r="253" spans="1:18" x14ac:dyDescent="0.35">
      <c r="A253" s="13">
        <v>45059</v>
      </c>
      <c r="B253">
        <v>2023</v>
      </c>
      <c r="C253">
        <v>5</v>
      </c>
      <c r="D253" t="s">
        <v>73</v>
      </c>
      <c r="E253" t="s">
        <v>72</v>
      </c>
      <c r="F253">
        <v>212</v>
      </c>
      <c r="G253">
        <v>212</v>
      </c>
      <c r="H253">
        <v>0</v>
      </c>
      <c r="I253">
        <v>10</v>
      </c>
      <c r="J253" s="17">
        <v>0.81538461538461537</v>
      </c>
      <c r="K253">
        <v>43</v>
      </c>
      <c r="L253">
        <v>41</v>
      </c>
      <c r="M253" s="17">
        <v>0.95348837209302328</v>
      </c>
      <c r="N253" s="25">
        <v>8545</v>
      </c>
      <c r="O253" s="25">
        <v>2173</v>
      </c>
      <c r="P253" s="25">
        <v>7740</v>
      </c>
      <c r="Q253" s="25">
        <v>18458</v>
      </c>
      <c r="R253" s="18">
        <v>87.066037735849051</v>
      </c>
    </row>
    <row r="254" spans="1:18" x14ac:dyDescent="0.35">
      <c r="A254" s="13">
        <v>45066</v>
      </c>
      <c r="B254">
        <v>2023</v>
      </c>
      <c r="C254">
        <v>5</v>
      </c>
      <c r="D254" t="s">
        <v>73</v>
      </c>
      <c r="E254" t="s">
        <v>72</v>
      </c>
      <c r="F254">
        <v>200</v>
      </c>
      <c r="G254">
        <v>200</v>
      </c>
      <c r="H254">
        <v>0</v>
      </c>
      <c r="I254">
        <v>10</v>
      </c>
      <c r="J254" s="17">
        <v>0.76923076923076927</v>
      </c>
      <c r="K254">
        <v>43</v>
      </c>
      <c r="L254">
        <v>42</v>
      </c>
      <c r="M254" s="17">
        <v>0.97674418604651159</v>
      </c>
      <c r="N254" s="25">
        <v>8545</v>
      </c>
      <c r="O254" s="25">
        <v>2050</v>
      </c>
      <c r="P254" s="25">
        <v>7740</v>
      </c>
      <c r="Q254" s="25">
        <v>18335</v>
      </c>
      <c r="R254" s="18">
        <v>91.674999999999997</v>
      </c>
    </row>
    <row r="255" spans="1:18" x14ac:dyDescent="0.35">
      <c r="A255" s="13">
        <v>45073</v>
      </c>
      <c r="B255">
        <v>2023</v>
      </c>
      <c r="C255">
        <v>5</v>
      </c>
      <c r="D255" t="s">
        <v>73</v>
      </c>
      <c r="E255" t="s">
        <v>72</v>
      </c>
      <c r="F255">
        <v>207</v>
      </c>
      <c r="G255">
        <v>207</v>
      </c>
      <c r="H255">
        <v>0</v>
      </c>
      <c r="I255">
        <v>10</v>
      </c>
      <c r="J255" s="17">
        <v>0.7961538461538461</v>
      </c>
      <c r="K255">
        <v>43</v>
      </c>
      <c r="L255">
        <v>40</v>
      </c>
      <c r="M255" s="17">
        <v>0.93023255813953487</v>
      </c>
      <c r="N255" s="25">
        <v>8545</v>
      </c>
      <c r="O255" s="25">
        <v>2121.75</v>
      </c>
      <c r="P255" s="25">
        <v>7740</v>
      </c>
      <c r="Q255" s="25">
        <v>18406.75</v>
      </c>
      <c r="R255" s="18">
        <v>88.921497584541058</v>
      </c>
    </row>
    <row r="256" spans="1:18" x14ac:dyDescent="0.35">
      <c r="A256" s="13">
        <v>45080</v>
      </c>
      <c r="B256">
        <v>2023</v>
      </c>
      <c r="C256">
        <v>6</v>
      </c>
      <c r="D256" t="s">
        <v>73</v>
      </c>
      <c r="E256" t="s">
        <v>72</v>
      </c>
      <c r="F256">
        <v>208</v>
      </c>
      <c r="G256">
        <v>208</v>
      </c>
      <c r="H256">
        <v>0</v>
      </c>
      <c r="I256">
        <v>10</v>
      </c>
      <c r="J256" s="17">
        <v>0.8</v>
      </c>
      <c r="K256">
        <v>43</v>
      </c>
      <c r="L256">
        <v>42</v>
      </c>
      <c r="M256" s="17">
        <v>0.97674418604651159</v>
      </c>
      <c r="N256" s="25">
        <v>8545</v>
      </c>
      <c r="O256" s="25">
        <v>2132</v>
      </c>
      <c r="P256" s="25">
        <v>7740</v>
      </c>
      <c r="Q256" s="25">
        <v>18417</v>
      </c>
      <c r="R256" s="18">
        <v>88.543269230769226</v>
      </c>
    </row>
    <row r="257" spans="1:18" x14ac:dyDescent="0.35">
      <c r="A257" s="13">
        <v>45087</v>
      </c>
      <c r="B257">
        <v>2023</v>
      </c>
      <c r="C257">
        <v>6</v>
      </c>
      <c r="D257" t="s">
        <v>73</v>
      </c>
      <c r="E257" t="s">
        <v>72</v>
      </c>
      <c r="F257">
        <v>210</v>
      </c>
      <c r="G257">
        <v>210</v>
      </c>
      <c r="H257">
        <v>0</v>
      </c>
      <c r="I257">
        <v>10</v>
      </c>
      <c r="J257" s="17">
        <v>0.80769230769230771</v>
      </c>
      <c r="K257">
        <v>43</v>
      </c>
      <c r="L257">
        <v>41</v>
      </c>
      <c r="M257" s="17">
        <v>0.95348837209302328</v>
      </c>
      <c r="N257" s="25">
        <v>8545</v>
      </c>
      <c r="O257" s="25">
        <v>2152.5</v>
      </c>
      <c r="P257" s="25">
        <v>7740</v>
      </c>
      <c r="Q257" s="25">
        <v>18437.5</v>
      </c>
      <c r="R257" s="18">
        <v>87.797619047619051</v>
      </c>
    </row>
    <row r="258" spans="1:18" x14ac:dyDescent="0.35">
      <c r="A258" s="13">
        <v>45094</v>
      </c>
      <c r="B258">
        <v>2023</v>
      </c>
      <c r="C258">
        <v>6</v>
      </c>
      <c r="D258" t="s">
        <v>73</v>
      </c>
      <c r="E258" t="s">
        <v>72</v>
      </c>
      <c r="F258">
        <v>213</v>
      </c>
      <c r="G258">
        <v>213</v>
      </c>
      <c r="H258">
        <v>0</v>
      </c>
      <c r="I258">
        <v>10</v>
      </c>
      <c r="J258" s="17">
        <v>0.81923076923076921</v>
      </c>
      <c r="K258">
        <v>43</v>
      </c>
      <c r="L258">
        <v>37</v>
      </c>
      <c r="M258" s="17">
        <v>0.86046511627906974</v>
      </c>
      <c r="N258" s="25">
        <v>8545</v>
      </c>
      <c r="O258" s="25">
        <v>2183.25</v>
      </c>
      <c r="P258" s="25">
        <v>7740</v>
      </c>
      <c r="Q258" s="25">
        <v>18468.25</v>
      </c>
      <c r="R258" s="18">
        <v>86.705399061032864</v>
      </c>
    </row>
    <row r="259" spans="1:18" x14ac:dyDescent="0.35">
      <c r="A259" s="13">
        <v>45101</v>
      </c>
      <c r="B259">
        <v>2023</v>
      </c>
      <c r="C259">
        <v>6</v>
      </c>
      <c r="D259" t="s">
        <v>73</v>
      </c>
      <c r="E259" t="s">
        <v>72</v>
      </c>
      <c r="F259">
        <v>209</v>
      </c>
      <c r="G259">
        <v>209</v>
      </c>
      <c r="H259">
        <v>0</v>
      </c>
      <c r="I259">
        <v>10</v>
      </c>
      <c r="J259" s="17">
        <v>0.80384615384615388</v>
      </c>
      <c r="K259">
        <v>43</v>
      </c>
      <c r="L259">
        <v>41</v>
      </c>
      <c r="M259" s="17">
        <v>0.95348837209302328</v>
      </c>
      <c r="N259" s="25">
        <v>8545</v>
      </c>
      <c r="O259" s="25">
        <v>2142.25</v>
      </c>
      <c r="P259" s="25">
        <v>7740</v>
      </c>
      <c r="Q259" s="25">
        <v>18427.25</v>
      </c>
      <c r="R259" s="18">
        <v>88.168660287081337</v>
      </c>
    </row>
    <row r="260" spans="1:18" x14ac:dyDescent="0.35">
      <c r="A260" s="13">
        <v>45108</v>
      </c>
      <c r="B260">
        <v>2023</v>
      </c>
      <c r="C260">
        <v>7</v>
      </c>
      <c r="D260" t="s">
        <v>73</v>
      </c>
      <c r="E260" t="s">
        <v>72</v>
      </c>
      <c r="F260">
        <v>204</v>
      </c>
      <c r="G260">
        <v>204</v>
      </c>
      <c r="H260">
        <v>0</v>
      </c>
      <c r="I260">
        <v>10</v>
      </c>
      <c r="J260" s="17">
        <v>0.7846153846153846</v>
      </c>
      <c r="K260">
        <v>43</v>
      </c>
      <c r="L260">
        <v>39</v>
      </c>
      <c r="M260" s="17">
        <v>0.90697674418604646</v>
      </c>
      <c r="N260" s="25">
        <v>8545</v>
      </c>
      <c r="O260" s="25">
        <v>2091</v>
      </c>
      <c r="P260" s="25">
        <v>7740</v>
      </c>
      <c r="Q260" s="25">
        <v>18376</v>
      </c>
      <c r="R260" s="18">
        <v>90.078431372549019</v>
      </c>
    </row>
    <row r="261" spans="1:18" x14ac:dyDescent="0.35">
      <c r="A261" s="13">
        <v>45115</v>
      </c>
      <c r="B261">
        <v>2023</v>
      </c>
      <c r="C261">
        <v>7</v>
      </c>
      <c r="D261" t="s">
        <v>73</v>
      </c>
      <c r="E261" t="s">
        <v>72</v>
      </c>
      <c r="F261">
        <v>208</v>
      </c>
      <c r="G261">
        <v>208</v>
      </c>
      <c r="H261">
        <v>0</v>
      </c>
      <c r="I261">
        <v>10</v>
      </c>
      <c r="J261" s="17">
        <v>0.8</v>
      </c>
      <c r="K261">
        <v>43</v>
      </c>
      <c r="L261">
        <v>42</v>
      </c>
      <c r="M261" s="17">
        <v>0.97674418604651159</v>
      </c>
      <c r="N261" s="25">
        <v>8545</v>
      </c>
      <c r="O261" s="25">
        <v>2132</v>
      </c>
      <c r="P261" s="25">
        <v>7740</v>
      </c>
      <c r="Q261" s="25">
        <v>18417</v>
      </c>
      <c r="R261" s="18">
        <v>88.543269230769226</v>
      </c>
    </row>
    <row r="262" spans="1:18" x14ac:dyDescent="0.35">
      <c r="A262" s="13">
        <v>45122</v>
      </c>
      <c r="B262">
        <v>2023</v>
      </c>
      <c r="C262">
        <v>7</v>
      </c>
      <c r="D262" t="s">
        <v>73</v>
      </c>
      <c r="E262" t="s">
        <v>72</v>
      </c>
      <c r="F262">
        <v>201</v>
      </c>
      <c r="G262">
        <v>201</v>
      </c>
      <c r="H262">
        <v>0</v>
      </c>
      <c r="I262">
        <v>10</v>
      </c>
      <c r="J262" s="17">
        <v>0.77307692307692311</v>
      </c>
      <c r="K262">
        <v>43</v>
      </c>
      <c r="L262">
        <v>43</v>
      </c>
      <c r="M262" s="17">
        <v>1</v>
      </c>
      <c r="N262" s="25">
        <v>8545</v>
      </c>
      <c r="O262" s="25">
        <v>2060.25</v>
      </c>
      <c r="P262" s="25">
        <v>7740</v>
      </c>
      <c r="Q262" s="25">
        <v>18345.25</v>
      </c>
      <c r="R262" s="18">
        <v>91.269900497512438</v>
      </c>
    </row>
    <row r="263" spans="1:18" x14ac:dyDescent="0.35">
      <c r="A263" s="13">
        <v>45129</v>
      </c>
      <c r="B263">
        <v>2023</v>
      </c>
      <c r="C263">
        <v>7</v>
      </c>
      <c r="D263" t="s">
        <v>73</v>
      </c>
      <c r="E263" t="s">
        <v>72</v>
      </c>
      <c r="F263">
        <v>208</v>
      </c>
      <c r="G263">
        <v>208</v>
      </c>
      <c r="H263">
        <v>0</v>
      </c>
      <c r="I263">
        <v>10</v>
      </c>
      <c r="J263" s="17">
        <v>0.8</v>
      </c>
      <c r="K263">
        <v>43</v>
      </c>
      <c r="L263">
        <v>43</v>
      </c>
      <c r="M263" s="17">
        <v>1</v>
      </c>
      <c r="N263" s="25">
        <v>8545</v>
      </c>
      <c r="O263" s="25">
        <v>2132</v>
      </c>
      <c r="P263" s="25">
        <v>7740</v>
      </c>
      <c r="Q263" s="25">
        <v>18417</v>
      </c>
      <c r="R263" s="18">
        <v>88.543269230769226</v>
      </c>
    </row>
    <row r="264" spans="1:18" x14ac:dyDescent="0.35">
      <c r="A264" s="13">
        <v>45136</v>
      </c>
      <c r="B264">
        <v>2023</v>
      </c>
      <c r="C264">
        <v>7</v>
      </c>
      <c r="D264" t="s">
        <v>73</v>
      </c>
      <c r="E264" t="s">
        <v>72</v>
      </c>
      <c r="F264">
        <v>206</v>
      </c>
      <c r="G264">
        <v>206</v>
      </c>
      <c r="H264">
        <v>0</v>
      </c>
      <c r="I264">
        <v>10</v>
      </c>
      <c r="J264" s="17">
        <v>0.79230769230769227</v>
      </c>
      <c r="K264">
        <v>43</v>
      </c>
      <c r="L264">
        <v>42</v>
      </c>
      <c r="M264" s="17">
        <v>0.97674418604651159</v>
      </c>
      <c r="N264" s="25">
        <v>8545</v>
      </c>
      <c r="O264" s="25">
        <v>2111.5</v>
      </c>
      <c r="P264" s="25">
        <v>7740</v>
      </c>
      <c r="Q264" s="25">
        <v>18396.5</v>
      </c>
      <c r="R264" s="18">
        <v>89.303398058252426</v>
      </c>
    </row>
    <row r="265" spans="1:18" x14ac:dyDescent="0.35">
      <c r="A265" s="13">
        <v>45143</v>
      </c>
      <c r="B265">
        <v>2023</v>
      </c>
      <c r="C265">
        <v>8</v>
      </c>
      <c r="D265" t="s">
        <v>73</v>
      </c>
      <c r="E265" t="s">
        <v>72</v>
      </c>
      <c r="F265">
        <v>226</v>
      </c>
      <c r="G265">
        <v>226</v>
      </c>
      <c r="H265">
        <v>0</v>
      </c>
      <c r="I265">
        <v>11</v>
      </c>
      <c r="J265" s="17">
        <v>0.79020979020979021</v>
      </c>
      <c r="K265">
        <v>43</v>
      </c>
      <c r="L265">
        <v>39</v>
      </c>
      <c r="M265" s="17">
        <v>0.90697674418604646</v>
      </c>
      <c r="N265" s="25">
        <v>9399.5</v>
      </c>
      <c r="O265" s="25">
        <v>2316.5</v>
      </c>
      <c r="P265" s="25">
        <v>7740</v>
      </c>
      <c r="Q265" s="25">
        <v>19456</v>
      </c>
      <c r="R265" s="18">
        <v>86.088495575221245</v>
      </c>
    </row>
    <row r="266" spans="1:18" x14ac:dyDescent="0.35">
      <c r="A266" s="13">
        <v>45150</v>
      </c>
      <c r="B266">
        <v>2023</v>
      </c>
      <c r="C266">
        <v>8</v>
      </c>
      <c r="D266" t="s">
        <v>73</v>
      </c>
      <c r="E266" t="s">
        <v>72</v>
      </c>
      <c r="F266">
        <v>210</v>
      </c>
      <c r="G266">
        <v>210</v>
      </c>
      <c r="H266">
        <v>0</v>
      </c>
      <c r="I266">
        <v>10</v>
      </c>
      <c r="J266" s="17">
        <v>0.80769230769230771</v>
      </c>
      <c r="K266">
        <v>43</v>
      </c>
      <c r="L266">
        <v>43</v>
      </c>
      <c r="M266" s="17">
        <v>1</v>
      </c>
      <c r="N266" s="25">
        <v>8545</v>
      </c>
      <c r="O266" s="25">
        <v>2152.5</v>
      </c>
      <c r="P266" s="25">
        <v>7740</v>
      </c>
      <c r="Q266" s="25">
        <v>18437.5</v>
      </c>
      <c r="R266" s="18">
        <v>87.797619047619051</v>
      </c>
    </row>
    <row r="267" spans="1:18" x14ac:dyDescent="0.35">
      <c r="A267" s="13">
        <v>45157</v>
      </c>
      <c r="B267">
        <v>2023</v>
      </c>
      <c r="C267">
        <v>8</v>
      </c>
      <c r="D267" t="s">
        <v>73</v>
      </c>
      <c r="E267" t="s">
        <v>72</v>
      </c>
      <c r="F267">
        <v>217</v>
      </c>
      <c r="G267">
        <v>217</v>
      </c>
      <c r="H267">
        <v>0</v>
      </c>
      <c r="I267">
        <v>10</v>
      </c>
      <c r="J267" s="17">
        <v>0.83461538461538465</v>
      </c>
      <c r="K267">
        <v>43</v>
      </c>
      <c r="L267">
        <v>42</v>
      </c>
      <c r="M267" s="17">
        <v>0.97674418604651159</v>
      </c>
      <c r="N267" s="25">
        <v>8545</v>
      </c>
      <c r="O267" s="25">
        <v>2224.25</v>
      </c>
      <c r="P267" s="25">
        <v>7740</v>
      </c>
      <c r="Q267" s="25">
        <v>18509.25</v>
      </c>
      <c r="R267" s="18">
        <v>85.296082949308754</v>
      </c>
    </row>
    <row r="268" spans="1:18" x14ac:dyDescent="0.35">
      <c r="A268" s="13">
        <v>45164</v>
      </c>
      <c r="B268">
        <v>2023</v>
      </c>
      <c r="C268">
        <v>8</v>
      </c>
      <c r="D268" t="s">
        <v>73</v>
      </c>
      <c r="E268" t="s">
        <v>72</v>
      </c>
      <c r="F268">
        <v>211</v>
      </c>
      <c r="G268">
        <v>211</v>
      </c>
      <c r="H268">
        <v>0</v>
      </c>
      <c r="I268">
        <v>11</v>
      </c>
      <c r="J268" s="17">
        <v>0.73776223776223782</v>
      </c>
      <c r="K268">
        <v>43</v>
      </c>
      <c r="L268">
        <v>41</v>
      </c>
      <c r="M268" s="17">
        <v>0.95348837209302328</v>
      </c>
      <c r="N268" s="25">
        <v>9399.5</v>
      </c>
      <c r="O268" s="25">
        <v>2162.75</v>
      </c>
      <c r="P268" s="25">
        <v>7740</v>
      </c>
      <c r="Q268" s="25">
        <v>19302.25</v>
      </c>
      <c r="R268" s="18">
        <v>91.47985781990522</v>
      </c>
    </row>
    <row r="269" spans="1:18" x14ac:dyDescent="0.35">
      <c r="A269" s="13">
        <v>45171</v>
      </c>
      <c r="B269">
        <v>2023</v>
      </c>
      <c r="C269">
        <v>9</v>
      </c>
      <c r="D269" t="s">
        <v>73</v>
      </c>
      <c r="E269" t="s">
        <v>72</v>
      </c>
      <c r="F269">
        <v>202</v>
      </c>
      <c r="G269">
        <v>202</v>
      </c>
      <c r="H269">
        <v>0</v>
      </c>
      <c r="I269">
        <v>10</v>
      </c>
      <c r="J269" s="17">
        <v>0.77692307692307694</v>
      </c>
      <c r="K269">
        <v>43</v>
      </c>
      <c r="L269">
        <v>40</v>
      </c>
      <c r="M269" s="17">
        <v>0.93023255813953487</v>
      </c>
      <c r="N269" s="25">
        <v>8545</v>
      </c>
      <c r="O269" s="25">
        <v>2070.5</v>
      </c>
      <c r="P269" s="25">
        <v>7740</v>
      </c>
      <c r="Q269" s="25">
        <v>18355.5</v>
      </c>
      <c r="R269" s="18">
        <v>90.868811881188122</v>
      </c>
    </row>
    <row r="270" spans="1:18" x14ac:dyDescent="0.35">
      <c r="A270" s="13">
        <v>45178</v>
      </c>
      <c r="B270">
        <v>2023</v>
      </c>
      <c r="C270">
        <v>9</v>
      </c>
      <c r="D270" t="s">
        <v>73</v>
      </c>
      <c r="E270" t="s">
        <v>72</v>
      </c>
      <c r="F270">
        <v>206</v>
      </c>
      <c r="G270">
        <v>206</v>
      </c>
      <c r="H270">
        <v>0</v>
      </c>
      <c r="I270">
        <v>10</v>
      </c>
      <c r="J270" s="17">
        <v>0.79230769230769227</v>
      </c>
      <c r="K270">
        <v>43</v>
      </c>
      <c r="L270">
        <v>41</v>
      </c>
      <c r="M270" s="17">
        <v>0.95348837209302328</v>
      </c>
      <c r="N270" s="25">
        <v>8545</v>
      </c>
      <c r="O270" s="25">
        <v>2111.5</v>
      </c>
      <c r="P270" s="25">
        <v>7740</v>
      </c>
      <c r="Q270" s="25">
        <v>18396.5</v>
      </c>
      <c r="R270" s="18">
        <v>89.303398058252426</v>
      </c>
    </row>
    <row r="271" spans="1:18" x14ac:dyDescent="0.35">
      <c r="A271" s="13">
        <v>45185</v>
      </c>
      <c r="B271">
        <v>2023</v>
      </c>
      <c r="C271">
        <v>9</v>
      </c>
      <c r="D271" t="s">
        <v>73</v>
      </c>
      <c r="E271" t="s">
        <v>72</v>
      </c>
      <c r="F271">
        <v>198</v>
      </c>
      <c r="G271">
        <v>198</v>
      </c>
      <c r="H271">
        <v>0</v>
      </c>
      <c r="I271">
        <v>10</v>
      </c>
      <c r="J271" s="17">
        <v>0.7615384615384615</v>
      </c>
      <c r="K271">
        <v>43</v>
      </c>
      <c r="L271">
        <v>43</v>
      </c>
      <c r="M271" s="17">
        <v>1</v>
      </c>
      <c r="N271" s="25">
        <v>8545</v>
      </c>
      <c r="O271" s="25">
        <v>2029.5</v>
      </c>
      <c r="P271" s="25">
        <v>7740</v>
      </c>
      <c r="Q271" s="25">
        <v>18314.5</v>
      </c>
      <c r="R271" s="18">
        <v>92.497474747474755</v>
      </c>
    </row>
    <row r="272" spans="1:18" x14ac:dyDescent="0.35">
      <c r="A272" s="13">
        <v>45192</v>
      </c>
      <c r="B272">
        <v>2023</v>
      </c>
      <c r="C272">
        <v>9</v>
      </c>
      <c r="D272" t="s">
        <v>73</v>
      </c>
      <c r="E272" t="s">
        <v>72</v>
      </c>
      <c r="F272">
        <v>198</v>
      </c>
      <c r="G272">
        <v>198</v>
      </c>
      <c r="H272">
        <v>0</v>
      </c>
      <c r="I272">
        <v>10</v>
      </c>
      <c r="J272" s="17">
        <v>0.7615384615384615</v>
      </c>
      <c r="K272">
        <v>43</v>
      </c>
      <c r="L272">
        <v>42</v>
      </c>
      <c r="M272" s="17">
        <v>0.97674418604651159</v>
      </c>
      <c r="N272" s="25">
        <v>8545</v>
      </c>
      <c r="O272" s="25">
        <v>2029.5</v>
      </c>
      <c r="P272" s="25">
        <v>7740</v>
      </c>
      <c r="Q272" s="25">
        <v>18314.5</v>
      </c>
      <c r="R272" s="18">
        <v>92.497474747474755</v>
      </c>
    </row>
    <row r="273" spans="1:18" x14ac:dyDescent="0.35">
      <c r="A273" s="13">
        <v>45199</v>
      </c>
      <c r="B273">
        <v>2023</v>
      </c>
      <c r="C273">
        <v>9</v>
      </c>
      <c r="D273" t="s">
        <v>73</v>
      </c>
      <c r="E273" t="s">
        <v>72</v>
      </c>
      <c r="F273">
        <v>198</v>
      </c>
      <c r="G273">
        <v>198</v>
      </c>
      <c r="H273">
        <v>0</v>
      </c>
      <c r="I273">
        <v>10</v>
      </c>
      <c r="J273" s="17">
        <v>0.7615384615384615</v>
      </c>
      <c r="K273">
        <v>43</v>
      </c>
      <c r="L273">
        <v>43</v>
      </c>
      <c r="M273" s="17">
        <v>1</v>
      </c>
      <c r="N273" s="25">
        <v>8545</v>
      </c>
      <c r="O273" s="25">
        <v>2029.5</v>
      </c>
      <c r="P273" s="25">
        <v>7740</v>
      </c>
      <c r="Q273" s="25">
        <v>18314.5</v>
      </c>
      <c r="R273" s="18">
        <v>92.497474747474755</v>
      </c>
    </row>
    <row r="274" spans="1:18" x14ac:dyDescent="0.35">
      <c r="A274" s="13">
        <v>45206</v>
      </c>
      <c r="B274">
        <v>2023</v>
      </c>
      <c r="C274">
        <v>10</v>
      </c>
      <c r="D274" t="s">
        <v>73</v>
      </c>
      <c r="E274" t="s">
        <v>72</v>
      </c>
      <c r="F274">
        <v>189</v>
      </c>
      <c r="G274">
        <v>189</v>
      </c>
      <c r="H274">
        <v>0</v>
      </c>
      <c r="I274">
        <v>10</v>
      </c>
      <c r="J274" s="17">
        <v>0.72692307692307689</v>
      </c>
      <c r="K274">
        <v>43</v>
      </c>
      <c r="L274">
        <v>43</v>
      </c>
      <c r="M274" s="17">
        <v>1</v>
      </c>
      <c r="N274" s="25">
        <v>8545</v>
      </c>
      <c r="O274" s="25">
        <v>1937.25</v>
      </c>
      <c r="P274" s="25">
        <v>7740</v>
      </c>
      <c r="Q274" s="25">
        <v>18222.25</v>
      </c>
      <c r="R274" s="18">
        <v>96.414021164021165</v>
      </c>
    </row>
    <row r="275" spans="1:18" x14ac:dyDescent="0.35">
      <c r="A275" s="13">
        <v>45213</v>
      </c>
      <c r="B275">
        <v>2023</v>
      </c>
      <c r="C275">
        <v>10</v>
      </c>
      <c r="D275" t="s">
        <v>73</v>
      </c>
      <c r="E275" t="s">
        <v>72</v>
      </c>
      <c r="F275">
        <v>202</v>
      </c>
      <c r="G275">
        <v>202</v>
      </c>
      <c r="H275">
        <v>0</v>
      </c>
      <c r="I275">
        <v>10</v>
      </c>
      <c r="J275" s="17">
        <v>0.77692307692307694</v>
      </c>
      <c r="K275">
        <v>43</v>
      </c>
      <c r="L275">
        <v>42</v>
      </c>
      <c r="M275" s="17">
        <v>0.97674418604651159</v>
      </c>
      <c r="N275" s="25">
        <v>8545</v>
      </c>
      <c r="O275" s="25">
        <v>2070.5</v>
      </c>
      <c r="P275" s="25">
        <v>7740</v>
      </c>
      <c r="Q275" s="25">
        <v>18355.5</v>
      </c>
      <c r="R275" s="18">
        <v>90.868811881188122</v>
      </c>
    </row>
    <row r="276" spans="1:18" x14ac:dyDescent="0.35">
      <c r="A276" s="13">
        <v>45220</v>
      </c>
      <c r="B276">
        <v>2023</v>
      </c>
      <c r="C276">
        <v>10</v>
      </c>
      <c r="D276" t="s">
        <v>73</v>
      </c>
      <c r="E276" t="s">
        <v>72</v>
      </c>
      <c r="F276">
        <v>220</v>
      </c>
      <c r="G276">
        <v>220</v>
      </c>
      <c r="H276">
        <v>0</v>
      </c>
      <c r="I276">
        <v>12</v>
      </c>
      <c r="J276" s="17">
        <v>0.70512820512820518</v>
      </c>
      <c r="K276">
        <v>43</v>
      </c>
      <c r="L276">
        <v>42</v>
      </c>
      <c r="M276" s="17">
        <v>0.97674418604651159</v>
      </c>
      <c r="N276" s="25">
        <v>10254</v>
      </c>
      <c r="O276" s="25">
        <v>2255</v>
      </c>
      <c r="P276" s="25">
        <v>7740</v>
      </c>
      <c r="Q276" s="25">
        <v>20249</v>
      </c>
      <c r="R276" s="18">
        <v>92.040909090909096</v>
      </c>
    </row>
    <row r="277" spans="1:18" x14ac:dyDescent="0.35">
      <c r="A277" s="13">
        <v>45227</v>
      </c>
      <c r="B277">
        <v>2023</v>
      </c>
      <c r="C277">
        <v>10</v>
      </c>
      <c r="D277" t="s">
        <v>73</v>
      </c>
      <c r="E277" t="s">
        <v>72</v>
      </c>
      <c r="F277">
        <v>222</v>
      </c>
      <c r="G277">
        <v>222</v>
      </c>
      <c r="H277">
        <v>0</v>
      </c>
      <c r="I277">
        <v>11</v>
      </c>
      <c r="J277" s="17">
        <v>0.77622377622377625</v>
      </c>
      <c r="K277">
        <v>43</v>
      </c>
      <c r="L277">
        <v>42</v>
      </c>
      <c r="M277" s="17">
        <v>0.97674418604651159</v>
      </c>
      <c r="N277" s="25">
        <v>9399.5</v>
      </c>
      <c r="O277" s="25">
        <v>2275.5</v>
      </c>
      <c r="P277" s="25">
        <v>7740</v>
      </c>
      <c r="Q277" s="25">
        <v>19415</v>
      </c>
      <c r="R277" s="18">
        <v>87.454954954954957</v>
      </c>
    </row>
    <row r="278" spans="1:18" x14ac:dyDescent="0.35">
      <c r="A278" s="13">
        <v>45234</v>
      </c>
      <c r="B278">
        <v>2023</v>
      </c>
      <c r="C278">
        <v>11</v>
      </c>
      <c r="D278" t="s">
        <v>73</v>
      </c>
      <c r="E278" t="s">
        <v>72</v>
      </c>
      <c r="F278">
        <v>233</v>
      </c>
      <c r="G278">
        <v>233</v>
      </c>
      <c r="H278">
        <v>0</v>
      </c>
      <c r="I278">
        <v>11</v>
      </c>
      <c r="J278" s="17">
        <v>0.81468531468531469</v>
      </c>
      <c r="K278">
        <v>43</v>
      </c>
      <c r="L278">
        <v>42</v>
      </c>
      <c r="M278" s="17">
        <v>0.97674418604651159</v>
      </c>
      <c r="N278" s="25">
        <v>9399.5</v>
      </c>
      <c r="O278" s="25">
        <v>2388.25</v>
      </c>
      <c r="P278" s="25">
        <v>7740</v>
      </c>
      <c r="Q278" s="25">
        <v>19527.75</v>
      </c>
      <c r="R278" s="18">
        <v>83.810085836909877</v>
      </c>
    </row>
    <row r="279" spans="1:18" x14ac:dyDescent="0.35">
      <c r="A279" s="13">
        <v>45241</v>
      </c>
      <c r="B279">
        <v>2023</v>
      </c>
      <c r="C279">
        <v>11</v>
      </c>
      <c r="D279" t="s">
        <v>73</v>
      </c>
      <c r="E279" t="s">
        <v>72</v>
      </c>
      <c r="F279">
        <v>250</v>
      </c>
      <c r="G279">
        <v>250</v>
      </c>
      <c r="H279">
        <v>0</v>
      </c>
      <c r="I279">
        <v>11</v>
      </c>
      <c r="J279" s="17">
        <v>0.87412587412587417</v>
      </c>
      <c r="K279">
        <v>43</v>
      </c>
      <c r="L279">
        <v>42</v>
      </c>
      <c r="M279" s="17">
        <v>0.97674418604651159</v>
      </c>
      <c r="N279" s="25">
        <v>9399.5</v>
      </c>
      <c r="O279" s="25">
        <v>2562.5</v>
      </c>
      <c r="P279" s="25">
        <v>7740</v>
      </c>
      <c r="Q279" s="25">
        <v>19702</v>
      </c>
      <c r="R279" s="18">
        <v>78.808000000000007</v>
      </c>
    </row>
    <row r="280" spans="1:18" x14ac:dyDescent="0.35">
      <c r="A280" s="13">
        <v>45248</v>
      </c>
      <c r="B280">
        <v>2023</v>
      </c>
      <c r="C280">
        <v>11</v>
      </c>
      <c r="D280" t="s">
        <v>73</v>
      </c>
      <c r="E280" t="s">
        <v>72</v>
      </c>
      <c r="F280">
        <v>268</v>
      </c>
      <c r="G280">
        <v>266</v>
      </c>
      <c r="H280">
        <v>2</v>
      </c>
      <c r="I280">
        <v>13</v>
      </c>
      <c r="J280" s="17">
        <v>0.78698224852071008</v>
      </c>
      <c r="K280">
        <v>43</v>
      </c>
      <c r="L280">
        <v>42</v>
      </c>
      <c r="M280" s="17">
        <v>0.97674418604651159</v>
      </c>
      <c r="N280" s="25">
        <v>11108.5</v>
      </c>
      <c r="O280" s="25">
        <v>2726.5</v>
      </c>
      <c r="P280" s="25">
        <v>7740</v>
      </c>
      <c r="Q280" s="25">
        <v>21575</v>
      </c>
      <c r="R280" s="18">
        <v>81.109022556390983</v>
      </c>
    </row>
    <row r="281" spans="1:18" x14ac:dyDescent="0.35">
      <c r="A281" s="13">
        <v>45255</v>
      </c>
      <c r="B281">
        <v>2023</v>
      </c>
      <c r="C281">
        <v>11</v>
      </c>
      <c r="D281" t="s">
        <v>73</v>
      </c>
      <c r="E281" t="s">
        <v>72</v>
      </c>
      <c r="F281">
        <v>283</v>
      </c>
      <c r="G281">
        <v>281</v>
      </c>
      <c r="H281">
        <v>4</v>
      </c>
      <c r="I281">
        <v>15</v>
      </c>
      <c r="J281" s="17">
        <v>0.72051282051282051</v>
      </c>
      <c r="K281">
        <v>43</v>
      </c>
      <c r="L281">
        <v>41</v>
      </c>
      <c r="M281" s="17">
        <v>0.95348837209302328</v>
      </c>
      <c r="N281" s="25">
        <v>12817.5</v>
      </c>
      <c r="O281" s="25">
        <v>2880.25</v>
      </c>
      <c r="P281" s="25">
        <v>7740</v>
      </c>
      <c r="Q281" s="25">
        <v>23437.75</v>
      </c>
      <c r="R281" s="18">
        <v>83.408362989323848</v>
      </c>
    </row>
    <row r="282" spans="1:18" x14ac:dyDescent="0.35">
      <c r="A282" s="13">
        <v>45262</v>
      </c>
      <c r="B282">
        <v>2023</v>
      </c>
      <c r="C282">
        <v>12</v>
      </c>
      <c r="D282" t="s">
        <v>73</v>
      </c>
      <c r="E282" t="s">
        <v>72</v>
      </c>
      <c r="F282">
        <v>299</v>
      </c>
      <c r="G282">
        <v>294</v>
      </c>
      <c r="H282">
        <v>9</v>
      </c>
      <c r="I282">
        <v>16</v>
      </c>
      <c r="J282" s="17">
        <v>0.70673076923076927</v>
      </c>
      <c r="K282">
        <v>43</v>
      </c>
      <c r="L282">
        <v>41</v>
      </c>
      <c r="M282" s="17">
        <v>0.95348837209302328</v>
      </c>
      <c r="N282" s="25">
        <v>13672</v>
      </c>
      <c r="O282" s="25">
        <v>3013.5</v>
      </c>
      <c r="P282" s="25">
        <v>7740</v>
      </c>
      <c r="Q282" s="25">
        <v>24425.5</v>
      </c>
      <c r="R282" s="18">
        <v>83.079931972789112</v>
      </c>
    </row>
    <row r="283" spans="1:18" x14ac:dyDescent="0.35">
      <c r="A283" s="13">
        <v>45269</v>
      </c>
      <c r="B283">
        <v>2023</v>
      </c>
      <c r="C283">
        <v>12</v>
      </c>
      <c r="D283" t="s">
        <v>73</v>
      </c>
      <c r="E283" t="s">
        <v>72</v>
      </c>
      <c r="F283">
        <v>328</v>
      </c>
      <c r="G283">
        <v>309</v>
      </c>
      <c r="H283">
        <v>28</v>
      </c>
      <c r="I283">
        <v>16</v>
      </c>
      <c r="J283" s="17">
        <v>0.74278846153846156</v>
      </c>
      <c r="K283">
        <v>43</v>
      </c>
      <c r="L283">
        <v>41</v>
      </c>
      <c r="M283" s="17">
        <v>0.95348837209302328</v>
      </c>
      <c r="N283" s="25">
        <v>13672</v>
      </c>
      <c r="O283" s="25">
        <v>3167.25</v>
      </c>
      <c r="P283" s="25">
        <v>7740</v>
      </c>
      <c r="Q283" s="25">
        <v>24579.25</v>
      </c>
      <c r="R283" s="18">
        <v>79.54449838187702</v>
      </c>
    </row>
    <row r="284" spans="1:18" x14ac:dyDescent="0.35">
      <c r="A284" s="13">
        <v>45276</v>
      </c>
      <c r="B284">
        <v>2023</v>
      </c>
      <c r="C284">
        <v>12</v>
      </c>
      <c r="D284" t="s">
        <v>73</v>
      </c>
      <c r="E284" t="s">
        <v>72</v>
      </c>
      <c r="F284">
        <v>312</v>
      </c>
      <c r="G284">
        <v>309</v>
      </c>
      <c r="H284">
        <v>31</v>
      </c>
      <c r="I284">
        <v>17</v>
      </c>
      <c r="J284" s="17">
        <v>0.69909502262443435</v>
      </c>
      <c r="K284">
        <v>43</v>
      </c>
      <c r="L284">
        <v>40</v>
      </c>
      <c r="M284" s="17">
        <v>0.93023255813953487</v>
      </c>
      <c r="N284" s="25">
        <v>14526.5</v>
      </c>
      <c r="O284" s="25">
        <v>3167.25</v>
      </c>
      <c r="P284" s="25">
        <v>7740</v>
      </c>
      <c r="Q284" s="25">
        <v>25433.75</v>
      </c>
      <c r="R284" s="18">
        <v>82.309870550161818</v>
      </c>
    </row>
    <row r="285" spans="1:18" x14ac:dyDescent="0.35">
      <c r="A285" s="13">
        <v>45283</v>
      </c>
      <c r="B285">
        <v>2023</v>
      </c>
      <c r="C285">
        <v>12</v>
      </c>
      <c r="D285" t="s">
        <v>73</v>
      </c>
      <c r="E285" t="s">
        <v>72</v>
      </c>
      <c r="F285">
        <v>280</v>
      </c>
      <c r="G285">
        <v>294</v>
      </c>
      <c r="H285">
        <v>17</v>
      </c>
      <c r="I285">
        <v>15</v>
      </c>
      <c r="J285" s="17">
        <v>0.75384615384615383</v>
      </c>
      <c r="K285">
        <v>43</v>
      </c>
      <c r="L285">
        <v>41</v>
      </c>
      <c r="M285" s="17">
        <v>0.95348837209302328</v>
      </c>
      <c r="N285" s="25">
        <v>12817.5</v>
      </c>
      <c r="O285" s="25">
        <v>3013.5</v>
      </c>
      <c r="P285" s="25">
        <v>7740</v>
      </c>
      <c r="Q285" s="25">
        <v>23571</v>
      </c>
      <c r="R285" s="18">
        <v>80.173469387755105</v>
      </c>
    </row>
    <row r="286" spans="1:18" x14ac:dyDescent="0.35">
      <c r="A286" s="13">
        <v>45290</v>
      </c>
      <c r="B286">
        <v>2023</v>
      </c>
      <c r="C286">
        <v>12</v>
      </c>
      <c r="D286" t="s">
        <v>73</v>
      </c>
      <c r="E286" t="s">
        <v>72</v>
      </c>
      <c r="F286">
        <v>230</v>
      </c>
      <c r="G286">
        <v>243</v>
      </c>
      <c r="H286">
        <v>4</v>
      </c>
      <c r="I286">
        <v>12</v>
      </c>
      <c r="J286" s="17">
        <v>0.77884615384615385</v>
      </c>
      <c r="K286">
        <v>43</v>
      </c>
      <c r="L286">
        <v>43</v>
      </c>
      <c r="M286" s="17">
        <v>1</v>
      </c>
      <c r="N286" s="25">
        <v>10254</v>
      </c>
      <c r="O286" s="25">
        <v>2490.75</v>
      </c>
      <c r="P286" s="25">
        <v>7740</v>
      </c>
      <c r="Q286" s="25">
        <v>20484.75</v>
      </c>
      <c r="R286" s="18">
        <v>84.299382716049379</v>
      </c>
    </row>
    <row r="287" spans="1:18" x14ac:dyDescent="0.35">
      <c r="A287" s="13">
        <v>45297</v>
      </c>
      <c r="B287">
        <v>2024</v>
      </c>
      <c r="C287">
        <v>1</v>
      </c>
      <c r="D287" t="s">
        <v>73</v>
      </c>
      <c r="E287" t="s">
        <v>72</v>
      </c>
      <c r="F287">
        <v>197</v>
      </c>
      <c r="G287">
        <v>201</v>
      </c>
      <c r="H287">
        <v>0</v>
      </c>
      <c r="I287">
        <v>10</v>
      </c>
      <c r="J287" s="17">
        <v>0.77307692307692311</v>
      </c>
      <c r="K287">
        <v>43</v>
      </c>
      <c r="L287">
        <v>41</v>
      </c>
      <c r="M287" s="17">
        <v>0.95348837209302328</v>
      </c>
      <c r="N287" s="25">
        <v>8545</v>
      </c>
      <c r="O287" s="25">
        <v>2060.25</v>
      </c>
      <c r="P287" s="25">
        <v>7740</v>
      </c>
      <c r="Q287" s="25">
        <v>18345.25</v>
      </c>
      <c r="R287" s="18">
        <v>91.269900497512438</v>
      </c>
    </row>
    <row r="288" spans="1:18" x14ac:dyDescent="0.35">
      <c r="A288" s="13">
        <v>45304</v>
      </c>
      <c r="B288">
        <v>2024</v>
      </c>
      <c r="C288">
        <v>1</v>
      </c>
      <c r="D288" t="s">
        <v>73</v>
      </c>
      <c r="E288" t="s">
        <v>72</v>
      </c>
      <c r="F288">
        <v>156</v>
      </c>
      <c r="G288">
        <v>156</v>
      </c>
      <c r="H288">
        <v>0</v>
      </c>
      <c r="I288">
        <v>10</v>
      </c>
      <c r="J288" s="17">
        <v>0.6</v>
      </c>
      <c r="K288">
        <v>43</v>
      </c>
      <c r="L288">
        <v>37</v>
      </c>
      <c r="M288" s="17">
        <v>0.86046511627906974</v>
      </c>
      <c r="N288" s="25">
        <v>8545</v>
      </c>
      <c r="O288" s="25">
        <v>1599</v>
      </c>
      <c r="P288" s="25">
        <v>7740</v>
      </c>
      <c r="Q288" s="25">
        <v>17884</v>
      </c>
      <c r="R288" s="18">
        <v>114.64102564102561</v>
      </c>
    </row>
    <row r="289" spans="1:18" x14ac:dyDescent="0.35">
      <c r="A289" s="13">
        <v>45311</v>
      </c>
      <c r="B289">
        <v>2024</v>
      </c>
      <c r="C289">
        <v>1</v>
      </c>
      <c r="D289" t="s">
        <v>73</v>
      </c>
      <c r="E289" t="s">
        <v>72</v>
      </c>
      <c r="F289">
        <v>160</v>
      </c>
      <c r="G289">
        <v>160</v>
      </c>
      <c r="H289">
        <v>0</v>
      </c>
      <c r="I289">
        <v>10</v>
      </c>
      <c r="J289" s="17">
        <v>0.61538461538461542</v>
      </c>
      <c r="K289">
        <v>43</v>
      </c>
      <c r="L289">
        <v>38</v>
      </c>
      <c r="M289" s="17">
        <v>0.88372093023255816</v>
      </c>
      <c r="N289" s="25">
        <v>8545</v>
      </c>
      <c r="O289" s="25">
        <v>1640</v>
      </c>
      <c r="P289" s="25">
        <v>7740</v>
      </c>
      <c r="Q289" s="25">
        <v>17925</v>
      </c>
      <c r="R289" s="18">
        <v>112.03125</v>
      </c>
    </row>
    <row r="290" spans="1:18" x14ac:dyDescent="0.35">
      <c r="A290" s="13">
        <v>45318</v>
      </c>
      <c r="B290">
        <v>2024</v>
      </c>
      <c r="C290">
        <v>1</v>
      </c>
      <c r="D290" t="s">
        <v>73</v>
      </c>
      <c r="E290" t="s">
        <v>72</v>
      </c>
      <c r="F290">
        <v>182</v>
      </c>
      <c r="G290">
        <v>182</v>
      </c>
      <c r="H290">
        <v>0</v>
      </c>
      <c r="I290">
        <v>10</v>
      </c>
      <c r="J290" s="17">
        <v>0.7</v>
      </c>
      <c r="K290">
        <v>43</v>
      </c>
      <c r="L290">
        <v>39</v>
      </c>
      <c r="M290" s="17">
        <v>0.90697674418604646</v>
      </c>
      <c r="N290" s="25">
        <v>8545</v>
      </c>
      <c r="O290" s="25">
        <v>1865.5</v>
      </c>
      <c r="P290" s="25">
        <v>7740</v>
      </c>
      <c r="Q290" s="25">
        <v>18150.5</v>
      </c>
      <c r="R290" s="18">
        <v>99.728021978021971</v>
      </c>
    </row>
    <row r="291" spans="1:18" x14ac:dyDescent="0.35">
      <c r="A291" s="13">
        <v>45325</v>
      </c>
      <c r="B291">
        <v>2024</v>
      </c>
      <c r="C291">
        <v>2</v>
      </c>
      <c r="D291" t="s">
        <v>73</v>
      </c>
      <c r="E291" t="s">
        <v>72</v>
      </c>
      <c r="F291">
        <v>180</v>
      </c>
      <c r="G291">
        <v>180</v>
      </c>
      <c r="H291">
        <v>0</v>
      </c>
      <c r="I291">
        <v>10</v>
      </c>
      <c r="J291" s="17">
        <v>0.69230769230769229</v>
      </c>
      <c r="K291">
        <v>43</v>
      </c>
      <c r="L291">
        <v>38</v>
      </c>
      <c r="M291" s="17">
        <v>0.88372093023255816</v>
      </c>
      <c r="N291" s="25">
        <v>8545</v>
      </c>
      <c r="O291" s="25">
        <v>1845</v>
      </c>
      <c r="P291" s="25">
        <v>7740</v>
      </c>
      <c r="Q291" s="25">
        <v>18130</v>
      </c>
      <c r="R291" s="18">
        <v>100.7222222222222</v>
      </c>
    </row>
    <row r="292" spans="1:18" x14ac:dyDescent="0.35">
      <c r="A292" s="13">
        <v>45332</v>
      </c>
      <c r="B292">
        <v>2024</v>
      </c>
      <c r="C292">
        <v>2</v>
      </c>
      <c r="D292" t="s">
        <v>73</v>
      </c>
      <c r="E292" t="s">
        <v>72</v>
      </c>
      <c r="F292">
        <v>194</v>
      </c>
      <c r="G292">
        <v>194</v>
      </c>
      <c r="H292">
        <v>0</v>
      </c>
      <c r="I292">
        <v>10</v>
      </c>
      <c r="J292" s="17">
        <v>0.74615384615384617</v>
      </c>
      <c r="K292">
        <v>43</v>
      </c>
      <c r="L292">
        <v>40</v>
      </c>
      <c r="M292" s="17">
        <v>0.93023255813953487</v>
      </c>
      <c r="N292" s="25">
        <v>8545</v>
      </c>
      <c r="O292" s="25">
        <v>1988.5</v>
      </c>
      <c r="P292" s="25">
        <v>7740</v>
      </c>
      <c r="Q292" s="25">
        <v>18273.5</v>
      </c>
      <c r="R292" s="18">
        <v>94.19329896907216</v>
      </c>
    </row>
    <row r="293" spans="1:18" x14ac:dyDescent="0.35">
      <c r="A293" s="13">
        <v>45339</v>
      </c>
      <c r="B293">
        <v>2024</v>
      </c>
      <c r="C293">
        <v>2</v>
      </c>
      <c r="D293" t="s">
        <v>73</v>
      </c>
      <c r="E293" t="s">
        <v>72</v>
      </c>
      <c r="F293">
        <v>202</v>
      </c>
      <c r="G293">
        <v>202</v>
      </c>
      <c r="H293">
        <v>0</v>
      </c>
      <c r="I293">
        <v>10</v>
      </c>
      <c r="J293" s="17">
        <v>0.77692307692307694</v>
      </c>
      <c r="K293">
        <v>43</v>
      </c>
      <c r="L293">
        <v>42</v>
      </c>
      <c r="M293" s="17">
        <v>0.97674418604651159</v>
      </c>
      <c r="N293" s="25">
        <v>8545</v>
      </c>
      <c r="O293" s="25">
        <v>2070.5</v>
      </c>
      <c r="P293" s="25">
        <v>7740</v>
      </c>
      <c r="Q293" s="25">
        <v>18355.5</v>
      </c>
      <c r="R293" s="18">
        <v>90.868811881188122</v>
      </c>
    </row>
    <row r="294" spans="1:18" x14ac:dyDescent="0.35">
      <c r="A294" s="13">
        <v>45346</v>
      </c>
      <c r="B294">
        <v>2024</v>
      </c>
      <c r="C294">
        <v>2</v>
      </c>
      <c r="D294" t="s">
        <v>73</v>
      </c>
      <c r="E294" t="s">
        <v>72</v>
      </c>
      <c r="F294">
        <v>192</v>
      </c>
      <c r="G294">
        <v>192</v>
      </c>
      <c r="H294">
        <v>0</v>
      </c>
      <c r="I294">
        <v>10</v>
      </c>
      <c r="J294" s="17">
        <v>0.7384615384615385</v>
      </c>
      <c r="K294">
        <v>43</v>
      </c>
      <c r="L294">
        <v>43</v>
      </c>
      <c r="M294" s="17">
        <v>1</v>
      </c>
      <c r="N294" s="25">
        <v>8545</v>
      </c>
      <c r="O294" s="25">
        <v>1968</v>
      </c>
      <c r="P294" s="25">
        <v>7740</v>
      </c>
      <c r="Q294" s="25">
        <v>18253</v>
      </c>
      <c r="R294" s="18">
        <v>95.067708333333329</v>
      </c>
    </row>
    <row r="295" spans="1:18" x14ac:dyDescent="0.35">
      <c r="A295" s="13">
        <v>45353</v>
      </c>
      <c r="B295">
        <v>2024</v>
      </c>
      <c r="C295">
        <v>3</v>
      </c>
      <c r="D295" t="s">
        <v>73</v>
      </c>
      <c r="E295" t="s">
        <v>72</v>
      </c>
      <c r="F295">
        <v>200</v>
      </c>
      <c r="G295">
        <v>200</v>
      </c>
      <c r="H295">
        <v>0</v>
      </c>
      <c r="I295">
        <v>10</v>
      </c>
      <c r="J295" s="17">
        <v>0.76923076923076927</v>
      </c>
      <c r="K295">
        <v>43</v>
      </c>
      <c r="L295">
        <v>41</v>
      </c>
      <c r="M295" s="17">
        <v>0.95348837209302328</v>
      </c>
      <c r="N295" s="25">
        <v>8545</v>
      </c>
      <c r="O295" s="25">
        <v>2050</v>
      </c>
      <c r="P295" s="25">
        <v>7740</v>
      </c>
      <c r="Q295" s="25">
        <v>18335</v>
      </c>
      <c r="R295" s="18">
        <v>91.674999999999997</v>
      </c>
    </row>
    <row r="296" spans="1:18" x14ac:dyDescent="0.35">
      <c r="A296" s="13">
        <v>45360</v>
      </c>
      <c r="B296">
        <v>2024</v>
      </c>
      <c r="C296">
        <v>3</v>
      </c>
      <c r="D296" t="s">
        <v>73</v>
      </c>
      <c r="E296" t="s">
        <v>72</v>
      </c>
      <c r="F296">
        <v>206</v>
      </c>
      <c r="G296">
        <v>206</v>
      </c>
      <c r="H296">
        <v>0</v>
      </c>
      <c r="I296">
        <v>10</v>
      </c>
      <c r="J296" s="17">
        <v>0.79230769230769227</v>
      </c>
      <c r="K296">
        <v>43</v>
      </c>
      <c r="L296">
        <v>42</v>
      </c>
      <c r="M296" s="17">
        <v>0.97674418604651159</v>
      </c>
      <c r="N296" s="25">
        <v>8545</v>
      </c>
      <c r="O296" s="25">
        <v>2111.5</v>
      </c>
      <c r="P296" s="25">
        <v>7740</v>
      </c>
      <c r="Q296" s="25">
        <v>18396.5</v>
      </c>
      <c r="R296" s="18">
        <v>89.303398058252426</v>
      </c>
    </row>
    <row r="297" spans="1:18" x14ac:dyDescent="0.35">
      <c r="A297" s="13">
        <v>45367</v>
      </c>
      <c r="B297">
        <v>2024</v>
      </c>
      <c r="C297">
        <v>3</v>
      </c>
      <c r="D297" t="s">
        <v>73</v>
      </c>
      <c r="E297" t="s">
        <v>72</v>
      </c>
      <c r="F297">
        <v>201</v>
      </c>
      <c r="G297">
        <v>201</v>
      </c>
      <c r="H297">
        <v>0</v>
      </c>
      <c r="I297">
        <v>10</v>
      </c>
      <c r="J297" s="17">
        <v>0.77307692307692311</v>
      </c>
      <c r="K297">
        <v>43</v>
      </c>
      <c r="L297">
        <v>39</v>
      </c>
      <c r="M297" s="17">
        <v>0.90697674418604646</v>
      </c>
      <c r="N297" s="25">
        <v>8545</v>
      </c>
      <c r="O297" s="25">
        <v>2060.25</v>
      </c>
      <c r="P297" s="25">
        <v>7740</v>
      </c>
      <c r="Q297" s="25">
        <v>18345.25</v>
      </c>
      <c r="R297" s="18">
        <v>91.269900497512438</v>
      </c>
    </row>
    <row r="298" spans="1:18" x14ac:dyDescent="0.35">
      <c r="A298" s="13">
        <v>45374</v>
      </c>
      <c r="B298">
        <v>2024</v>
      </c>
      <c r="C298">
        <v>3</v>
      </c>
      <c r="D298" t="s">
        <v>73</v>
      </c>
      <c r="E298" t="s">
        <v>72</v>
      </c>
      <c r="F298">
        <v>214</v>
      </c>
      <c r="G298">
        <v>214</v>
      </c>
      <c r="H298">
        <v>0</v>
      </c>
      <c r="I298">
        <v>10</v>
      </c>
      <c r="J298" s="17">
        <v>0.82307692307692304</v>
      </c>
      <c r="K298">
        <v>43</v>
      </c>
      <c r="L298">
        <v>43</v>
      </c>
      <c r="M298" s="17">
        <v>1</v>
      </c>
      <c r="N298" s="25">
        <v>8545</v>
      </c>
      <c r="O298" s="25">
        <v>2193.5</v>
      </c>
      <c r="P298" s="25">
        <v>7740</v>
      </c>
      <c r="Q298" s="25">
        <v>18478.5</v>
      </c>
      <c r="R298" s="18">
        <v>86.348130841121488</v>
      </c>
    </row>
    <row r="299" spans="1:18" x14ac:dyDescent="0.35">
      <c r="A299" s="13">
        <v>45381</v>
      </c>
      <c r="B299">
        <v>2024</v>
      </c>
      <c r="C299">
        <v>3</v>
      </c>
      <c r="D299" t="s">
        <v>73</v>
      </c>
      <c r="E299" t="s">
        <v>72</v>
      </c>
      <c r="F299">
        <v>201</v>
      </c>
      <c r="G299">
        <v>201</v>
      </c>
      <c r="H299">
        <v>0</v>
      </c>
      <c r="I299">
        <v>10</v>
      </c>
      <c r="J299" s="17">
        <v>0.77307692307692311</v>
      </c>
      <c r="K299">
        <v>43</v>
      </c>
      <c r="L299">
        <v>41</v>
      </c>
      <c r="M299" s="17">
        <v>0.95348837209302328</v>
      </c>
      <c r="N299" s="25">
        <v>8545</v>
      </c>
      <c r="O299" s="25">
        <v>2060.25</v>
      </c>
      <c r="P299" s="25">
        <v>7740</v>
      </c>
      <c r="Q299" s="25">
        <v>18345.25</v>
      </c>
      <c r="R299" s="18">
        <v>91.269900497512438</v>
      </c>
    </row>
    <row r="300" spans="1:18" x14ac:dyDescent="0.35">
      <c r="A300" s="13">
        <v>45388</v>
      </c>
      <c r="B300">
        <v>2024</v>
      </c>
      <c r="C300">
        <v>4</v>
      </c>
      <c r="D300" t="s">
        <v>73</v>
      </c>
      <c r="E300" t="s">
        <v>72</v>
      </c>
      <c r="F300">
        <v>200</v>
      </c>
      <c r="G300">
        <v>200</v>
      </c>
      <c r="H300">
        <v>0</v>
      </c>
      <c r="I300">
        <v>10</v>
      </c>
      <c r="J300" s="17">
        <v>0.76923076923076927</v>
      </c>
      <c r="K300">
        <v>43</v>
      </c>
      <c r="L300">
        <v>43</v>
      </c>
      <c r="M300" s="17">
        <v>1</v>
      </c>
      <c r="N300" s="25">
        <v>8545</v>
      </c>
      <c r="O300" s="25">
        <v>2050</v>
      </c>
      <c r="P300" s="25">
        <v>7740</v>
      </c>
      <c r="Q300" s="25">
        <v>18335</v>
      </c>
      <c r="R300" s="18">
        <v>91.674999999999997</v>
      </c>
    </row>
    <row r="301" spans="1:18" x14ac:dyDescent="0.35">
      <c r="A301" s="13">
        <v>45395</v>
      </c>
      <c r="B301">
        <v>2024</v>
      </c>
      <c r="C301">
        <v>4</v>
      </c>
      <c r="D301" t="s">
        <v>73</v>
      </c>
      <c r="E301" t="s">
        <v>72</v>
      </c>
      <c r="F301">
        <v>201</v>
      </c>
      <c r="G301">
        <v>201</v>
      </c>
      <c r="H301">
        <v>0</v>
      </c>
      <c r="I301">
        <v>10</v>
      </c>
      <c r="J301" s="17">
        <v>0.77307692307692311</v>
      </c>
      <c r="K301">
        <v>43</v>
      </c>
      <c r="L301">
        <v>40</v>
      </c>
      <c r="M301" s="17">
        <v>0.93023255813953487</v>
      </c>
      <c r="N301" s="25">
        <v>8545</v>
      </c>
      <c r="O301" s="25">
        <v>2060.25</v>
      </c>
      <c r="P301" s="25">
        <v>7740</v>
      </c>
      <c r="Q301" s="25">
        <v>18345.25</v>
      </c>
      <c r="R301" s="18">
        <v>91.269900497512438</v>
      </c>
    </row>
    <row r="302" spans="1:18" x14ac:dyDescent="0.35">
      <c r="A302" s="13">
        <v>45402</v>
      </c>
      <c r="B302">
        <v>2024</v>
      </c>
      <c r="C302">
        <v>4</v>
      </c>
      <c r="D302" t="s">
        <v>73</v>
      </c>
      <c r="E302" t="s">
        <v>72</v>
      </c>
      <c r="F302">
        <v>207</v>
      </c>
      <c r="G302">
        <v>207</v>
      </c>
      <c r="H302">
        <v>0</v>
      </c>
      <c r="I302">
        <v>10</v>
      </c>
      <c r="J302" s="17">
        <v>0.7961538461538461</v>
      </c>
      <c r="K302">
        <v>43</v>
      </c>
      <c r="L302">
        <v>41</v>
      </c>
      <c r="M302" s="17">
        <v>0.95348837209302328</v>
      </c>
      <c r="N302" s="25">
        <v>8545</v>
      </c>
      <c r="O302" s="25">
        <v>2121.75</v>
      </c>
      <c r="P302" s="25">
        <v>7740</v>
      </c>
      <c r="Q302" s="25">
        <v>18406.75</v>
      </c>
      <c r="R302" s="18">
        <v>88.921497584541058</v>
      </c>
    </row>
    <row r="303" spans="1:18" x14ac:dyDescent="0.35">
      <c r="A303" s="13">
        <v>45409</v>
      </c>
      <c r="B303">
        <v>2024</v>
      </c>
      <c r="C303">
        <v>4</v>
      </c>
      <c r="D303" t="s">
        <v>73</v>
      </c>
      <c r="E303" t="s">
        <v>72</v>
      </c>
      <c r="F303">
        <v>215</v>
      </c>
      <c r="G303">
        <v>215</v>
      </c>
      <c r="H303">
        <v>0</v>
      </c>
      <c r="I303">
        <v>10</v>
      </c>
      <c r="J303" s="17">
        <v>0.82692307692307687</v>
      </c>
      <c r="K303">
        <v>43</v>
      </c>
      <c r="L303">
        <v>43</v>
      </c>
      <c r="M303" s="17">
        <v>1</v>
      </c>
      <c r="N303" s="25">
        <v>8545</v>
      </c>
      <c r="O303" s="25">
        <v>2203.75</v>
      </c>
      <c r="P303" s="25">
        <v>7740</v>
      </c>
      <c r="Q303" s="25">
        <v>18488.75</v>
      </c>
      <c r="R303" s="18">
        <v>85.994186046511629</v>
      </c>
    </row>
    <row r="304" spans="1:18" x14ac:dyDescent="0.35">
      <c r="A304" s="13">
        <v>45416</v>
      </c>
      <c r="B304">
        <v>2024</v>
      </c>
      <c r="C304">
        <v>5</v>
      </c>
      <c r="D304" t="s">
        <v>73</v>
      </c>
      <c r="E304" t="s">
        <v>72</v>
      </c>
      <c r="F304">
        <v>234</v>
      </c>
      <c r="G304">
        <v>234</v>
      </c>
      <c r="H304">
        <v>0</v>
      </c>
      <c r="I304">
        <v>11</v>
      </c>
      <c r="J304" s="17">
        <v>0.81818181818181823</v>
      </c>
      <c r="K304">
        <v>43</v>
      </c>
      <c r="L304">
        <v>42</v>
      </c>
      <c r="M304" s="17">
        <v>0.97674418604651159</v>
      </c>
      <c r="N304" s="25">
        <v>9399.5</v>
      </c>
      <c r="O304" s="25">
        <v>2398.5</v>
      </c>
      <c r="P304" s="25">
        <v>7740</v>
      </c>
      <c r="Q304" s="25">
        <v>19538</v>
      </c>
      <c r="R304" s="18">
        <v>83.495726495726501</v>
      </c>
    </row>
    <row r="305" spans="1:18" x14ac:dyDescent="0.35">
      <c r="A305" s="13">
        <v>45423</v>
      </c>
      <c r="B305">
        <v>2024</v>
      </c>
      <c r="C305">
        <v>5</v>
      </c>
      <c r="D305" t="s">
        <v>73</v>
      </c>
      <c r="E305" t="s">
        <v>72</v>
      </c>
      <c r="F305">
        <v>212</v>
      </c>
      <c r="G305">
        <v>212</v>
      </c>
      <c r="H305">
        <v>0</v>
      </c>
      <c r="I305">
        <v>10</v>
      </c>
      <c r="J305" s="17">
        <v>0.81538461538461537</v>
      </c>
      <c r="K305">
        <v>43</v>
      </c>
      <c r="L305">
        <v>41</v>
      </c>
      <c r="M305" s="17">
        <v>0.95348837209302328</v>
      </c>
      <c r="N305" s="25">
        <v>8545</v>
      </c>
      <c r="O305" s="25">
        <v>2173</v>
      </c>
      <c r="P305" s="25">
        <v>7740</v>
      </c>
      <c r="Q305" s="25">
        <v>18458</v>
      </c>
      <c r="R305" s="18">
        <v>87.066037735849051</v>
      </c>
    </row>
    <row r="306" spans="1:18" x14ac:dyDescent="0.35">
      <c r="A306" s="13">
        <v>45430</v>
      </c>
      <c r="B306">
        <v>2024</v>
      </c>
      <c r="C306">
        <v>5</v>
      </c>
      <c r="D306" t="s">
        <v>73</v>
      </c>
      <c r="E306" t="s">
        <v>72</v>
      </c>
      <c r="F306">
        <v>213</v>
      </c>
      <c r="G306">
        <v>213</v>
      </c>
      <c r="H306">
        <v>0</v>
      </c>
      <c r="I306">
        <v>10</v>
      </c>
      <c r="J306" s="17">
        <v>0.81923076923076921</v>
      </c>
      <c r="K306">
        <v>43</v>
      </c>
      <c r="L306">
        <v>42</v>
      </c>
      <c r="M306" s="17">
        <v>0.97674418604651159</v>
      </c>
      <c r="N306" s="25">
        <v>8545</v>
      </c>
      <c r="O306" s="25">
        <v>2183.25</v>
      </c>
      <c r="P306" s="25">
        <v>7740</v>
      </c>
      <c r="Q306" s="25">
        <v>18468.25</v>
      </c>
      <c r="R306" s="18">
        <v>86.705399061032864</v>
      </c>
    </row>
    <row r="307" spans="1:18" x14ac:dyDescent="0.35">
      <c r="A307" s="13">
        <v>45437</v>
      </c>
      <c r="B307">
        <v>2024</v>
      </c>
      <c r="C307">
        <v>5</v>
      </c>
      <c r="D307" t="s">
        <v>73</v>
      </c>
      <c r="E307" t="s">
        <v>72</v>
      </c>
      <c r="F307">
        <v>228</v>
      </c>
      <c r="G307">
        <v>228</v>
      </c>
      <c r="H307">
        <v>0</v>
      </c>
      <c r="I307">
        <v>12</v>
      </c>
      <c r="J307" s="17">
        <v>0.73076923076923073</v>
      </c>
      <c r="K307">
        <v>43</v>
      </c>
      <c r="L307">
        <v>41</v>
      </c>
      <c r="M307" s="17">
        <v>0.95348837209302328</v>
      </c>
      <c r="N307" s="25">
        <v>10254</v>
      </c>
      <c r="O307" s="25">
        <v>2337</v>
      </c>
      <c r="P307" s="25">
        <v>7740</v>
      </c>
      <c r="Q307" s="25">
        <v>20331</v>
      </c>
      <c r="R307" s="18">
        <v>89.171052631578945</v>
      </c>
    </row>
    <row r="308" spans="1:18" x14ac:dyDescent="0.35">
      <c r="A308" s="13">
        <v>45444</v>
      </c>
      <c r="B308">
        <v>2024</v>
      </c>
      <c r="C308">
        <v>6</v>
      </c>
      <c r="D308" t="s">
        <v>73</v>
      </c>
      <c r="E308" t="s">
        <v>72</v>
      </c>
      <c r="F308">
        <v>221</v>
      </c>
      <c r="G308">
        <v>221</v>
      </c>
      <c r="H308">
        <v>0</v>
      </c>
      <c r="I308">
        <v>10</v>
      </c>
      <c r="J308" s="17">
        <v>0.85</v>
      </c>
      <c r="K308">
        <v>43</v>
      </c>
      <c r="L308">
        <v>40</v>
      </c>
      <c r="M308" s="17">
        <v>0.93023255813953487</v>
      </c>
      <c r="N308" s="25">
        <v>8545</v>
      </c>
      <c r="O308" s="25">
        <v>2265.25</v>
      </c>
      <c r="P308" s="25">
        <v>7740</v>
      </c>
      <c r="Q308" s="25">
        <v>18550.25</v>
      </c>
      <c r="R308" s="18">
        <v>83.937782805429862</v>
      </c>
    </row>
    <row r="309" spans="1:18" x14ac:dyDescent="0.35">
      <c r="A309" s="13">
        <v>45451</v>
      </c>
      <c r="B309">
        <v>2024</v>
      </c>
      <c r="C309">
        <v>6</v>
      </c>
      <c r="D309" t="s">
        <v>73</v>
      </c>
      <c r="E309" t="s">
        <v>72</v>
      </c>
      <c r="F309">
        <v>217</v>
      </c>
      <c r="G309">
        <v>217</v>
      </c>
      <c r="H309">
        <v>0</v>
      </c>
      <c r="I309">
        <v>11</v>
      </c>
      <c r="J309" s="17">
        <v>0.75874125874125875</v>
      </c>
      <c r="K309">
        <v>43</v>
      </c>
      <c r="L309">
        <v>43</v>
      </c>
      <c r="M309" s="17">
        <v>1</v>
      </c>
      <c r="N309" s="25">
        <v>9399.5</v>
      </c>
      <c r="O309" s="25">
        <v>2224.25</v>
      </c>
      <c r="P309" s="25">
        <v>7740</v>
      </c>
      <c r="Q309" s="25">
        <v>19363.75</v>
      </c>
      <c r="R309" s="18">
        <v>89.233870967741936</v>
      </c>
    </row>
    <row r="310" spans="1:18" x14ac:dyDescent="0.35">
      <c r="A310" s="13">
        <v>45458</v>
      </c>
      <c r="B310">
        <v>2024</v>
      </c>
      <c r="C310">
        <v>6</v>
      </c>
      <c r="D310" t="s">
        <v>73</v>
      </c>
      <c r="E310" t="s">
        <v>72</v>
      </c>
      <c r="F310">
        <v>212</v>
      </c>
      <c r="G310">
        <v>212</v>
      </c>
      <c r="H310">
        <v>0</v>
      </c>
      <c r="I310">
        <v>10</v>
      </c>
      <c r="J310" s="17">
        <v>0.81538461538461537</v>
      </c>
      <c r="K310">
        <v>43</v>
      </c>
      <c r="L310">
        <v>39</v>
      </c>
      <c r="M310" s="17">
        <v>0.90697674418604646</v>
      </c>
      <c r="N310" s="25">
        <v>8545</v>
      </c>
      <c r="O310" s="25">
        <v>2173</v>
      </c>
      <c r="P310" s="25">
        <v>7740</v>
      </c>
      <c r="Q310" s="25">
        <v>18458</v>
      </c>
      <c r="R310" s="18">
        <v>87.066037735849051</v>
      </c>
    </row>
    <row r="311" spans="1:18" x14ac:dyDescent="0.35">
      <c r="A311" s="13">
        <v>45465</v>
      </c>
      <c r="B311">
        <v>2024</v>
      </c>
      <c r="C311">
        <v>6</v>
      </c>
      <c r="D311" t="s">
        <v>73</v>
      </c>
      <c r="E311" t="s">
        <v>72</v>
      </c>
      <c r="F311">
        <v>216</v>
      </c>
      <c r="G311">
        <v>216</v>
      </c>
      <c r="H311">
        <v>0</v>
      </c>
      <c r="I311">
        <v>11</v>
      </c>
      <c r="J311" s="17">
        <v>0.75524475524475521</v>
      </c>
      <c r="K311">
        <v>43</v>
      </c>
      <c r="L311">
        <v>43</v>
      </c>
      <c r="M311" s="17">
        <v>1</v>
      </c>
      <c r="N311" s="25">
        <v>9399.5</v>
      </c>
      <c r="O311" s="25">
        <v>2214</v>
      </c>
      <c r="P311" s="25">
        <v>7740</v>
      </c>
      <c r="Q311" s="25">
        <v>19353.5</v>
      </c>
      <c r="R311" s="18">
        <v>89.599537037037038</v>
      </c>
    </row>
    <row r="312" spans="1:18" x14ac:dyDescent="0.35">
      <c r="A312" s="13">
        <v>45472</v>
      </c>
      <c r="B312">
        <v>2024</v>
      </c>
      <c r="C312">
        <v>6</v>
      </c>
      <c r="D312" t="s">
        <v>73</v>
      </c>
      <c r="E312" t="s">
        <v>72</v>
      </c>
      <c r="F312">
        <v>206</v>
      </c>
      <c r="G312">
        <v>206</v>
      </c>
      <c r="H312">
        <v>0</v>
      </c>
      <c r="I312">
        <v>10</v>
      </c>
      <c r="J312" s="17">
        <v>0.79230769230769227</v>
      </c>
      <c r="K312">
        <v>43</v>
      </c>
      <c r="L312">
        <v>43</v>
      </c>
      <c r="M312" s="17">
        <v>1</v>
      </c>
      <c r="N312" s="25">
        <v>8545</v>
      </c>
      <c r="O312" s="25">
        <v>2111.5</v>
      </c>
      <c r="P312" s="25">
        <v>7740</v>
      </c>
      <c r="Q312" s="25">
        <v>18396.5</v>
      </c>
      <c r="R312" s="18">
        <v>89.303398058252426</v>
      </c>
    </row>
    <row r="313" spans="1:18" x14ac:dyDescent="0.35">
      <c r="A313" s="13">
        <v>45479</v>
      </c>
      <c r="B313">
        <v>2024</v>
      </c>
      <c r="C313">
        <v>7</v>
      </c>
      <c r="D313" t="s">
        <v>73</v>
      </c>
      <c r="E313" t="s">
        <v>72</v>
      </c>
      <c r="F313">
        <v>204</v>
      </c>
      <c r="G313">
        <v>204</v>
      </c>
      <c r="H313">
        <v>0</v>
      </c>
      <c r="I313">
        <v>10</v>
      </c>
      <c r="J313" s="17">
        <v>0.7846153846153846</v>
      </c>
      <c r="K313">
        <v>43</v>
      </c>
      <c r="L313">
        <v>43</v>
      </c>
      <c r="M313" s="17">
        <v>1</v>
      </c>
      <c r="N313" s="25">
        <v>8545</v>
      </c>
      <c r="O313" s="25">
        <v>2091</v>
      </c>
      <c r="P313" s="25">
        <v>7740</v>
      </c>
      <c r="Q313" s="25">
        <v>18376</v>
      </c>
      <c r="R313" s="18">
        <v>90.078431372549019</v>
      </c>
    </row>
    <row r="314" spans="1:18" x14ac:dyDescent="0.35">
      <c r="A314" s="13">
        <v>45486</v>
      </c>
      <c r="B314">
        <v>2024</v>
      </c>
      <c r="C314">
        <v>7</v>
      </c>
      <c r="D314" t="s">
        <v>73</v>
      </c>
      <c r="E314" t="s">
        <v>72</v>
      </c>
      <c r="F314">
        <v>205</v>
      </c>
      <c r="G314">
        <v>205</v>
      </c>
      <c r="H314">
        <v>0</v>
      </c>
      <c r="I314">
        <v>10</v>
      </c>
      <c r="J314" s="17">
        <v>0.78846153846153844</v>
      </c>
      <c r="K314">
        <v>43</v>
      </c>
      <c r="L314">
        <v>41</v>
      </c>
      <c r="M314" s="17">
        <v>0.95348837209302328</v>
      </c>
      <c r="N314" s="25">
        <v>8545</v>
      </c>
      <c r="O314" s="25">
        <v>2101.25</v>
      </c>
      <c r="P314" s="25">
        <v>7740</v>
      </c>
      <c r="Q314" s="25">
        <v>18386.25</v>
      </c>
      <c r="R314" s="18">
        <v>89.689024390243901</v>
      </c>
    </row>
    <row r="315" spans="1:18" x14ac:dyDescent="0.35">
      <c r="A315" s="13">
        <v>45493</v>
      </c>
      <c r="B315">
        <v>2024</v>
      </c>
      <c r="C315">
        <v>7</v>
      </c>
      <c r="D315" t="s">
        <v>73</v>
      </c>
      <c r="E315" t="s">
        <v>72</v>
      </c>
      <c r="F315">
        <v>207</v>
      </c>
      <c r="G315">
        <v>207</v>
      </c>
      <c r="H315">
        <v>0</v>
      </c>
      <c r="I315">
        <v>10</v>
      </c>
      <c r="J315" s="17">
        <v>0.7961538461538461</v>
      </c>
      <c r="K315">
        <v>43</v>
      </c>
      <c r="L315">
        <v>41</v>
      </c>
      <c r="M315" s="17">
        <v>0.95348837209302328</v>
      </c>
      <c r="N315" s="25">
        <v>8545</v>
      </c>
      <c r="O315" s="25">
        <v>2121.75</v>
      </c>
      <c r="P315" s="25">
        <v>7740</v>
      </c>
      <c r="Q315" s="25">
        <v>18406.75</v>
      </c>
      <c r="R315" s="18">
        <v>88.921497584541058</v>
      </c>
    </row>
    <row r="316" spans="1:18" x14ac:dyDescent="0.35">
      <c r="A316" s="13">
        <v>45500</v>
      </c>
      <c r="B316">
        <v>2024</v>
      </c>
      <c r="C316">
        <v>7</v>
      </c>
      <c r="D316" t="s">
        <v>73</v>
      </c>
      <c r="E316" t="s">
        <v>72</v>
      </c>
      <c r="F316">
        <v>210</v>
      </c>
      <c r="G316">
        <v>210</v>
      </c>
      <c r="H316">
        <v>0</v>
      </c>
      <c r="I316">
        <v>10</v>
      </c>
      <c r="J316" s="17">
        <v>0.80769230769230771</v>
      </c>
      <c r="K316">
        <v>43</v>
      </c>
      <c r="L316">
        <v>43</v>
      </c>
      <c r="M316" s="17">
        <v>1</v>
      </c>
      <c r="N316" s="25">
        <v>8545</v>
      </c>
      <c r="O316" s="25">
        <v>2152.5</v>
      </c>
      <c r="P316" s="25">
        <v>7740</v>
      </c>
      <c r="Q316" s="25">
        <v>18437.5</v>
      </c>
      <c r="R316" s="18">
        <v>87.797619047619051</v>
      </c>
    </row>
    <row r="317" spans="1:18" x14ac:dyDescent="0.35">
      <c r="A317" s="13">
        <v>45507</v>
      </c>
      <c r="B317">
        <v>2024</v>
      </c>
      <c r="C317">
        <v>8</v>
      </c>
      <c r="D317" t="s">
        <v>73</v>
      </c>
      <c r="E317" t="s">
        <v>72</v>
      </c>
      <c r="F317">
        <v>220</v>
      </c>
      <c r="G317">
        <v>220</v>
      </c>
      <c r="H317">
        <v>0</v>
      </c>
      <c r="I317">
        <v>10</v>
      </c>
      <c r="J317" s="17">
        <v>0.84615384615384615</v>
      </c>
      <c r="K317">
        <v>43</v>
      </c>
      <c r="L317">
        <v>40</v>
      </c>
      <c r="M317" s="17">
        <v>0.93023255813953487</v>
      </c>
      <c r="N317" s="25">
        <v>8545</v>
      </c>
      <c r="O317" s="25">
        <v>2255</v>
      </c>
      <c r="P317" s="25">
        <v>7740</v>
      </c>
      <c r="Q317" s="25">
        <v>18540</v>
      </c>
      <c r="R317" s="18">
        <v>84.272727272727266</v>
      </c>
    </row>
    <row r="318" spans="1:18" x14ac:dyDescent="0.35">
      <c r="A318" s="13">
        <v>45514</v>
      </c>
      <c r="B318">
        <v>2024</v>
      </c>
      <c r="C318">
        <v>8</v>
      </c>
      <c r="D318" t="s">
        <v>73</v>
      </c>
      <c r="E318" t="s">
        <v>72</v>
      </c>
      <c r="F318">
        <v>217</v>
      </c>
      <c r="G318">
        <v>217</v>
      </c>
      <c r="H318">
        <v>0</v>
      </c>
      <c r="I318">
        <v>10</v>
      </c>
      <c r="J318" s="17">
        <v>0.83461538461538465</v>
      </c>
      <c r="K318">
        <v>43</v>
      </c>
      <c r="L318">
        <v>42</v>
      </c>
      <c r="M318" s="17">
        <v>0.97674418604651159</v>
      </c>
      <c r="N318" s="25">
        <v>8545</v>
      </c>
      <c r="O318" s="25">
        <v>2224.25</v>
      </c>
      <c r="P318" s="25">
        <v>7740</v>
      </c>
      <c r="Q318" s="25">
        <v>18509.25</v>
      </c>
      <c r="R318" s="18">
        <v>85.296082949308754</v>
      </c>
    </row>
    <row r="319" spans="1:18" x14ac:dyDescent="0.35">
      <c r="A319" s="13">
        <v>45521</v>
      </c>
      <c r="B319">
        <v>2024</v>
      </c>
      <c r="C319">
        <v>8</v>
      </c>
      <c r="D319" t="s">
        <v>73</v>
      </c>
      <c r="E319" t="s">
        <v>72</v>
      </c>
      <c r="F319">
        <v>221</v>
      </c>
      <c r="G319">
        <v>221</v>
      </c>
      <c r="H319">
        <v>0</v>
      </c>
      <c r="I319">
        <v>11</v>
      </c>
      <c r="J319" s="17">
        <v>0.77272727272727271</v>
      </c>
      <c r="K319">
        <v>43</v>
      </c>
      <c r="L319">
        <v>42</v>
      </c>
      <c r="M319" s="17">
        <v>0.97674418604651159</v>
      </c>
      <c r="N319" s="25">
        <v>9399.5</v>
      </c>
      <c r="O319" s="25">
        <v>2265.25</v>
      </c>
      <c r="P319" s="25">
        <v>7740</v>
      </c>
      <c r="Q319" s="25">
        <v>19404.75</v>
      </c>
      <c r="R319" s="18">
        <v>87.804298642533936</v>
      </c>
    </row>
    <row r="320" spans="1:18" x14ac:dyDescent="0.35">
      <c r="A320" s="13">
        <v>45528</v>
      </c>
      <c r="B320">
        <v>2024</v>
      </c>
      <c r="C320">
        <v>8</v>
      </c>
      <c r="D320" t="s">
        <v>73</v>
      </c>
      <c r="E320" t="s">
        <v>72</v>
      </c>
      <c r="F320">
        <v>225</v>
      </c>
      <c r="G320">
        <v>225</v>
      </c>
      <c r="H320">
        <v>0</v>
      </c>
      <c r="I320">
        <v>11</v>
      </c>
      <c r="J320" s="17">
        <v>0.78671328671328666</v>
      </c>
      <c r="K320">
        <v>43</v>
      </c>
      <c r="L320">
        <v>42</v>
      </c>
      <c r="M320" s="17">
        <v>0.97674418604651159</v>
      </c>
      <c r="N320" s="25">
        <v>9399.5</v>
      </c>
      <c r="O320" s="25">
        <v>2306.25</v>
      </c>
      <c r="P320" s="25">
        <v>7740</v>
      </c>
      <c r="Q320" s="25">
        <v>19445.75</v>
      </c>
      <c r="R320" s="18">
        <v>86.425555555555562</v>
      </c>
    </row>
    <row r="321" spans="1:18" x14ac:dyDescent="0.35">
      <c r="A321" s="13">
        <v>45535</v>
      </c>
      <c r="B321">
        <v>2024</v>
      </c>
      <c r="C321">
        <v>8</v>
      </c>
      <c r="D321" t="s">
        <v>73</v>
      </c>
      <c r="E321" t="s">
        <v>72</v>
      </c>
      <c r="F321">
        <v>211</v>
      </c>
      <c r="G321">
        <v>211</v>
      </c>
      <c r="H321">
        <v>0</v>
      </c>
      <c r="I321">
        <v>10</v>
      </c>
      <c r="J321" s="17">
        <v>0.81153846153846154</v>
      </c>
      <c r="K321">
        <v>43</v>
      </c>
      <c r="L321">
        <v>43</v>
      </c>
      <c r="M321" s="17">
        <v>1</v>
      </c>
      <c r="N321" s="25">
        <v>8545</v>
      </c>
      <c r="O321" s="25">
        <v>2162.75</v>
      </c>
      <c r="P321" s="25">
        <v>7740</v>
      </c>
      <c r="Q321" s="25">
        <v>18447.75</v>
      </c>
      <c r="R321" s="18">
        <v>87.430094786729853</v>
      </c>
    </row>
    <row r="322" spans="1:18" x14ac:dyDescent="0.35">
      <c r="A322" s="13">
        <v>45542</v>
      </c>
      <c r="B322">
        <v>2024</v>
      </c>
      <c r="C322">
        <v>9</v>
      </c>
      <c r="D322" t="s">
        <v>73</v>
      </c>
      <c r="E322" t="s">
        <v>72</v>
      </c>
      <c r="F322">
        <v>209</v>
      </c>
      <c r="G322">
        <v>209</v>
      </c>
      <c r="H322">
        <v>0</v>
      </c>
      <c r="I322">
        <v>10</v>
      </c>
      <c r="J322" s="17">
        <v>0.80384615384615388</v>
      </c>
      <c r="K322">
        <v>43</v>
      </c>
      <c r="L322">
        <v>41</v>
      </c>
      <c r="M322" s="17">
        <v>0.95348837209302328</v>
      </c>
      <c r="N322" s="25">
        <v>8545</v>
      </c>
      <c r="O322" s="25">
        <v>2142.25</v>
      </c>
      <c r="P322" s="25">
        <v>7740</v>
      </c>
      <c r="Q322" s="25">
        <v>18427.25</v>
      </c>
      <c r="R322" s="18">
        <v>88.168660287081337</v>
      </c>
    </row>
    <row r="323" spans="1:18" x14ac:dyDescent="0.35">
      <c r="A323" s="13">
        <v>45549</v>
      </c>
      <c r="B323">
        <v>2024</v>
      </c>
      <c r="C323">
        <v>9</v>
      </c>
      <c r="D323" t="s">
        <v>73</v>
      </c>
      <c r="E323" t="s">
        <v>72</v>
      </c>
      <c r="F323">
        <v>194</v>
      </c>
      <c r="G323">
        <v>194</v>
      </c>
      <c r="H323">
        <v>0</v>
      </c>
      <c r="I323">
        <v>10</v>
      </c>
      <c r="J323" s="17">
        <v>0.74615384615384617</v>
      </c>
      <c r="K323">
        <v>43</v>
      </c>
      <c r="L323">
        <v>40</v>
      </c>
      <c r="M323" s="17">
        <v>0.93023255813953487</v>
      </c>
      <c r="N323" s="25">
        <v>8545</v>
      </c>
      <c r="O323" s="25">
        <v>1988.5</v>
      </c>
      <c r="P323" s="25">
        <v>7740</v>
      </c>
      <c r="Q323" s="25">
        <v>18273.5</v>
      </c>
      <c r="R323" s="18">
        <v>94.19329896907216</v>
      </c>
    </row>
    <row r="324" spans="1:18" x14ac:dyDescent="0.35">
      <c r="A324" s="13">
        <v>45556</v>
      </c>
      <c r="B324">
        <v>2024</v>
      </c>
      <c r="C324">
        <v>9</v>
      </c>
      <c r="D324" t="s">
        <v>73</v>
      </c>
      <c r="E324" t="s">
        <v>72</v>
      </c>
      <c r="F324">
        <v>196</v>
      </c>
      <c r="G324">
        <v>196</v>
      </c>
      <c r="H324">
        <v>0</v>
      </c>
      <c r="I324">
        <v>10</v>
      </c>
      <c r="J324" s="17">
        <v>0.75384615384615383</v>
      </c>
      <c r="K324">
        <v>43</v>
      </c>
      <c r="L324">
        <v>43</v>
      </c>
      <c r="M324" s="17">
        <v>1</v>
      </c>
      <c r="N324" s="25">
        <v>8545</v>
      </c>
      <c r="O324" s="25">
        <v>2009</v>
      </c>
      <c r="P324" s="25">
        <v>7740</v>
      </c>
      <c r="Q324" s="25">
        <v>18294</v>
      </c>
      <c r="R324" s="18">
        <v>93.336734693877546</v>
      </c>
    </row>
    <row r="325" spans="1:18" x14ac:dyDescent="0.35">
      <c r="A325" s="13">
        <v>45563</v>
      </c>
      <c r="B325">
        <v>2024</v>
      </c>
      <c r="C325">
        <v>9</v>
      </c>
      <c r="D325" t="s">
        <v>73</v>
      </c>
      <c r="E325" t="s">
        <v>72</v>
      </c>
      <c r="F325">
        <v>195</v>
      </c>
      <c r="G325">
        <v>195</v>
      </c>
      <c r="H325">
        <v>0</v>
      </c>
      <c r="I325">
        <v>10</v>
      </c>
      <c r="J325" s="17">
        <v>0.75</v>
      </c>
      <c r="K325">
        <v>43</v>
      </c>
      <c r="L325">
        <v>42</v>
      </c>
      <c r="M325" s="17">
        <v>0.97674418604651159</v>
      </c>
      <c r="N325" s="25">
        <v>8545</v>
      </c>
      <c r="O325" s="25">
        <v>1998.75</v>
      </c>
      <c r="P325" s="25">
        <v>7740</v>
      </c>
      <c r="Q325" s="25">
        <v>18283.75</v>
      </c>
      <c r="R325" s="18">
        <v>93.762820512820511</v>
      </c>
    </row>
    <row r="326" spans="1:18" x14ac:dyDescent="0.35">
      <c r="A326" s="13">
        <v>45570</v>
      </c>
      <c r="B326">
        <v>2024</v>
      </c>
      <c r="C326">
        <v>10</v>
      </c>
      <c r="D326" t="s">
        <v>73</v>
      </c>
      <c r="E326" t="s">
        <v>72</v>
      </c>
      <c r="F326">
        <v>206</v>
      </c>
      <c r="G326">
        <v>206</v>
      </c>
      <c r="H326">
        <v>0</v>
      </c>
      <c r="I326">
        <v>10</v>
      </c>
      <c r="J326" s="17">
        <v>0.79230769230769227</v>
      </c>
      <c r="K326">
        <v>43</v>
      </c>
      <c r="L326">
        <v>42</v>
      </c>
      <c r="M326" s="17">
        <v>0.97674418604651159</v>
      </c>
      <c r="N326" s="25">
        <v>8545</v>
      </c>
      <c r="O326" s="25">
        <v>2111.5</v>
      </c>
      <c r="P326" s="25">
        <v>7740</v>
      </c>
      <c r="Q326" s="25">
        <v>18396.5</v>
      </c>
      <c r="R326" s="18">
        <v>89.303398058252426</v>
      </c>
    </row>
    <row r="327" spans="1:18" x14ac:dyDescent="0.35">
      <c r="A327" s="13">
        <v>45577</v>
      </c>
      <c r="B327">
        <v>2024</v>
      </c>
      <c r="C327">
        <v>10</v>
      </c>
      <c r="D327" t="s">
        <v>73</v>
      </c>
      <c r="E327" t="s">
        <v>72</v>
      </c>
      <c r="F327">
        <v>209</v>
      </c>
      <c r="G327">
        <v>209</v>
      </c>
      <c r="H327">
        <v>0</v>
      </c>
      <c r="I327">
        <v>10</v>
      </c>
      <c r="J327" s="17">
        <v>0.80384615384615388</v>
      </c>
      <c r="K327">
        <v>43</v>
      </c>
      <c r="L327">
        <v>42</v>
      </c>
      <c r="M327" s="17">
        <v>0.97674418604651159</v>
      </c>
      <c r="N327" s="25">
        <v>8545</v>
      </c>
      <c r="O327" s="25">
        <v>2142.25</v>
      </c>
      <c r="P327" s="25">
        <v>7740</v>
      </c>
      <c r="Q327" s="25">
        <v>18427.25</v>
      </c>
      <c r="R327" s="18">
        <v>88.168660287081337</v>
      </c>
    </row>
    <row r="328" spans="1:18" x14ac:dyDescent="0.35">
      <c r="A328" s="13">
        <v>45584</v>
      </c>
      <c r="B328">
        <v>2024</v>
      </c>
      <c r="C328">
        <v>10</v>
      </c>
      <c r="D328" t="s">
        <v>73</v>
      </c>
      <c r="E328" t="s">
        <v>72</v>
      </c>
      <c r="F328">
        <v>212</v>
      </c>
      <c r="G328">
        <v>212</v>
      </c>
      <c r="H328">
        <v>0</v>
      </c>
      <c r="I328">
        <v>10</v>
      </c>
      <c r="J328" s="17">
        <v>0.81538461538461537</v>
      </c>
      <c r="K328">
        <v>43</v>
      </c>
      <c r="L328">
        <v>41</v>
      </c>
      <c r="M328" s="17">
        <v>0.95348837209302328</v>
      </c>
      <c r="N328" s="25">
        <v>8545</v>
      </c>
      <c r="O328" s="25">
        <v>2173</v>
      </c>
      <c r="P328" s="25">
        <v>7740</v>
      </c>
      <c r="Q328" s="25">
        <v>18458</v>
      </c>
      <c r="R328" s="18">
        <v>87.066037735849051</v>
      </c>
    </row>
    <row r="329" spans="1:18" x14ac:dyDescent="0.35">
      <c r="A329" s="13">
        <v>45591</v>
      </c>
      <c r="B329">
        <v>2024</v>
      </c>
      <c r="C329">
        <v>10</v>
      </c>
      <c r="D329" t="s">
        <v>73</v>
      </c>
      <c r="E329" t="s">
        <v>72</v>
      </c>
      <c r="F329">
        <v>228</v>
      </c>
      <c r="G329">
        <v>228</v>
      </c>
      <c r="H329">
        <v>0</v>
      </c>
      <c r="I329">
        <v>11</v>
      </c>
      <c r="J329" s="17">
        <v>0.79720279720279719</v>
      </c>
      <c r="K329">
        <v>43</v>
      </c>
      <c r="L329">
        <v>41</v>
      </c>
      <c r="M329" s="17">
        <v>0.95348837209302328</v>
      </c>
      <c r="N329" s="25">
        <v>9399.5</v>
      </c>
      <c r="O329" s="25">
        <v>2337</v>
      </c>
      <c r="P329" s="25">
        <v>7740</v>
      </c>
      <c r="Q329" s="25">
        <v>19476.5</v>
      </c>
      <c r="R329" s="18">
        <v>85.423245614035082</v>
      </c>
    </row>
    <row r="330" spans="1:18" x14ac:dyDescent="0.35">
      <c r="A330" s="13">
        <v>45598</v>
      </c>
      <c r="B330">
        <v>2024</v>
      </c>
      <c r="C330">
        <v>11</v>
      </c>
      <c r="D330" t="s">
        <v>73</v>
      </c>
      <c r="E330" t="s">
        <v>72</v>
      </c>
      <c r="F330">
        <v>225</v>
      </c>
      <c r="G330">
        <v>225</v>
      </c>
      <c r="H330">
        <v>0</v>
      </c>
      <c r="I330">
        <v>10</v>
      </c>
      <c r="J330" s="17">
        <v>0.86538461538461542</v>
      </c>
      <c r="K330">
        <v>43</v>
      </c>
      <c r="L330">
        <v>43</v>
      </c>
      <c r="M330" s="17">
        <v>1</v>
      </c>
      <c r="N330" s="25">
        <v>8545</v>
      </c>
      <c r="O330" s="25">
        <v>2306.25</v>
      </c>
      <c r="P330" s="25">
        <v>7740</v>
      </c>
      <c r="Q330" s="25">
        <v>18591.25</v>
      </c>
      <c r="R330" s="18">
        <v>82.62777777777778</v>
      </c>
    </row>
    <row r="331" spans="1:18" x14ac:dyDescent="0.35">
      <c r="A331" s="13">
        <v>45605</v>
      </c>
      <c r="B331">
        <v>2024</v>
      </c>
      <c r="C331">
        <v>11</v>
      </c>
      <c r="D331" t="s">
        <v>73</v>
      </c>
      <c r="E331" t="s">
        <v>72</v>
      </c>
      <c r="F331">
        <v>251</v>
      </c>
      <c r="G331">
        <v>251</v>
      </c>
      <c r="H331">
        <v>0</v>
      </c>
      <c r="I331">
        <v>11</v>
      </c>
      <c r="J331" s="17">
        <v>0.8776223776223776</v>
      </c>
      <c r="K331">
        <v>43</v>
      </c>
      <c r="L331">
        <v>42</v>
      </c>
      <c r="M331" s="17">
        <v>0.97674418604651159</v>
      </c>
      <c r="N331" s="25">
        <v>9399.5</v>
      </c>
      <c r="O331" s="25">
        <v>2572.75</v>
      </c>
      <c r="P331" s="25">
        <v>7740</v>
      </c>
      <c r="Q331" s="25">
        <v>19712.25</v>
      </c>
      <c r="R331" s="18">
        <v>78.534860557768923</v>
      </c>
    </row>
    <row r="332" spans="1:18" x14ac:dyDescent="0.35">
      <c r="A332" s="13">
        <v>45612</v>
      </c>
      <c r="B332">
        <v>2024</v>
      </c>
      <c r="C332">
        <v>11</v>
      </c>
      <c r="D332" t="s">
        <v>73</v>
      </c>
      <c r="E332" t="s">
        <v>72</v>
      </c>
      <c r="F332">
        <v>263</v>
      </c>
      <c r="G332">
        <v>262</v>
      </c>
      <c r="H332">
        <v>1</v>
      </c>
      <c r="I332">
        <v>14</v>
      </c>
      <c r="J332" s="17">
        <v>0.71978021978021978</v>
      </c>
      <c r="K332">
        <v>43</v>
      </c>
      <c r="L332">
        <v>41</v>
      </c>
      <c r="M332" s="17">
        <v>0.95348837209302328</v>
      </c>
      <c r="N332" s="25">
        <v>11963</v>
      </c>
      <c r="O332" s="25">
        <v>2685.5</v>
      </c>
      <c r="P332" s="25">
        <v>7740</v>
      </c>
      <c r="Q332" s="25">
        <v>22388.5</v>
      </c>
      <c r="R332" s="18">
        <v>85.452290076335885</v>
      </c>
    </row>
    <row r="333" spans="1:18" x14ac:dyDescent="0.35">
      <c r="A333" s="13">
        <v>45619</v>
      </c>
      <c r="B333">
        <v>2024</v>
      </c>
      <c r="C333">
        <v>11</v>
      </c>
      <c r="D333" t="s">
        <v>73</v>
      </c>
      <c r="E333" t="s">
        <v>72</v>
      </c>
      <c r="F333">
        <v>289</v>
      </c>
      <c r="G333">
        <v>288</v>
      </c>
      <c r="H333">
        <v>2</v>
      </c>
      <c r="I333">
        <v>15</v>
      </c>
      <c r="J333" s="17">
        <v>0.7384615384615385</v>
      </c>
      <c r="K333">
        <v>43</v>
      </c>
      <c r="L333">
        <v>40</v>
      </c>
      <c r="M333" s="17">
        <v>0.93023255813953487</v>
      </c>
      <c r="N333" s="25">
        <v>12817.5</v>
      </c>
      <c r="O333" s="25">
        <v>2952</v>
      </c>
      <c r="P333" s="25">
        <v>7740</v>
      </c>
      <c r="Q333" s="25">
        <v>23509.5</v>
      </c>
      <c r="R333" s="18">
        <v>81.630208333333329</v>
      </c>
    </row>
    <row r="334" spans="1:18" x14ac:dyDescent="0.35">
      <c r="A334" s="13">
        <v>45626</v>
      </c>
      <c r="B334">
        <v>2024</v>
      </c>
      <c r="C334">
        <v>11</v>
      </c>
      <c r="D334" t="s">
        <v>73</v>
      </c>
      <c r="E334" t="s">
        <v>72</v>
      </c>
      <c r="F334">
        <v>309</v>
      </c>
      <c r="G334">
        <v>298</v>
      </c>
      <c r="H334">
        <v>13</v>
      </c>
      <c r="I334">
        <v>16</v>
      </c>
      <c r="J334" s="17">
        <v>0.71634615384615385</v>
      </c>
      <c r="K334">
        <v>43</v>
      </c>
      <c r="L334">
        <v>41</v>
      </c>
      <c r="M334" s="17">
        <v>0.95348837209302328</v>
      </c>
      <c r="N334" s="25">
        <v>13672</v>
      </c>
      <c r="O334" s="25">
        <v>3054.5</v>
      </c>
      <c r="P334" s="25">
        <v>7740</v>
      </c>
      <c r="Q334" s="25">
        <v>24466.5</v>
      </c>
      <c r="R334" s="18">
        <v>82.102348993288587</v>
      </c>
    </row>
    <row r="335" spans="1:18" x14ac:dyDescent="0.35">
      <c r="A335" s="13">
        <v>45633</v>
      </c>
      <c r="B335">
        <v>2024</v>
      </c>
      <c r="C335">
        <v>12</v>
      </c>
      <c r="D335" t="s">
        <v>73</v>
      </c>
      <c r="E335" t="s">
        <v>72</v>
      </c>
      <c r="F335">
        <v>327</v>
      </c>
      <c r="G335">
        <v>306</v>
      </c>
      <c r="H335">
        <v>34</v>
      </c>
      <c r="I335">
        <v>15</v>
      </c>
      <c r="J335" s="17">
        <v>0.7846153846153846</v>
      </c>
      <c r="K335">
        <v>43</v>
      </c>
      <c r="L335">
        <v>40</v>
      </c>
      <c r="M335" s="17">
        <v>0.93023255813953487</v>
      </c>
      <c r="N335" s="25">
        <v>12817.5</v>
      </c>
      <c r="O335" s="25">
        <v>3136.5</v>
      </c>
      <c r="P335" s="25">
        <v>7740</v>
      </c>
      <c r="Q335" s="25">
        <v>23694</v>
      </c>
      <c r="R335" s="18">
        <v>77.431372549019613</v>
      </c>
    </row>
    <row r="336" spans="1:18" x14ac:dyDescent="0.35">
      <c r="A336" s="13">
        <v>45640</v>
      </c>
      <c r="B336">
        <v>2024</v>
      </c>
      <c r="C336">
        <v>12</v>
      </c>
      <c r="D336" t="s">
        <v>73</v>
      </c>
      <c r="E336" t="s">
        <v>72</v>
      </c>
      <c r="F336">
        <v>320</v>
      </c>
      <c r="G336">
        <v>309</v>
      </c>
      <c r="H336">
        <v>45</v>
      </c>
      <c r="I336">
        <v>16</v>
      </c>
      <c r="J336" s="17">
        <v>0.74278846153846156</v>
      </c>
      <c r="K336">
        <v>43</v>
      </c>
      <c r="L336">
        <v>42</v>
      </c>
      <c r="M336" s="17">
        <v>0.97674418604651159</v>
      </c>
      <c r="N336" s="25">
        <v>13672</v>
      </c>
      <c r="O336" s="25">
        <v>3167.25</v>
      </c>
      <c r="P336" s="25">
        <v>7740</v>
      </c>
      <c r="Q336" s="25">
        <v>24579.25</v>
      </c>
      <c r="R336" s="18">
        <v>79.54449838187702</v>
      </c>
    </row>
    <row r="337" spans="1:18" x14ac:dyDescent="0.35">
      <c r="A337" s="13">
        <v>45647</v>
      </c>
      <c r="B337">
        <v>2024</v>
      </c>
      <c r="C337">
        <v>12</v>
      </c>
      <c r="D337" t="s">
        <v>73</v>
      </c>
      <c r="E337" t="s">
        <v>72</v>
      </c>
      <c r="F337">
        <v>278</v>
      </c>
      <c r="G337">
        <v>298</v>
      </c>
      <c r="H337">
        <v>25</v>
      </c>
      <c r="I337">
        <v>15</v>
      </c>
      <c r="J337" s="17">
        <v>0.76410256410256405</v>
      </c>
      <c r="K337">
        <v>43</v>
      </c>
      <c r="L337">
        <v>39</v>
      </c>
      <c r="M337" s="17">
        <v>0.90697674418604646</v>
      </c>
      <c r="N337" s="25">
        <v>12817.5</v>
      </c>
      <c r="O337" s="25">
        <v>3054.5</v>
      </c>
      <c r="P337" s="25">
        <v>7740</v>
      </c>
      <c r="Q337" s="25">
        <v>23612</v>
      </c>
      <c r="R337" s="18">
        <v>79.234899328859058</v>
      </c>
    </row>
    <row r="338" spans="1:18" x14ac:dyDescent="0.35">
      <c r="A338" s="13">
        <v>45654</v>
      </c>
      <c r="B338">
        <v>2024</v>
      </c>
      <c r="C338">
        <v>12</v>
      </c>
      <c r="D338" t="s">
        <v>73</v>
      </c>
      <c r="E338" t="s">
        <v>72</v>
      </c>
      <c r="F338">
        <v>246</v>
      </c>
      <c r="G338">
        <v>266</v>
      </c>
      <c r="H338">
        <v>5</v>
      </c>
      <c r="I338">
        <v>13</v>
      </c>
      <c r="J338" s="17">
        <v>0.78698224852071008</v>
      </c>
      <c r="K338">
        <v>43</v>
      </c>
      <c r="L338">
        <v>42</v>
      </c>
      <c r="M338" s="17">
        <v>0.97674418604651159</v>
      </c>
      <c r="N338" s="25">
        <v>11108.5</v>
      </c>
      <c r="O338" s="25">
        <v>2726.5</v>
      </c>
      <c r="P338" s="25">
        <v>7740</v>
      </c>
      <c r="Q338" s="25">
        <v>21575</v>
      </c>
      <c r="R338" s="18">
        <v>81.109022556390983</v>
      </c>
    </row>
    <row r="339" spans="1:18" x14ac:dyDescent="0.35">
      <c r="A339" s="13">
        <v>45661</v>
      </c>
      <c r="B339">
        <v>2025</v>
      </c>
      <c r="C339">
        <v>1</v>
      </c>
      <c r="D339" t="s">
        <v>73</v>
      </c>
      <c r="E339" t="s">
        <v>72</v>
      </c>
      <c r="F339">
        <v>211</v>
      </c>
      <c r="G339">
        <v>216</v>
      </c>
      <c r="H339">
        <v>0</v>
      </c>
      <c r="I339">
        <v>10</v>
      </c>
      <c r="J339" s="17">
        <v>0.83076923076923082</v>
      </c>
      <c r="K339">
        <v>43</v>
      </c>
      <c r="L339">
        <v>38</v>
      </c>
      <c r="M339" s="17">
        <v>0.88372093023255816</v>
      </c>
      <c r="N339" s="25">
        <v>8545</v>
      </c>
      <c r="O339" s="25">
        <v>2214</v>
      </c>
      <c r="P339" s="25">
        <v>7740</v>
      </c>
      <c r="Q339" s="25">
        <v>18499</v>
      </c>
      <c r="R339" s="18">
        <v>85.643518518518519</v>
      </c>
    </row>
    <row r="340" spans="1:18" x14ac:dyDescent="0.35">
      <c r="A340" s="13">
        <v>45668</v>
      </c>
      <c r="B340">
        <v>2025</v>
      </c>
      <c r="C340">
        <v>1</v>
      </c>
      <c r="D340" t="s">
        <v>73</v>
      </c>
      <c r="E340" t="s">
        <v>72</v>
      </c>
      <c r="F340">
        <v>166</v>
      </c>
      <c r="G340">
        <v>166</v>
      </c>
      <c r="H340">
        <v>0</v>
      </c>
      <c r="I340">
        <v>10</v>
      </c>
      <c r="J340" s="17">
        <v>0.63846153846153841</v>
      </c>
      <c r="K340">
        <v>43</v>
      </c>
      <c r="L340">
        <v>40</v>
      </c>
      <c r="M340" s="17">
        <v>0.93023255813953487</v>
      </c>
      <c r="N340" s="25">
        <v>8545</v>
      </c>
      <c r="O340" s="25">
        <v>1701.5</v>
      </c>
      <c r="P340" s="25">
        <v>7740</v>
      </c>
      <c r="Q340" s="25">
        <v>17986.5</v>
      </c>
      <c r="R340" s="18">
        <v>108.35240963855421</v>
      </c>
    </row>
    <row r="341" spans="1:18" x14ac:dyDescent="0.35">
      <c r="A341" s="13">
        <v>45675</v>
      </c>
      <c r="B341">
        <v>2025</v>
      </c>
      <c r="C341">
        <v>1</v>
      </c>
      <c r="D341" t="s">
        <v>73</v>
      </c>
      <c r="E341" t="s">
        <v>72</v>
      </c>
      <c r="F341">
        <v>175</v>
      </c>
      <c r="G341">
        <v>175</v>
      </c>
      <c r="H341">
        <v>0</v>
      </c>
      <c r="I341">
        <v>10</v>
      </c>
      <c r="J341" s="17">
        <v>0.67307692307692313</v>
      </c>
      <c r="K341">
        <v>43</v>
      </c>
      <c r="L341">
        <v>40</v>
      </c>
      <c r="M341" s="17">
        <v>0.93023255813953487</v>
      </c>
      <c r="N341" s="25">
        <v>8545</v>
      </c>
      <c r="O341" s="25">
        <v>1793.75</v>
      </c>
      <c r="P341" s="25">
        <v>7740</v>
      </c>
      <c r="Q341" s="25">
        <v>18078.75</v>
      </c>
      <c r="R341" s="18">
        <v>103.30714285714291</v>
      </c>
    </row>
    <row r="342" spans="1:18" x14ac:dyDescent="0.35">
      <c r="A342" s="13">
        <v>45682</v>
      </c>
      <c r="B342">
        <v>2025</v>
      </c>
      <c r="C342">
        <v>1</v>
      </c>
      <c r="D342" t="s">
        <v>73</v>
      </c>
      <c r="E342" t="s">
        <v>72</v>
      </c>
      <c r="F342">
        <v>176</v>
      </c>
      <c r="G342">
        <v>176</v>
      </c>
      <c r="H342">
        <v>0</v>
      </c>
      <c r="I342">
        <v>10</v>
      </c>
      <c r="J342" s="17">
        <v>0.67692307692307696</v>
      </c>
      <c r="K342">
        <v>43</v>
      </c>
      <c r="L342">
        <v>40</v>
      </c>
      <c r="M342" s="17">
        <v>0.93023255813953487</v>
      </c>
      <c r="N342" s="25">
        <v>8545</v>
      </c>
      <c r="O342" s="25">
        <v>1804</v>
      </c>
      <c r="P342" s="25">
        <v>7740</v>
      </c>
      <c r="Q342" s="25">
        <v>18089</v>
      </c>
      <c r="R342" s="18">
        <v>102.77840909090909</v>
      </c>
    </row>
    <row r="343" spans="1:18" x14ac:dyDescent="0.35">
      <c r="A343" s="13">
        <v>45689</v>
      </c>
      <c r="B343">
        <v>2025</v>
      </c>
      <c r="C343">
        <v>2</v>
      </c>
      <c r="D343" t="s">
        <v>73</v>
      </c>
      <c r="E343" t="s">
        <v>72</v>
      </c>
      <c r="F343">
        <v>197</v>
      </c>
      <c r="G343">
        <v>197</v>
      </c>
      <c r="H343">
        <v>0</v>
      </c>
      <c r="I343">
        <v>10</v>
      </c>
      <c r="J343" s="17">
        <v>0.75769230769230766</v>
      </c>
      <c r="K343">
        <v>43</v>
      </c>
      <c r="L343">
        <v>40</v>
      </c>
      <c r="M343" s="17">
        <v>0.93023255813953487</v>
      </c>
      <c r="N343" s="25">
        <v>8545</v>
      </c>
      <c r="O343" s="25">
        <v>2019.25</v>
      </c>
      <c r="P343" s="25">
        <v>7740</v>
      </c>
      <c r="Q343" s="25">
        <v>18304.25</v>
      </c>
      <c r="R343" s="18">
        <v>92.914974619289339</v>
      </c>
    </row>
    <row r="344" spans="1:18" x14ac:dyDescent="0.35">
      <c r="A344" s="13">
        <v>45696</v>
      </c>
      <c r="B344">
        <v>2025</v>
      </c>
      <c r="C344">
        <v>2</v>
      </c>
      <c r="D344" t="s">
        <v>73</v>
      </c>
      <c r="E344" t="s">
        <v>72</v>
      </c>
      <c r="F344">
        <v>191</v>
      </c>
      <c r="G344">
        <v>191</v>
      </c>
      <c r="H344">
        <v>0</v>
      </c>
      <c r="I344">
        <v>10</v>
      </c>
      <c r="J344" s="17">
        <v>0.73461538461538467</v>
      </c>
      <c r="K344">
        <v>43</v>
      </c>
      <c r="L344">
        <v>42</v>
      </c>
      <c r="M344" s="17">
        <v>0.97674418604651159</v>
      </c>
      <c r="N344" s="25">
        <v>8545</v>
      </c>
      <c r="O344" s="25">
        <v>1957.75</v>
      </c>
      <c r="P344" s="25">
        <v>7740</v>
      </c>
      <c r="Q344" s="25">
        <v>18242.75</v>
      </c>
      <c r="R344" s="18">
        <v>95.511780104712045</v>
      </c>
    </row>
    <row r="345" spans="1:18" x14ac:dyDescent="0.35">
      <c r="A345" s="13">
        <v>45703</v>
      </c>
      <c r="B345">
        <v>2025</v>
      </c>
      <c r="C345">
        <v>2</v>
      </c>
      <c r="D345" t="s">
        <v>73</v>
      </c>
      <c r="E345" t="s">
        <v>72</v>
      </c>
      <c r="F345">
        <v>196</v>
      </c>
      <c r="G345">
        <v>196</v>
      </c>
      <c r="H345">
        <v>0</v>
      </c>
      <c r="I345">
        <v>10</v>
      </c>
      <c r="J345" s="17">
        <v>0.75384615384615383</v>
      </c>
      <c r="K345">
        <v>43</v>
      </c>
      <c r="L345">
        <v>40</v>
      </c>
      <c r="M345" s="17">
        <v>0.93023255813953487</v>
      </c>
      <c r="N345" s="25">
        <v>8545</v>
      </c>
      <c r="O345" s="25">
        <v>2009</v>
      </c>
      <c r="P345" s="25">
        <v>7740</v>
      </c>
      <c r="Q345" s="25">
        <v>18294</v>
      </c>
      <c r="R345" s="18">
        <v>93.336734693877546</v>
      </c>
    </row>
    <row r="346" spans="1:18" x14ac:dyDescent="0.35">
      <c r="A346" s="13">
        <v>45710</v>
      </c>
      <c r="B346">
        <v>2025</v>
      </c>
      <c r="C346">
        <v>2</v>
      </c>
      <c r="D346" t="s">
        <v>73</v>
      </c>
      <c r="E346" t="s">
        <v>72</v>
      </c>
      <c r="F346">
        <v>199</v>
      </c>
      <c r="G346">
        <v>199</v>
      </c>
      <c r="H346">
        <v>0</v>
      </c>
      <c r="I346">
        <v>10</v>
      </c>
      <c r="J346" s="17">
        <v>0.76538461538461533</v>
      </c>
      <c r="K346">
        <v>43</v>
      </c>
      <c r="L346">
        <v>40</v>
      </c>
      <c r="M346" s="17">
        <v>0.93023255813953487</v>
      </c>
      <c r="N346" s="25">
        <v>8545</v>
      </c>
      <c r="O346" s="25">
        <v>2039.75</v>
      </c>
      <c r="P346" s="25">
        <v>7740</v>
      </c>
      <c r="Q346" s="25">
        <v>18324.75</v>
      </c>
      <c r="R346" s="18">
        <v>92.084170854271363</v>
      </c>
    </row>
    <row r="347" spans="1:18" x14ac:dyDescent="0.35">
      <c r="A347" s="13">
        <v>45717</v>
      </c>
      <c r="B347">
        <v>2025</v>
      </c>
      <c r="C347">
        <v>3</v>
      </c>
      <c r="D347" t="s">
        <v>73</v>
      </c>
      <c r="E347" t="s">
        <v>72</v>
      </c>
      <c r="F347">
        <v>207</v>
      </c>
      <c r="G347">
        <v>207</v>
      </c>
      <c r="H347">
        <v>0</v>
      </c>
      <c r="I347">
        <v>10</v>
      </c>
      <c r="J347" s="17">
        <v>0.7961538461538461</v>
      </c>
      <c r="K347">
        <v>43</v>
      </c>
      <c r="L347">
        <v>40</v>
      </c>
      <c r="M347" s="17">
        <v>0.93023255813953487</v>
      </c>
      <c r="N347" s="25">
        <v>8545</v>
      </c>
      <c r="O347" s="25">
        <v>2121.75</v>
      </c>
      <c r="P347" s="25">
        <v>7740</v>
      </c>
      <c r="Q347" s="25">
        <v>18406.75</v>
      </c>
      <c r="R347" s="18">
        <v>88.921497584541058</v>
      </c>
    </row>
    <row r="348" spans="1:18" x14ac:dyDescent="0.35">
      <c r="A348" s="13">
        <v>45724</v>
      </c>
      <c r="B348">
        <v>2025</v>
      </c>
      <c r="C348">
        <v>3</v>
      </c>
      <c r="D348" t="s">
        <v>73</v>
      </c>
      <c r="E348" t="s">
        <v>72</v>
      </c>
      <c r="F348">
        <v>211</v>
      </c>
      <c r="G348">
        <v>211</v>
      </c>
      <c r="H348">
        <v>0</v>
      </c>
      <c r="I348">
        <v>10</v>
      </c>
      <c r="J348" s="17">
        <v>0.81153846153846154</v>
      </c>
      <c r="K348">
        <v>43</v>
      </c>
      <c r="L348">
        <v>40</v>
      </c>
      <c r="M348" s="17">
        <v>0.93023255813953487</v>
      </c>
      <c r="N348" s="25">
        <v>8545</v>
      </c>
      <c r="O348" s="25">
        <v>2162.75</v>
      </c>
      <c r="P348" s="25">
        <v>7740</v>
      </c>
      <c r="Q348" s="25">
        <v>18447.75</v>
      </c>
      <c r="R348" s="18">
        <v>87.430094786729853</v>
      </c>
    </row>
    <row r="349" spans="1:18" x14ac:dyDescent="0.35">
      <c r="A349" s="13">
        <v>45731</v>
      </c>
      <c r="B349">
        <v>2025</v>
      </c>
      <c r="C349">
        <v>3</v>
      </c>
      <c r="D349" t="s">
        <v>73</v>
      </c>
      <c r="E349" t="s">
        <v>72</v>
      </c>
      <c r="F349">
        <v>204</v>
      </c>
      <c r="G349">
        <v>204</v>
      </c>
      <c r="H349">
        <v>0</v>
      </c>
      <c r="I349">
        <v>10</v>
      </c>
      <c r="J349" s="17">
        <v>0.7846153846153846</v>
      </c>
      <c r="K349">
        <v>43</v>
      </c>
      <c r="L349">
        <v>43</v>
      </c>
      <c r="M349" s="17">
        <v>1</v>
      </c>
      <c r="N349" s="25">
        <v>8545</v>
      </c>
      <c r="O349" s="25">
        <v>2091</v>
      </c>
      <c r="P349" s="25">
        <v>7740</v>
      </c>
      <c r="Q349" s="25">
        <v>18376</v>
      </c>
      <c r="R349" s="18">
        <v>90.078431372549019</v>
      </c>
    </row>
    <row r="350" spans="1:18" x14ac:dyDescent="0.35">
      <c r="A350" s="13">
        <v>45738</v>
      </c>
      <c r="B350">
        <v>2025</v>
      </c>
      <c r="C350">
        <v>3</v>
      </c>
      <c r="D350" t="s">
        <v>73</v>
      </c>
      <c r="E350" t="s">
        <v>72</v>
      </c>
      <c r="F350">
        <v>225</v>
      </c>
      <c r="G350">
        <v>225</v>
      </c>
      <c r="H350">
        <v>0</v>
      </c>
      <c r="I350">
        <v>10</v>
      </c>
      <c r="J350" s="17">
        <v>0.86538461538461542</v>
      </c>
      <c r="K350">
        <v>43</v>
      </c>
      <c r="L350">
        <v>43</v>
      </c>
      <c r="M350" s="17">
        <v>1</v>
      </c>
      <c r="N350" s="25">
        <v>8545</v>
      </c>
      <c r="O350" s="25">
        <v>2306.25</v>
      </c>
      <c r="P350" s="25">
        <v>7740</v>
      </c>
      <c r="Q350" s="25">
        <v>18591.25</v>
      </c>
      <c r="R350" s="18">
        <v>82.62777777777778</v>
      </c>
    </row>
    <row r="351" spans="1:18" x14ac:dyDescent="0.35">
      <c r="A351" s="13">
        <v>45745</v>
      </c>
      <c r="B351">
        <v>2025</v>
      </c>
      <c r="C351">
        <v>3</v>
      </c>
      <c r="D351" t="s">
        <v>73</v>
      </c>
      <c r="E351" t="s">
        <v>72</v>
      </c>
      <c r="F351">
        <v>213</v>
      </c>
      <c r="G351">
        <v>213</v>
      </c>
      <c r="H351">
        <v>0</v>
      </c>
      <c r="I351">
        <v>10</v>
      </c>
      <c r="J351" s="17">
        <v>0.81923076923076921</v>
      </c>
      <c r="K351">
        <v>43</v>
      </c>
      <c r="L351">
        <v>43</v>
      </c>
      <c r="M351" s="17">
        <v>1</v>
      </c>
      <c r="N351" s="25">
        <v>8545</v>
      </c>
      <c r="O351" s="25">
        <v>2183.25</v>
      </c>
      <c r="P351" s="25">
        <v>7740</v>
      </c>
      <c r="Q351" s="25">
        <v>18468.25</v>
      </c>
      <c r="R351" s="18">
        <v>86.705399061032864</v>
      </c>
    </row>
    <row r="352" spans="1:18" x14ac:dyDescent="0.35">
      <c r="A352" s="13">
        <v>45752</v>
      </c>
      <c r="B352">
        <v>2025</v>
      </c>
      <c r="C352">
        <v>4</v>
      </c>
      <c r="D352" t="s">
        <v>73</v>
      </c>
      <c r="E352" t="s">
        <v>72</v>
      </c>
      <c r="F352">
        <v>217</v>
      </c>
      <c r="G352">
        <v>217</v>
      </c>
      <c r="H352">
        <v>0</v>
      </c>
      <c r="I352">
        <v>10</v>
      </c>
      <c r="J352" s="17">
        <v>0.83461538461538465</v>
      </c>
      <c r="K352">
        <v>43</v>
      </c>
      <c r="L352">
        <v>42</v>
      </c>
      <c r="M352" s="17">
        <v>0.97674418604651159</v>
      </c>
      <c r="N352" s="25">
        <v>8545</v>
      </c>
      <c r="O352" s="25">
        <v>2224.25</v>
      </c>
      <c r="P352" s="25">
        <v>7740</v>
      </c>
      <c r="Q352" s="25">
        <v>18509.25</v>
      </c>
      <c r="R352" s="18">
        <v>85.296082949308754</v>
      </c>
    </row>
    <row r="353" spans="1:18" x14ac:dyDescent="0.35">
      <c r="A353" s="13">
        <v>45759</v>
      </c>
      <c r="B353">
        <v>2025</v>
      </c>
      <c r="C353">
        <v>4</v>
      </c>
      <c r="D353" t="s">
        <v>73</v>
      </c>
      <c r="E353" t="s">
        <v>72</v>
      </c>
      <c r="F353">
        <v>220</v>
      </c>
      <c r="G353">
        <v>220</v>
      </c>
      <c r="H353">
        <v>0</v>
      </c>
      <c r="I353">
        <v>11</v>
      </c>
      <c r="J353" s="17">
        <v>0.76923076923076927</v>
      </c>
      <c r="K353">
        <v>43</v>
      </c>
      <c r="L353">
        <v>41</v>
      </c>
      <c r="M353" s="17">
        <v>0.95348837209302328</v>
      </c>
      <c r="N353" s="25">
        <v>9399.5</v>
      </c>
      <c r="O353" s="25">
        <v>2255</v>
      </c>
      <c r="P353" s="25">
        <v>7740</v>
      </c>
      <c r="Q353" s="25">
        <v>19394.5</v>
      </c>
      <c r="R353" s="18">
        <v>88.156818181818181</v>
      </c>
    </row>
    <row r="354" spans="1:18" x14ac:dyDescent="0.35">
      <c r="A354" s="13">
        <v>45766</v>
      </c>
      <c r="B354">
        <v>2025</v>
      </c>
      <c r="C354">
        <v>4</v>
      </c>
      <c r="D354" t="s">
        <v>73</v>
      </c>
      <c r="E354" t="s">
        <v>72</v>
      </c>
      <c r="F354">
        <v>220</v>
      </c>
      <c r="G354">
        <v>220</v>
      </c>
      <c r="H354">
        <v>0</v>
      </c>
      <c r="I354">
        <v>11</v>
      </c>
      <c r="J354" s="17">
        <v>0.76923076923076927</v>
      </c>
      <c r="K354">
        <v>43</v>
      </c>
      <c r="L354">
        <v>42</v>
      </c>
      <c r="M354" s="17">
        <v>0.97674418604651159</v>
      </c>
      <c r="N354" s="25">
        <v>9399.5</v>
      </c>
      <c r="O354" s="25">
        <v>2255</v>
      </c>
      <c r="P354" s="25">
        <v>7740</v>
      </c>
      <c r="Q354" s="25">
        <v>19394.5</v>
      </c>
      <c r="R354" s="18">
        <v>88.156818181818181</v>
      </c>
    </row>
    <row r="355" spans="1:18" x14ac:dyDescent="0.35">
      <c r="A355" s="13">
        <v>45773</v>
      </c>
      <c r="B355">
        <v>2025</v>
      </c>
      <c r="C355">
        <v>4</v>
      </c>
      <c r="D355" t="s">
        <v>73</v>
      </c>
      <c r="E355" t="s">
        <v>72</v>
      </c>
      <c r="F355">
        <v>231</v>
      </c>
      <c r="G355">
        <v>231</v>
      </c>
      <c r="H355">
        <v>0</v>
      </c>
      <c r="I355">
        <v>11</v>
      </c>
      <c r="J355" s="17">
        <v>0.80769230769230771</v>
      </c>
      <c r="K355">
        <v>43</v>
      </c>
      <c r="L355">
        <v>42</v>
      </c>
      <c r="M355" s="17">
        <v>0.97674418604651159</v>
      </c>
      <c r="N355" s="25">
        <v>9399.5</v>
      </c>
      <c r="O355" s="25">
        <v>2367.75</v>
      </c>
      <c r="P355" s="25">
        <v>7740</v>
      </c>
      <c r="Q355" s="25">
        <v>19507.25</v>
      </c>
      <c r="R355" s="18">
        <v>84.446969696969703</v>
      </c>
    </row>
    <row r="356" spans="1:18" x14ac:dyDescent="0.35">
      <c r="A356" s="13">
        <v>45780</v>
      </c>
      <c r="B356">
        <v>2025</v>
      </c>
      <c r="C356">
        <v>5</v>
      </c>
      <c r="D356" t="s">
        <v>73</v>
      </c>
      <c r="E356" t="s">
        <v>72</v>
      </c>
      <c r="F356">
        <v>226</v>
      </c>
      <c r="G356">
        <v>226</v>
      </c>
      <c r="H356">
        <v>0</v>
      </c>
      <c r="I356">
        <v>10</v>
      </c>
      <c r="J356" s="17">
        <v>0.86923076923076925</v>
      </c>
      <c r="K356">
        <v>43</v>
      </c>
      <c r="L356">
        <v>41</v>
      </c>
      <c r="M356" s="17">
        <v>0.95348837209302328</v>
      </c>
      <c r="N356" s="25">
        <v>8545</v>
      </c>
      <c r="O356" s="25">
        <v>2316.5</v>
      </c>
      <c r="P356" s="25">
        <v>7740</v>
      </c>
      <c r="Q356" s="25">
        <v>18601.5</v>
      </c>
      <c r="R356" s="18">
        <v>82.307522123893804</v>
      </c>
    </row>
    <row r="357" spans="1:18" x14ac:dyDescent="0.35">
      <c r="A357" s="13">
        <v>45787</v>
      </c>
      <c r="B357">
        <v>2025</v>
      </c>
      <c r="C357">
        <v>5</v>
      </c>
      <c r="D357" t="s">
        <v>73</v>
      </c>
      <c r="E357" t="s">
        <v>72</v>
      </c>
      <c r="F357">
        <v>233</v>
      </c>
      <c r="G357">
        <v>233</v>
      </c>
      <c r="H357">
        <v>0</v>
      </c>
      <c r="I357">
        <v>11</v>
      </c>
      <c r="J357" s="17">
        <v>0.81468531468531469</v>
      </c>
      <c r="K357">
        <v>43</v>
      </c>
      <c r="L357">
        <v>41</v>
      </c>
      <c r="M357" s="17">
        <v>0.95348837209302328</v>
      </c>
      <c r="N357" s="25">
        <v>9399.5</v>
      </c>
      <c r="O357" s="25">
        <v>2388.25</v>
      </c>
      <c r="P357" s="25">
        <v>7740</v>
      </c>
      <c r="Q357" s="25">
        <v>19527.75</v>
      </c>
      <c r="R357" s="18">
        <v>83.810085836909877</v>
      </c>
    </row>
    <row r="358" spans="1:18" x14ac:dyDescent="0.35">
      <c r="A358" s="13">
        <v>45794</v>
      </c>
      <c r="B358">
        <v>2025</v>
      </c>
      <c r="C358">
        <v>5</v>
      </c>
      <c r="D358" t="s">
        <v>73</v>
      </c>
      <c r="E358" t="s">
        <v>72</v>
      </c>
      <c r="F358">
        <v>231</v>
      </c>
      <c r="G358">
        <v>231</v>
      </c>
      <c r="H358">
        <v>0</v>
      </c>
      <c r="I358">
        <v>10</v>
      </c>
      <c r="J358" s="17">
        <v>0.88846153846153841</v>
      </c>
      <c r="K358">
        <v>43</v>
      </c>
      <c r="L358">
        <v>42</v>
      </c>
      <c r="M358" s="17">
        <v>0.97674418604651159</v>
      </c>
      <c r="N358" s="25">
        <v>8545</v>
      </c>
      <c r="O358" s="25">
        <v>2367.75</v>
      </c>
      <c r="P358" s="25">
        <v>7740</v>
      </c>
      <c r="Q358" s="25">
        <v>18652.75</v>
      </c>
      <c r="R358" s="18">
        <v>80.747835497835496</v>
      </c>
    </row>
    <row r="359" spans="1:18" x14ac:dyDescent="0.35">
      <c r="A359" s="13">
        <v>45801</v>
      </c>
      <c r="B359">
        <v>2025</v>
      </c>
      <c r="C359">
        <v>5</v>
      </c>
      <c r="D359" t="s">
        <v>73</v>
      </c>
      <c r="E359" t="s">
        <v>72</v>
      </c>
      <c r="F359">
        <v>230</v>
      </c>
      <c r="G359">
        <v>230</v>
      </c>
      <c r="H359">
        <v>0</v>
      </c>
      <c r="I359">
        <v>11</v>
      </c>
      <c r="J359" s="17">
        <v>0.80419580419580416</v>
      </c>
      <c r="K359">
        <v>43</v>
      </c>
      <c r="L359">
        <v>40</v>
      </c>
      <c r="M359" s="17">
        <v>0.93023255813953487</v>
      </c>
      <c r="N359" s="25">
        <v>9399.5</v>
      </c>
      <c r="O359" s="25">
        <v>2357.5</v>
      </c>
      <c r="P359" s="25">
        <v>7740</v>
      </c>
      <c r="Q359" s="25">
        <v>19497</v>
      </c>
      <c r="R359" s="18">
        <v>84.769565217391303</v>
      </c>
    </row>
    <row r="360" spans="1:18" x14ac:dyDescent="0.35">
      <c r="A360" s="13">
        <v>45808</v>
      </c>
      <c r="B360">
        <v>2025</v>
      </c>
      <c r="C360">
        <v>5</v>
      </c>
      <c r="D360" t="s">
        <v>73</v>
      </c>
      <c r="E360" t="s">
        <v>72</v>
      </c>
      <c r="F360">
        <v>227</v>
      </c>
      <c r="G360">
        <v>227</v>
      </c>
      <c r="H360">
        <v>0</v>
      </c>
      <c r="I360">
        <v>10</v>
      </c>
      <c r="J360" s="17">
        <v>0.87307692307692308</v>
      </c>
      <c r="K360">
        <v>43</v>
      </c>
      <c r="L360">
        <v>42</v>
      </c>
      <c r="M360" s="17">
        <v>0.97674418604651159</v>
      </c>
      <c r="N360" s="25">
        <v>8545</v>
      </c>
      <c r="O360" s="25">
        <v>2326.75</v>
      </c>
      <c r="P360" s="25">
        <v>7740</v>
      </c>
      <c r="Q360" s="25">
        <v>18611.75</v>
      </c>
      <c r="R360" s="18">
        <v>81.990088105726869</v>
      </c>
    </row>
    <row r="361" spans="1:18" x14ac:dyDescent="0.35">
      <c r="A361" s="13">
        <v>45815</v>
      </c>
      <c r="B361">
        <v>2025</v>
      </c>
      <c r="C361">
        <v>6</v>
      </c>
      <c r="D361" t="s">
        <v>73</v>
      </c>
      <c r="E361" t="s">
        <v>72</v>
      </c>
      <c r="F361">
        <v>221</v>
      </c>
      <c r="G361">
        <v>221</v>
      </c>
      <c r="H361">
        <v>0</v>
      </c>
      <c r="I361">
        <v>10</v>
      </c>
      <c r="J361" s="17">
        <v>0.85</v>
      </c>
      <c r="K361">
        <v>43</v>
      </c>
      <c r="L361">
        <v>43</v>
      </c>
      <c r="M361" s="17">
        <v>1</v>
      </c>
      <c r="N361" s="25">
        <v>8545</v>
      </c>
      <c r="O361" s="25">
        <v>2265.25</v>
      </c>
      <c r="P361" s="25">
        <v>7740</v>
      </c>
      <c r="Q361" s="25">
        <v>18550.25</v>
      </c>
      <c r="R361" s="18">
        <v>83.937782805429862</v>
      </c>
    </row>
    <row r="362" spans="1:18" x14ac:dyDescent="0.35">
      <c r="A362" s="13">
        <v>45822</v>
      </c>
      <c r="B362">
        <v>2025</v>
      </c>
      <c r="C362">
        <v>6</v>
      </c>
      <c r="D362" t="s">
        <v>73</v>
      </c>
      <c r="E362" t="s">
        <v>72</v>
      </c>
      <c r="F362">
        <v>226</v>
      </c>
      <c r="G362">
        <v>226</v>
      </c>
      <c r="H362">
        <v>0</v>
      </c>
      <c r="I362">
        <v>11</v>
      </c>
      <c r="J362" s="17">
        <v>0.79020979020979021</v>
      </c>
      <c r="K362">
        <v>43</v>
      </c>
      <c r="L362">
        <v>38</v>
      </c>
      <c r="M362" s="17">
        <v>0.88372093023255816</v>
      </c>
      <c r="N362" s="25">
        <v>9399.5</v>
      </c>
      <c r="O362" s="25">
        <v>2316.5</v>
      </c>
      <c r="P362" s="25">
        <v>7740</v>
      </c>
      <c r="Q362" s="25">
        <v>19456</v>
      </c>
      <c r="R362" s="18">
        <v>86.088495575221245</v>
      </c>
    </row>
    <row r="363" spans="1:18" x14ac:dyDescent="0.35">
      <c r="A363" s="13">
        <v>45829</v>
      </c>
      <c r="B363">
        <v>2025</v>
      </c>
      <c r="C363">
        <v>6</v>
      </c>
      <c r="D363" t="s">
        <v>73</v>
      </c>
      <c r="E363" t="s">
        <v>72</v>
      </c>
      <c r="F363">
        <v>229</v>
      </c>
      <c r="G363">
        <v>229</v>
      </c>
      <c r="H363">
        <v>0</v>
      </c>
      <c r="I363">
        <v>10</v>
      </c>
      <c r="J363" s="17">
        <v>0.88076923076923075</v>
      </c>
      <c r="K363">
        <v>43</v>
      </c>
      <c r="L363">
        <v>43</v>
      </c>
      <c r="M363" s="17">
        <v>1</v>
      </c>
      <c r="N363" s="25">
        <v>8545</v>
      </c>
      <c r="O363" s="25">
        <v>2347.25</v>
      </c>
      <c r="P363" s="25">
        <v>7740</v>
      </c>
      <c r="Q363" s="25">
        <v>18632.25</v>
      </c>
      <c r="R363" s="18">
        <v>81.363537117903931</v>
      </c>
    </row>
    <row r="364" spans="1:18" x14ac:dyDescent="0.35">
      <c r="A364" s="13">
        <v>45836</v>
      </c>
      <c r="B364">
        <v>2025</v>
      </c>
      <c r="C364">
        <v>6</v>
      </c>
      <c r="D364" t="s">
        <v>73</v>
      </c>
      <c r="E364" t="s">
        <v>72</v>
      </c>
      <c r="F364">
        <v>227</v>
      </c>
      <c r="G364">
        <v>227</v>
      </c>
      <c r="H364">
        <v>0</v>
      </c>
      <c r="I364">
        <v>12</v>
      </c>
      <c r="J364" s="17">
        <v>0.72756410256410253</v>
      </c>
      <c r="K364">
        <v>43</v>
      </c>
      <c r="L364">
        <v>38</v>
      </c>
      <c r="M364" s="17">
        <v>0.88372093023255816</v>
      </c>
      <c r="N364" s="25">
        <v>10254</v>
      </c>
      <c r="O364" s="25">
        <v>2326.75</v>
      </c>
      <c r="P364" s="25">
        <v>7740</v>
      </c>
      <c r="Q364" s="25">
        <v>20320.75</v>
      </c>
      <c r="R364" s="18">
        <v>89.518722466960355</v>
      </c>
    </row>
    <row r="365" spans="1:18" x14ac:dyDescent="0.35">
      <c r="A365" s="13">
        <v>45843</v>
      </c>
      <c r="B365">
        <v>2025</v>
      </c>
      <c r="C365">
        <v>7</v>
      </c>
      <c r="D365" t="s">
        <v>73</v>
      </c>
      <c r="E365" t="s">
        <v>72</v>
      </c>
      <c r="F365">
        <v>227</v>
      </c>
      <c r="G365">
        <v>227</v>
      </c>
      <c r="H365">
        <v>0</v>
      </c>
      <c r="I365">
        <v>12</v>
      </c>
      <c r="J365" s="17">
        <v>0.72756410256410253</v>
      </c>
      <c r="K365">
        <v>43</v>
      </c>
      <c r="L365">
        <v>42</v>
      </c>
      <c r="M365" s="17">
        <v>0.97674418604651159</v>
      </c>
      <c r="N365" s="25">
        <v>10254</v>
      </c>
      <c r="O365" s="25">
        <v>2326.75</v>
      </c>
      <c r="P365" s="25">
        <v>7740</v>
      </c>
      <c r="Q365" s="25">
        <v>20320.75</v>
      </c>
      <c r="R365" s="18">
        <v>89.518722466960355</v>
      </c>
    </row>
    <row r="366" spans="1:18" x14ac:dyDescent="0.35">
      <c r="A366" s="13">
        <v>45850</v>
      </c>
      <c r="B366">
        <v>2025</v>
      </c>
      <c r="C366">
        <v>7</v>
      </c>
      <c r="D366" t="s">
        <v>73</v>
      </c>
      <c r="E366" t="s">
        <v>72</v>
      </c>
      <c r="F366">
        <v>225</v>
      </c>
      <c r="G366">
        <v>225</v>
      </c>
      <c r="H366">
        <v>0</v>
      </c>
      <c r="I366">
        <v>11</v>
      </c>
      <c r="J366" s="17">
        <v>0.78671328671328666</v>
      </c>
      <c r="K366">
        <v>43</v>
      </c>
      <c r="L366">
        <v>41</v>
      </c>
      <c r="M366" s="17">
        <v>0.95348837209302328</v>
      </c>
      <c r="N366" s="25">
        <v>9399.5</v>
      </c>
      <c r="O366" s="25">
        <v>2306.25</v>
      </c>
      <c r="P366" s="25">
        <v>7740</v>
      </c>
      <c r="Q366" s="25">
        <v>19445.75</v>
      </c>
      <c r="R366" s="18">
        <v>86.425555555555562</v>
      </c>
    </row>
    <row r="367" spans="1:18" x14ac:dyDescent="0.35">
      <c r="A367" s="13">
        <v>45857</v>
      </c>
      <c r="B367">
        <v>2025</v>
      </c>
      <c r="C367">
        <v>7</v>
      </c>
      <c r="D367" t="s">
        <v>73</v>
      </c>
      <c r="E367" t="s">
        <v>72</v>
      </c>
      <c r="F367">
        <v>233</v>
      </c>
      <c r="G367">
        <v>233</v>
      </c>
      <c r="H367">
        <v>0</v>
      </c>
      <c r="I367">
        <v>12</v>
      </c>
      <c r="J367" s="17">
        <v>0.74679487179487181</v>
      </c>
      <c r="K367">
        <v>43</v>
      </c>
      <c r="L367">
        <v>39</v>
      </c>
      <c r="M367" s="17">
        <v>0.90697674418604646</v>
      </c>
      <c r="N367" s="25">
        <v>10254</v>
      </c>
      <c r="O367" s="25">
        <v>2388.25</v>
      </c>
      <c r="P367" s="25">
        <v>7740</v>
      </c>
      <c r="Q367" s="25">
        <v>20382.25</v>
      </c>
      <c r="R367" s="18">
        <v>87.477467811158803</v>
      </c>
    </row>
    <row r="368" spans="1:18" x14ac:dyDescent="0.35">
      <c r="A368" s="13">
        <v>45864</v>
      </c>
      <c r="B368">
        <v>2025</v>
      </c>
      <c r="C368">
        <v>7</v>
      </c>
      <c r="D368" t="s">
        <v>73</v>
      </c>
      <c r="E368" t="s">
        <v>72</v>
      </c>
      <c r="F368">
        <v>230</v>
      </c>
      <c r="G368">
        <v>230</v>
      </c>
      <c r="H368">
        <v>0</v>
      </c>
      <c r="I368">
        <v>11</v>
      </c>
      <c r="J368" s="17">
        <v>0.80419580419580416</v>
      </c>
      <c r="K368">
        <v>43</v>
      </c>
      <c r="L368">
        <v>42</v>
      </c>
      <c r="M368" s="17">
        <v>0.97674418604651159</v>
      </c>
      <c r="N368" s="25">
        <v>9399.5</v>
      </c>
      <c r="O368" s="25">
        <v>2357.5</v>
      </c>
      <c r="P368" s="25">
        <v>7740</v>
      </c>
      <c r="Q368" s="25">
        <v>19497</v>
      </c>
      <c r="R368" s="18">
        <v>84.769565217391303</v>
      </c>
    </row>
    <row r="369" spans="1:18" x14ac:dyDescent="0.35">
      <c r="A369" s="13">
        <v>45871</v>
      </c>
      <c r="B369">
        <v>2025</v>
      </c>
      <c r="C369">
        <v>8</v>
      </c>
      <c r="D369" t="s">
        <v>73</v>
      </c>
      <c r="E369" t="s">
        <v>72</v>
      </c>
      <c r="F369">
        <v>238</v>
      </c>
      <c r="G369">
        <v>238</v>
      </c>
      <c r="H369">
        <v>0</v>
      </c>
      <c r="I369">
        <v>12</v>
      </c>
      <c r="J369" s="17">
        <v>0.76282051282051277</v>
      </c>
      <c r="K369">
        <v>43</v>
      </c>
      <c r="L369">
        <v>41</v>
      </c>
      <c r="M369" s="17">
        <v>0.95348837209302328</v>
      </c>
      <c r="N369" s="25">
        <v>10254</v>
      </c>
      <c r="O369" s="25">
        <v>2439.5</v>
      </c>
      <c r="P369" s="25">
        <v>7740</v>
      </c>
      <c r="Q369" s="25">
        <v>20433.5</v>
      </c>
      <c r="R369" s="18">
        <v>85.855042016806721</v>
      </c>
    </row>
    <row r="370" spans="1:18" x14ac:dyDescent="0.35">
      <c r="A370" s="13">
        <v>45878</v>
      </c>
      <c r="B370">
        <v>2025</v>
      </c>
      <c r="C370">
        <v>8</v>
      </c>
      <c r="D370" t="s">
        <v>73</v>
      </c>
      <c r="E370" t="s">
        <v>72</v>
      </c>
      <c r="F370">
        <v>242</v>
      </c>
      <c r="G370">
        <v>242</v>
      </c>
      <c r="H370">
        <v>0</v>
      </c>
      <c r="I370">
        <v>12</v>
      </c>
      <c r="J370" s="17">
        <v>0.77564102564102566</v>
      </c>
      <c r="K370">
        <v>43</v>
      </c>
      <c r="L370">
        <v>42</v>
      </c>
      <c r="M370" s="17">
        <v>0.97674418604651159</v>
      </c>
      <c r="N370" s="25">
        <v>10254</v>
      </c>
      <c r="O370" s="25">
        <v>2480.5</v>
      </c>
      <c r="P370" s="25">
        <v>7740</v>
      </c>
      <c r="Q370" s="25">
        <v>20474.5</v>
      </c>
      <c r="R370" s="18">
        <v>84.605371900826441</v>
      </c>
    </row>
    <row r="371" spans="1:18" x14ac:dyDescent="0.35">
      <c r="A371" s="13">
        <v>45885</v>
      </c>
      <c r="B371">
        <v>2025</v>
      </c>
      <c r="C371">
        <v>8</v>
      </c>
      <c r="D371" t="s">
        <v>73</v>
      </c>
      <c r="E371" t="s">
        <v>72</v>
      </c>
      <c r="F371">
        <v>234</v>
      </c>
      <c r="G371">
        <v>234</v>
      </c>
      <c r="H371">
        <v>0</v>
      </c>
      <c r="I371">
        <v>10</v>
      </c>
      <c r="J371" s="17">
        <v>0.9</v>
      </c>
      <c r="K371">
        <v>43</v>
      </c>
      <c r="L371">
        <v>42</v>
      </c>
      <c r="M371" s="17">
        <v>0.97674418604651159</v>
      </c>
      <c r="N371" s="25">
        <v>8545</v>
      </c>
      <c r="O371" s="25">
        <v>2398.5</v>
      </c>
      <c r="P371" s="25">
        <v>7740</v>
      </c>
      <c r="Q371" s="25">
        <v>18683.5</v>
      </c>
      <c r="R371" s="18">
        <v>79.84401709401709</v>
      </c>
    </row>
    <row r="372" spans="1:18" x14ac:dyDescent="0.35">
      <c r="A372" s="13">
        <v>45892</v>
      </c>
      <c r="B372">
        <v>2025</v>
      </c>
      <c r="C372">
        <v>8</v>
      </c>
      <c r="D372" t="s">
        <v>73</v>
      </c>
      <c r="E372" t="s">
        <v>72</v>
      </c>
      <c r="F372">
        <v>224</v>
      </c>
      <c r="G372">
        <v>224</v>
      </c>
      <c r="H372">
        <v>0</v>
      </c>
      <c r="I372">
        <v>10</v>
      </c>
      <c r="J372" s="17">
        <v>0.86153846153846159</v>
      </c>
      <c r="K372">
        <v>43</v>
      </c>
      <c r="L372">
        <v>41</v>
      </c>
      <c r="M372" s="17">
        <v>0.95348837209302328</v>
      </c>
      <c r="N372" s="25">
        <v>8545</v>
      </c>
      <c r="O372" s="25">
        <v>2296</v>
      </c>
      <c r="P372" s="25">
        <v>7740</v>
      </c>
      <c r="Q372" s="25">
        <v>18581</v>
      </c>
      <c r="R372" s="18">
        <v>82.950892857142861</v>
      </c>
    </row>
    <row r="373" spans="1:18" x14ac:dyDescent="0.35">
      <c r="A373" s="13">
        <v>45899</v>
      </c>
      <c r="B373">
        <v>2025</v>
      </c>
      <c r="C373">
        <v>8</v>
      </c>
      <c r="D373" t="s">
        <v>73</v>
      </c>
      <c r="E373" t="s">
        <v>72</v>
      </c>
      <c r="F373">
        <v>227</v>
      </c>
      <c r="G373">
        <v>227</v>
      </c>
      <c r="H373">
        <v>0</v>
      </c>
      <c r="I373">
        <v>10</v>
      </c>
      <c r="J373" s="17">
        <v>0.87307692307692308</v>
      </c>
      <c r="K373">
        <v>43</v>
      </c>
      <c r="L373">
        <v>42</v>
      </c>
      <c r="M373" s="17">
        <v>0.97674418604651159</v>
      </c>
      <c r="N373" s="25">
        <v>8545</v>
      </c>
      <c r="O373" s="25">
        <v>2326.75</v>
      </c>
      <c r="P373" s="25">
        <v>7740</v>
      </c>
      <c r="Q373" s="25">
        <v>18611.75</v>
      </c>
      <c r="R373" s="18">
        <v>81.990088105726869</v>
      </c>
    </row>
    <row r="374" spans="1:18" x14ac:dyDescent="0.35">
      <c r="A374" s="13">
        <v>45906</v>
      </c>
      <c r="B374">
        <v>2025</v>
      </c>
      <c r="C374">
        <v>9</v>
      </c>
      <c r="D374" t="s">
        <v>73</v>
      </c>
      <c r="E374" t="s">
        <v>72</v>
      </c>
      <c r="F374">
        <v>221</v>
      </c>
      <c r="G374">
        <v>221</v>
      </c>
      <c r="H374">
        <v>0</v>
      </c>
      <c r="I374">
        <v>10</v>
      </c>
      <c r="J374" s="17">
        <v>0.85</v>
      </c>
      <c r="K374">
        <v>43</v>
      </c>
      <c r="L374">
        <v>42</v>
      </c>
      <c r="M374" s="17">
        <v>0.97674418604651159</v>
      </c>
      <c r="N374" s="25">
        <v>8545</v>
      </c>
      <c r="O374" s="25">
        <v>2265.25</v>
      </c>
      <c r="P374" s="25">
        <v>7740</v>
      </c>
      <c r="Q374" s="25">
        <v>18550.25</v>
      </c>
      <c r="R374" s="18">
        <v>83.937782805429862</v>
      </c>
    </row>
    <row r="375" spans="1:18" x14ac:dyDescent="0.35">
      <c r="A375" s="13">
        <v>45913</v>
      </c>
      <c r="B375">
        <v>2025</v>
      </c>
      <c r="C375">
        <v>9</v>
      </c>
      <c r="D375" t="s">
        <v>73</v>
      </c>
      <c r="E375" t="s">
        <v>72</v>
      </c>
      <c r="F375">
        <v>207</v>
      </c>
      <c r="G375">
        <v>207</v>
      </c>
      <c r="H375">
        <v>0</v>
      </c>
      <c r="I375">
        <v>10</v>
      </c>
      <c r="J375" s="17">
        <v>0.7961538461538461</v>
      </c>
      <c r="K375">
        <v>43</v>
      </c>
      <c r="L375">
        <v>43</v>
      </c>
      <c r="M375" s="17">
        <v>1</v>
      </c>
      <c r="N375" s="25">
        <v>8545</v>
      </c>
      <c r="O375" s="25">
        <v>2121.75</v>
      </c>
      <c r="P375" s="25">
        <v>7740</v>
      </c>
      <c r="Q375" s="25">
        <v>18406.75</v>
      </c>
      <c r="R375" s="18">
        <v>88.921497584541058</v>
      </c>
    </row>
    <row r="376" spans="1:18" x14ac:dyDescent="0.35">
      <c r="A376" s="13">
        <v>45920</v>
      </c>
      <c r="B376">
        <v>2025</v>
      </c>
      <c r="C376">
        <v>9</v>
      </c>
      <c r="D376" t="s">
        <v>73</v>
      </c>
      <c r="E376" t="s">
        <v>72</v>
      </c>
      <c r="F376">
        <v>213</v>
      </c>
      <c r="G376">
        <v>213</v>
      </c>
      <c r="H376">
        <v>0</v>
      </c>
      <c r="I376">
        <v>10</v>
      </c>
      <c r="J376" s="17">
        <v>0.81923076923076921</v>
      </c>
      <c r="K376">
        <v>43</v>
      </c>
      <c r="L376">
        <v>40</v>
      </c>
      <c r="M376" s="17">
        <v>0.93023255813953487</v>
      </c>
      <c r="N376" s="25">
        <v>8545</v>
      </c>
      <c r="O376" s="25">
        <v>2183.25</v>
      </c>
      <c r="P376" s="25">
        <v>7740</v>
      </c>
      <c r="Q376" s="25">
        <v>18468.25</v>
      </c>
      <c r="R376" s="18">
        <v>86.705399061032864</v>
      </c>
    </row>
    <row r="377" spans="1:18" x14ac:dyDescent="0.35">
      <c r="A377" s="13">
        <v>45927</v>
      </c>
      <c r="B377">
        <v>2025</v>
      </c>
      <c r="C377">
        <v>9</v>
      </c>
      <c r="D377" t="s">
        <v>73</v>
      </c>
      <c r="E377" t="s">
        <v>72</v>
      </c>
      <c r="F377">
        <v>213</v>
      </c>
      <c r="G377">
        <v>213</v>
      </c>
      <c r="H377">
        <v>0</v>
      </c>
      <c r="I377">
        <v>10</v>
      </c>
      <c r="J377" s="17">
        <v>0.81923076923076921</v>
      </c>
      <c r="K377">
        <v>43</v>
      </c>
      <c r="L377">
        <v>43</v>
      </c>
      <c r="M377" s="17">
        <v>1</v>
      </c>
      <c r="N377" s="25">
        <v>8545</v>
      </c>
      <c r="O377" s="25">
        <v>2183.25</v>
      </c>
      <c r="P377" s="25">
        <v>7740</v>
      </c>
      <c r="Q377" s="25">
        <v>18468.25</v>
      </c>
      <c r="R377" s="18">
        <v>86.705399061032864</v>
      </c>
    </row>
    <row r="378" spans="1:18" x14ac:dyDescent="0.35">
      <c r="A378" s="13">
        <v>45934</v>
      </c>
      <c r="B378">
        <v>2025</v>
      </c>
      <c r="C378">
        <v>10</v>
      </c>
      <c r="D378" t="s">
        <v>73</v>
      </c>
      <c r="E378" t="s">
        <v>72</v>
      </c>
      <c r="F378">
        <v>227</v>
      </c>
      <c r="G378">
        <v>227</v>
      </c>
      <c r="H378">
        <v>0</v>
      </c>
      <c r="I378">
        <v>11</v>
      </c>
      <c r="J378" s="17">
        <v>0.79370629370629375</v>
      </c>
      <c r="K378">
        <v>43</v>
      </c>
      <c r="L378">
        <v>42</v>
      </c>
      <c r="M378" s="17">
        <v>0.97674418604651159</v>
      </c>
      <c r="N378" s="25">
        <v>9399.5</v>
      </c>
      <c r="O378" s="25">
        <v>2326.75</v>
      </c>
      <c r="P378" s="25">
        <v>7740</v>
      </c>
      <c r="Q378" s="25">
        <v>19466.25</v>
      </c>
      <c r="R378" s="18">
        <v>85.754405286343612</v>
      </c>
    </row>
    <row r="379" spans="1:18" x14ac:dyDescent="0.35">
      <c r="A379" s="13">
        <v>45941</v>
      </c>
      <c r="B379">
        <v>2025</v>
      </c>
      <c r="C379">
        <v>10</v>
      </c>
      <c r="D379" t="s">
        <v>73</v>
      </c>
      <c r="E379" t="s">
        <v>72</v>
      </c>
      <c r="F379">
        <v>227</v>
      </c>
      <c r="G379">
        <v>227</v>
      </c>
      <c r="H379">
        <v>0</v>
      </c>
      <c r="I379">
        <v>12</v>
      </c>
      <c r="J379" s="17">
        <v>0.72756410256410253</v>
      </c>
      <c r="K379">
        <v>43</v>
      </c>
      <c r="L379">
        <v>41</v>
      </c>
      <c r="M379" s="17">
        <v>0.95348837209302328</v>
      </c>
      <c r="N379" s="25">
        <v>10254</v>
      </c>
      <c r="O379" s="25">
        <v>2326.75</v>
      </c>
      <c r="P379" s="25">
        <v>7740</v>
      </c>
      <c r="Q379" s="25">
        <v>20320.75</v>
      </c>
      <c r="R379" s="18">
        <v>89.518722466960355</v>
      </c>
    </row>
    <row r="380" spans="1:18" x14ac:dyDescent="0.35">
      <c r="A380" s="13">
        <v>45948</v>
      </c>
      <c r="B380">
        <v>2025</v>
      </c>
      <c r="C380">
        <v>10</v>
      </c>
      <c r="D380" t="s">
        <v>73</v>
      </c>
      <c r="E380" t="s">
        <v>72</v>
      </c>
      <c r="F380">
        <v>228</v>
      </c>
      <c r="G380">
        <v>228</v>
      </c>
      <c r="H380">
        <v>0</v>
      </c>
      <c r="I380">
        <v>10</v>
      </c>
      <c r="J380" s="17">
        <v>0.87692307692307692</v>
      </c>
      <c r="K380">
        <v>43</v>
      </c>
      <c r="L380">
        <v>39</v>
      </c>
      <c r="M380" s="17">
        <v>0.90697674418604646</v>
      </c>
      <c r="N380" s="25">
        <v>8545</v>
      </c>
      <c r="O380" s="25">
        <v>2337</v>
      </c>
      <c r="P380" s="25">
        <v>7740</v>
      </c>
      <c r="Q380" s="25">
        <v>18622</v>
      </c>
      <c r="R380" s="18">
        <v>81.675438596491233</v>
      </c>
    </row>
    <row r="381" spans="1:18" x14ac:dyDescent="0.35">
      <c r="A381" s="13">
        <v>45955</v>
      </c>
      <c r="B381">
        <v>2025</v>
      </c>
      <c r="C381">
        <v>10</v>
      </c>
      <c r="D381" t="s">
        <v>73</v>
      </c>
      <c r="E381" t="s">
        <v>72</v>
      </c>
      <c r="F381">
        <v>243</v>
      </c>
      <c r="G381">
        <v>243</v>
      </c>
      <c r="H381">
        <v>0</v>
      </c>
      <c r="I381">
        <v>11</v>
      </c>
      <c r="J381" s="17">
        <v>0.84965034965034969</v>
      </c>
      <c r="K381">
        <v>43</v>
      </c>
      <c r="L381">
        <v>41</v>
      </c>
      <c r="M381" s="17">
        <v>0.95348837209302328</v>
      </c>
      <c r="N381" s="25">
        <v>9399.5</v>
      </c>
      <c r="O381" s="25">
        <v>2490.75</v>
      </c>
      <c r="P381" s="25">
        <v>7740</v>
      </c>
      <c r="Q381" s="25">
        <v>19630.25</v>
      </c>
      <c r="R381" s="18">
        <v>80.782921810699591</v>
      </c>
    </row>
    <row r="382" spans="1:18" x14ac:dyDescent="0.35">
      <c r="A382" s="13">
        <v>45962</v>
      </c>
      <c r="B382">
        <v>2025</v>
      </c>
      <c r="C382">
        <v>11</v>
      </c>
      <c r="D382" t="s">
        <v>73</v>
      </c>
      <c r="E382" t="s">
        <v>72</v>
      </c>
      <c r="F382">
        <v>246</v>
      </c>
      <c r="G382">
        <v>246</v>
      </c>
      <c r="H382">
        <v>0</v>
      </c>
      <c r="I382">
        <v>11</v>
      </c>
      <c r="J382" s="17">
        <v>0.8601398601398601</v>
      </c>
      <c r="K382">
        <v>43</v>
      </c>
      <c r="L382">
        <v>42</v>
      </c>
      <c r="M382" s="17">
        <v>0.97674418604651159</v>
      </c>
      <c r="N382" s="25">
        <v>9399.5</v>
      </c>
      <c r="O382" s="25">
        <v>2521.5</v>
      </c>
      <c r="P382" s="25">
        <v>7740</v>
      </c>
      <c r="Q382" s="25">
        <v>19661</v>
      </c>
      <c r="R382" s="18">
        <v>79.922764227642276</v>
      </c>
    </row>
    <row r="383" spans="1:18" x14ac:dyDescent="0.35">
      <c r="A383" s="13">
        <v>45969</v>
      </c>
      <c r="B383">
        <v>2025</v>
      </c>
      <c r="C383">
        <v>11</v>
      </c>
      <c r="D383" t="s">
        <v>73</v>
      </c>
      <c r="E383" t="s">
        <v>72</v>
      </c>
      <c r="F383">
        <v>273</v>
      </c>
      <c r="G383">
        <v>270</v>
      </c>
      <c r="H383">
        <v>3</v>
      </c>
      <c r="I383">
        <v>14</v>
      </c>
      <c r="J383" s="17">
        <v>0.74175824175824179</v>
      </c>
      <c r="K383">
        <v>43</v>
      </c>
      <c r="L383">
        <v>41</v>
      </c>
      <c r="M383" s="17">
        <v>0.95348837209302328</v>
      </c>
      <c r="N383" s="25">
        <v>11963</v>
      </c>
      <c r="O383" s="25">
        <v>2767.5</v>
      </c>
      <c r="P383" s="25">
        <v>7740</v>
      </c>
      <c r="Q383" s="25">
        <v>22470.5</v>
      </c>
      <c r="R383" s="18">
        <v>83.224074074074068</v>
      </c>
    </row>
    <row r="384" spans="1:18" x14ac:dyDescent="0.35">
      <c r="A384" s="13">
        <v>45976</v>
      </c>
      <c r="B384">
        <v>2025</v>
      </c>
      <c r="C384">
        <v>11</v>
      </c>
      <c r="D384" t="s">
        <v>73</v>
      </c>
      <c r="E384" t="s">
        <v>72</v>
      </c>
      <c r="F384">
        <v>288</v>
      </c>
      <c r="G384">
        <v>288</v>
      </c>
      <c r="H384">
        <v>3</v>
      </c>
      <c r="I384">
        <v>15</v>
      </c>
      <c r="J384" s="17">
        <v>0.7384615384615385</v>
      </c>
      <c r="K384">
        <v>43</v>
      </c>
      <c r="L384">
        <v>41</v>
      </c>
      <c r="M384" s="17">
        <v>0.95348837209302328</v>
      </c>
      <c r="N384" s="25">
        <v>12817.5</v>
      </c>
      <c r="O384" s="25">
        <v>2952</v>
      </c>
      <c r="P384" s="25">
        <v>7740</v>
      </c>
      <c r="Q384" s="25">
        <v>23509.5</v>
      </c>
      <c r="R384" s="18">
        <v>81.630208333333329</v>
      </c>
    </row>
    <row r="385" spans="1:18" x14ac:dyDescent="0.35">
      <c r="A385" s="13">
        <v>45983</v>
      </c>
      <c r="B385">
        <v>2025</v>
      </c>
      <c r="C385">
        <v>11</v>
      </c>
      <c r="D385" t="s">
        <v>73</v>
      </c>
      <c r="E385" t="s">
        <v>72</v>
      </c>
      <c r="F385">
        <v>297</v>
      </c>
      <c r="G385">
        <v>294</v>
      </c>
      <c r="H385">
        <v>6</v>
      </c>
      <c r="I385">
        <v>15</v>
      </c>
      <c r="J385" s="17">
        <v>0.75384615384615383</v>
      </c>
      <c r="K385">
        <v>43</v>
      </c>
      <c r="L385">
        <v>42</v>
      </c>
      <c r="M385" s="17">
        <v>0.97674418604651159</v>
      </c>
      <c r="N385" s="25">
        <v>12817.5</v>
      </c>
      <c r="O385" s="25">
        <v>3013.5</v>
      </c>
      <c r="P385" s="25">
        <v>7740</v>
      </c>
      <c r="Q385" s="25">
        <v>23571</v>
      </c>
      <c r="R385" s="18">
        <v>80.173469387755105</v>
      </c>
    </row>
    <row r="386" spans="1:18" x14ac:dyDescent="0.35">
      <c r="A386" s="13">
        <v>45990</v>
      </c>
      <c r="B386">
        <v>2025</v>
      </c>
      <c r="C386">
        <v>11</v>
      </c>
      <c r="D386" t="s">
        <v>73</v>
      </c>
      <c r="E386" t="s">
        <v>72</v>
      </c>
      <c r="F386">
        <v>331</v>
      </c>
      <c r="G386">
        <v>310</v>
      </c>
      <c r="H386">
        <v>27</v>
      </c>
      <c r="I386">
        <v>16</v>
      </c>
      <c r="J386" s="17">
        <v>0.74519230769230771</v>
      </c>
      <c r="K386">
        <v>43</v>
      </c>
      <c r="L386">
        <v>42</v>
      </c>
      <c r="M386" s="17">
        <v>0.97674418604651159</v>
      </c>
      <c r="N386" s="25">
        <v>13672</v>
      </c>
      <c r="O386" s="25">
        <v>3177.5</v>
      </c>
      <c r="P386" s="25">
        <v>7740</v>
      </c>
      <c r="Q386" s="25">
        <v>24589.5</v>
      </c>
      <c r="R386" s="18">
        <v>79.32096774193549</v>
      </c>
    </row>
    <row r="387" spans="1:18" x14ac:dyDescent="0.35">
      <c r="A387" s="13">
        <v>45997</v>
      </c>
      <c r="B387">
        <v>2025</v>
      </c>
      <c r="C387">
        <v>12</v>
      </c>
      <c r="D387" t="s">
        <v>73</v>
      </c>
      <c r="E387" t="s">
        <v>72</v>
      </c>
      <c r="F387">
        <v>346</v>
      </c>
      <c r="G387">
        <v>314</v>
      </c>
      <c r="H387">
        <v>59</v>
      </c>
      <c r="I387">
        <v>16</v>
      </c>
      <c r="J387" s="17">
        <v>0.75480769230769229</v>
      </c>
      <c r="K387">
        <v>43</v>
      </c>
      <c r="L387">
        <v>42</v>
      </c>
      <c r="M387" s="17">
        <v>0.97674418604651159</v>
      </c>
      <c r="N387" s="25">
        <v>13672</v>
      </c>
      <c r="O387" s="25">
        <v>3218.5</v>
      </c>
      <c r="P387" s="25">
        <v>7740</v>
      </c>
      <c r="Q387" s="25">
        <v>24630.5</v>
      </c>
      <c r="R387" s="18">
        <v>78.441082802547768</v>
      </c>
    </row>
    <row r="388" spans="1:18" x14ac:dyDescent="0.35">
      <c r="A388" s="13">
        <v>46004</v>
      </c>
      <c r="B388">
        <v>2025</v>
      </c>
      <c r="C388">
        <v>12</v>
      </c>
      <c r="D388" t="s">
        <v>73</v>
      </c>
      <c r="E388" t="s">
        <v>72</v>
      </c>
      <c r="F388">
        <v>359</v>
      </c>
      <c r="G388">
        <v>316</v>
      </c>
      <c r="H388">
        <v>102</v>
      </c>
      <c r="I388">
        <v>16</v>
      </c>
      <c r="J388" s="17">
        <v>0.75961538461538458</v>
      </c>
      <c r="K388">
        <v>43</v>
      </c>
      <c r="L388">
        <v>40</v>
      </c>
      <c r="M388" s="17">
        <v>0.93023255813953487</v>
      </c>
      <c r="N388" s="25">
        <v>13672</v>
      </c>
      <c r="O388" s="25">
        <v>3239</v>
      </c>
      <c r="P388" s="25">
        <v>7740</v>
      </c>
      <c r="Q388" s="25">
        <v>24651</v>
      </c>
      <c r="R388" s="18">
        <v>78.009493670886073</v>
      </c>
    </row>
    <row r="389" spans="1:18" x14ac:dyDescent="0.35">
      <c r="A389" s="13">
        <v>46011</v>
      </c>
      <c r="B389">
        <v>2025</v>
      </c>
      <c r="C389">
        <v>12</v>
      </c>
      <c r="D389" t="s">
        <v>73</v>
      </c>
      <c r="E389" t="s">
        <v>72</v>
      </c>
      <c r="F389">
        <v>319</v>
      </c>
      <c r="G389">
        <v>313</v>
      </c>
      <c r="H389">
        <v>108</v>
      </c>
      <c r="I389">
        <v>15</v>
      </c>
      <c r="J389" s="17">
        <v>0.8025641025641026</v>
      </c>
      <c r="K389">
        <v>43</v>
      </c>
      <c r="L389">
        <v>39</v>
      </c>
      <c r="M389" s="17">
        <v>0.90697674418604646</v>
      </c>
      <c r="N389" s="25">
        <v>12817.5</v>
      </c>
      <c r="O389" s="25">
        <v>3208.25</v>
      </c>
      <c r="P389" s="25">
        <v>7740</v>
      </c>
      <c r="Q389" s="25">
        <v>23765.75</v>
      </c>
      <c r="R389" s="18">
        <v>75.928913738019176</v>
      </c>
    </row>
    <row r="390" spans="1:18" x14ac:dyDescent="0.35">
      <c r="A390" s="13">
        <v>46018</v>
      </c>
      <c r="B390">
        <v>2025</v>
      </c>
      <c r="C390">
        <v>12</v>
      </c>
      <c r="D390" t="s">
        <v>73</v>
      </c>
      <c r="E390" t="s">
        <v>72</v>
      </c>
      <c r="F390">
        <v>262</v>
      </c>
      <c r="G390">
        <v>307</v>
      </c>
      <c r="H390">
        <v>63</v>
      </c>
      <c r="I390">
        <v>16</v>
      </c>
      <c r="J390" s="17">
        <v>0.73798076923076927</v>
      </c>
      <c r="K390">
        <v>43</v>
      </c>
      <c r="L390">
        <v>41</v>
      </c>
      <c r="M390" s="17">
        <v>0.95348837209302328</v>
      </c>
      <c r="N390" s="25">
        <v>13672</v>
      </c>
      <c r="O390" s="25">
        <v>3146.75</v>
      </c>
      <c r="P390" s="25">
        <v>7740</v>
      </c>
      <c r="Q390" s="25">
        <v>24558.75</v>
      </c>
      <c r="R390" s="18">
        <v>79.995928338762212</v>
      </c>
    </row>
    <row r="391" spans="1:18" x14ac:dyDescent="0.35">
      <c r="A391" s="13">
        <v>46025</v>
      </c>
      <c r="B391">
        <v>2026</v>
      </c>
      <c r="C391">
        <v>1</v>
      </c>
      <c r="D391" t="s">
        <v>73</v>
      </c>
      <c r="E391" t="s">
        <v>72</v>
      </c>
      <c r="F391">
        <v>229</v>
      </c>
      <c r="G391">
        <v>268</v>
      </c>
      <c r="H391">
        <v>24</v>
      </c>
      <c r="I391">
        <v>13</v>
      </c>
      <c r="J391" s="17">
        <v>0.79289940828402372</v>
      </c>
      <c r="K391">
        <v>43</v>
      </c>
      <c r="L391">
        <v>41</v>
      </c>
      <c r="M391" s="17">
        <v>0.95348837209302328</v>
      </c>
      <c r="N391" s="25">
        <v>11108.5</v>
      </c>
      <c r="O391" s="25">
        <v>2747</v>
      </c>
      <c r="P391" s="25">
        <v>7740</v>
      </c>
      <c r="Q391" s="25">
        <v>21595.5</v>
      </c>
      <c r="R391" s="18">
        <v>80.580223880597018</v>
      </c>
    </row>
    <row r="392" spans="1:18" x14ac:dyDescent="0.35">
      <c r="A392" s="13">
        <v>46032</v>
      </c>
      <c r="B392">
        <v>2026</v>
      </c>
      <c r="C392">
        <v>1</v>
      </c>
      <c r="D392" t="s">
        <v>73</v>
      </c>
      <c r="E392" t="s">
        <v>72</v>
      </c>
      <c r="F392">
        <v>182</v>
      </c>
      <c r="G392">
        <v>200</v>
      </c>
      <c r="H392">
        <v>6</v>
      </c>
      <c r="I392">
        <v>10</v>
      </c>
      <c r="J392" s="17">
        <v>0.76923076923076927</v>
      </c>
      <c r="K392">
        <v>43</v>
      </c>
      <c r="L392">
        <v>38</v>
      </c>
      <c r="M392" s="17">
        <v>0.88372093023255816</v>
      </c>
      <c r="N392" s="25">
        <v>8545</v>
      </c>
      <c r="O392" s="25">
        <v>2050</v>
      </c>
      <c r="P392" s="25">
        <v>7740</v>
      </c>
      <c r="Q392" s="25">
        <v>18335</v>
      </c>
      <c r="R392" s="18">
        <v>91.674999999999997</v>
      </c>
    </row>
    <row r="393" spans="1:18" x14ac:dyDescent="0.35">
      <c r="A393" s="13">
        <v>46039</v>
      </c>
      <c r="B393">
        <v>2026</v>
      </c>
      <c r="C393">
        <v>1</v>
      </c>
      <c r="D393" t="s">
        <v>73</v>
      </c>
      <c r="E393" t="s">
        <v>72</v>
      </c>
      <c r="F393">
        <v>179</v>
      </c>
      <c r="G393">
        <v>185</v>
      </c>
      <c r="H393">
        <v>0</v>
      </c>
      <c r="I393">
        <v>10</v>
      </c>
      <c r="J393" s="17">
        <v>0.71153846153846156</v>
      </c>
      <c r="K393">
        <v>43</v>
      </c>
      <c r="L393">
        <v>41</v>
      </c>
      <c r="M393" s="17">
        <v>0.95348837209302328</v>
      </c>
      <c r="N393" s="25">
        <v>8545</v>
      </c>
      <c r="O393" s="25">
        <v>1896.25</v>
      </c>
      <c r="P393" s="25">
        <v>7740</v>
      </c>
      <c r="Q393" s="25">
        <v>18181.25</v>
      </c>
      <c r="R393" s="18">
        <v>98.277027027027032</v>
      </c>
    </row>
    <row r="394" spans="1:18" x14ac:dyDescent="0.35">
      <c r="A394" s="13">
        <v>46046</v>
      </c>
      <c r="B394">
        <v>2026</v>
      </c>
      <c r="C394">
        <v>1</v>
      </c>
      <c r="D394" t="s">
        <v>73</v>
      </c>
      <c r="E394" t="s">
        <v>72</v>
      </c>
      <c r="F394">
        <v>185</v>
      </c>
      <c r="G394">
        <v>185</v>
      </c>
      <c r="H394">
        <v>0</v>
      </c>
      <c r="I394">
        <v>10</v>
      </c>
      <c r="J394" s="17">
        <v>0.71153846153846156</v>
      </c>
      <c r="K394">
        <v>43</v>
      </c>
      <c r="L394">
        <v>40</v>
      </c>
      <c r="M394" s="17">
        <v>0.93023255813953487</v>
      </c>
      <c r="N394" s="25">
        <v>8545</v>
      </c>
      <c r="O394" s="25">
        <v>1896.25</v>
      </c>
      <c r="P394" s="25">
        <v>7740</v>
      </c>
      <c r="Q394" s="25">
        <v>18181.25</v>
      </c>
      <c r="R394" s="18">
        <v>98.277027027027032</v>
      </c>
    </row>
    <row r="395" spans="1:18" x14ac:dyDescent="0.35">
      <c r="A395" s="13">
        <v>46053</v>
      </c>
      <c r="B395">
        <v>2026</v>
      </c>
      <c r="C395">
        <v>1</v>
      </c>
      <c r="D395" t="s">
        <v>73</v>
      </c>
      <c r="E395" t="s">
        <v>72</v>
      </c>
      <c r="F395">
        <v>187</v>
      </c>
      <c r="G395">
        <v>187</v>
      </c>
      <c r="H395">
        <v>0</v>
      </c>
      <c r="I395">
        <v>10</v>
      </c>
      <c r="J395" s="17">
        <v>0.71923076923076923</v>
      </c>
      <c r="K395">
        <v>43</v>
      </c>
      <c r="L395">
        <v>41</v>
      </c>
      <c r="M395" s="17">
        <v>0.95348837209302328</v>
      </c>
      <c r="N395" s="25">
        <v>8545</v>
      </c>
      <c r="O395" s="25">
        <v>1916.75</v>
      </c>
      <c r="P395" s="25">
        <v>7740</v>
      </c>
      <c r="Q395" s="25">
        <v>18201.75</v>
      </c>
      <c r="R395" s="18">
        <v>97.335561497326196</v>
      </c>
    </row>
    <row r="396" spans="1:18" x14ac:dyDescent="0.35">
      <c r="A396" s="13">
        <v>46060</v>
      </c>
      <c r="B396">
        <v>2026</v>
      </c>
      <c r="C396">
        <v>2</v>
      </c>
      <c r="D396" t="s">
        <v>73</v>
      </c>
      <c r="E396" t="s">
        <v>72</v>
      </c>
      <c r="F396">
        <v>215</v>
      </c>
      <c r="G396">
        <v>215</v>
      </c>
      <c r="H396">
        <v>0</v>
      </c>
      <c r="I396">
        <v>10</v>
      </c>
      <c r="J396" s="17">
        <v>0.82692307692307687</v>
      </c>
      <c r="K396">
        <v>43</v>
      </c>
      <c r="L396">
        <v>39</v>
      </c>
      <c r="M396" s="17">
        <v>0.90697674418604646</v>
      </c>
      <c r="N396" s="25">
        <v>8545</v>
      </c>
      <c r="O396" s="25">
        <v>2203.75</v>
      </c>
      <c r="P396" s="25">
        <v>7740</v>
      </c>
      <c r="Q396" s="25">
        <v>18488.75</v>
      </c>
      <c r="R396" s="18">
        <v>85.994186046511629</v>
      </c>
    </row>
    <row r="397" spans="1:18" x14ac:dyDescent="0.35">
      <c r="A397" s="13">
        <v>46067</v>
      </c>
      <c r="B397">
        <v>2026</v>
      </c>
      <c r="C397">
        <v>2</v>
      </c>
      <c r="D397" t="s">
        <v>73</v>
      </c>
      <c r="E397" t="s">
        <v>72</v>
      </c>
      <c r="F397">
        <v>218</v>
      </c>
      <c r="G397">
        <v>218</v>
      </c>
      <c r="H397">
        <v>0</v>
      </c>
      <c r="I397">
        <v>10</v>
      </c>
      <c r="J397" s="17">
        <v>0.83846153846153848</v>
      </c>
      <c r="K397">
        <v>43</v>
      </c>
      <c r="L397">
        <v>39</v>
      </c>
      <c r="M397" s="17">
        <v>0.90697674418604646</v>
      </c>
      <c r="N397" s="25">
        <v>8545</v>
      </c>
      <c r="O397" s="25">
        <v>2234.5</v>
      </c>
      <c r="P397" s="25">
        <v>7740</v>
      </c>
      <c r="Q397" s="25">
        <v>18519.5</v>
      </c>
      <c r="R397" s="18">
        <v>84.951834862385326</v>
      </c>
    </row>
    <row r="398" spans="1:18" x14ac:dyDescent="0.35">
      <c r="A398" s="13">
        <v>46074</v>
      </c>
      <c r="B398">
        <v>2026</v>
      </c>
      <c r="C398">
        <v>2</v>
      </c>
      <c r="D398" t="s">
        <v>73</v>
      </c>
      <c r="E398" t="s">
        <v>72</v>
      </c>
      <c r="F398">
        <v>216</v>
      </c>
      <c r="G398">
        <v>216</v>
      </c>
      <c r="H398">
        <v>0</v>
      </c>
      <c r="I398">
        <v>10</v>
      </c>
      <c r="J398" s="17">
        <v>0.83076923076923082</v>
      </c>
      <c r="K398">
        <v>43</v>
      </c>
      <c r="L398">
        <v>41</v>
      </c>
      <c r="M398" s="17">
        <v>0.95348837209302328</v>
      </c>
      <c r="N398" s="25">
        <v>8545</v>
      </c>
      <c r="O398" s="25">
        <v>2214</v>
      </c>
      <c r="P398" s="25">
        <v>7740</v>
      </c>
      <c r="Q398" s="25">
        <v>18499</v>
      </c>
      <c r="R398" s="18">
        <v>85.643518518518519</v>
      </c>
    </row>
    <row r="399" spans="1:18" x14ac:dyDescent="0.35">
      <c r="A399" s="13">
        <v>46081</v>
      </c>
      <c r="B399">
        <v>2026</v>
      </c>
      <c r="C399">
        <v>2</v>
      </c>
      <c r="D399" t="s">
        <v>73</v>
      </c>
      <c r="E399" t="s">
        <v>72</v>
      </c>
      <c r="F399">
        <v>220</v>
      </c>
      <c r="G399">
        <v>220</v>
      </c>
      <c r="H399">
        <v>0</v>
      </c>
      <c r="I399">
        <v>11</v>
      </c>
      <c r="J399" s="17">
        <v>0.76923076923076927</v>
      </c>
      <c r="K399">
        <v>43</v>
      </c>
      <c r="L399">
        <v>39</v>
      </c>
      <c r="M399" s="17">
        <v>0.90697674418604646</v>
      </c>
      <c r="N399" s="25">
        <v>9399.5</v>
      </c>
      <c r="O399" s="25">
        <v>2255</v>
      </c>
      <c r="P399" s="25">
        <v>7740</v>
      </c>
      <c r="Q399" s="25">
        <v>19394.5</v>
      </c>
      <c r="R399" s="18">
        <v>88.156818181818181</v>
      </c>
    </row>
    <row r="400" spans="1:18" x14ac:dyDescent="0.35">
      <c r="A400" s="13">
        <v>46088</v>
      </c>
      <c r="B400">
        <v>2026</v>
      </c>
      <c r="C400">
        <v>3</v>
      </c>
      <c r="D400" t="s">
        <v>73</v>
      </c>
      <c r="E400" t="s">
        <v>72</v>
      </c>
      <c r="F400">
        <v>216</v>
      </c>
      <c r="G400">
        <v>216</v>
      </c>
      <c r="H400">
        <v>0</v>
      </c>
      <c r="I400">
        <v>11</v>
      </c>
      <c r="J400" s="17">
        <v>0.75524475524475521</v>
      </c>
      <c r="K400">
        <v>43</v>
      </c>
      <c r="L400">
        <v>42</v>
      </c>
      <c r="M400" s="17">
        <v>0.97674418604651159</v>
      </c>
      <c r="N400" s="25">
        <v>9399.5</v>
      </c>
      <c r="O400" s="25">
        <v>2214</v>
      </c>
      <c r="P400" s="25">
        <v>7740</v>
      </c>
      <c r="Q400" s="25">
        <v>19353.5</v>
      </c>
      <c r="R400" s="18">
        <v>89.599537037037038</v>
      </c>
    </row>
    <row r="401" spans="1:18" x14ac:dyDescent="0.35">
      <c r="A401" s="13">
        <v>46095</v>
      </c>
      <c r="B401">
        <v>2026</v>
      </c>
      <c r="C401">
        <v>3</v>
      </c>
      <c r="D401" t="s">
        <v>73</v>
      </c>
      <c r="E401" t="s">
        <v>72</v>
      </c>
      <c r="F401">
        <v>239</v>
      </c>
      <c r="G401">
        <v>239</v>
      </c>
      <c r="H401">
        <v>0</v>
      </c>
      <c r="I401">
        <v>11</v>
      </c>
      <c r="J401" s="17">
        <v>0.83566433566433562</v>
      </c>
      <c r="K401">
        <v>43</v>
      </c>
      <c r="L401">
        <v>43</v>
      </c>
      <c r="M401" s="17">
        <v>1</v>
      </c>
      <c r="N401" s="25">
        <v>9399.5</v>
      </c>
      <c r="O401" s="25">
        <v>2449.75</v>
      </c>
      <c r="P401" s="25">
        <v>7740</v>
      </c>
      <c r="Q401" s="25">
        <v>19589.25</v>
      </c>
      <c r="R401" s="18">
        <v>81.963389121338906</v>
      </c>
    </row>
    <row r="402" spans="1:18" x14ac:dyDescent="0.35">
      <c r="A402" s="13">
        <v>46102</v>
      </c>
      <c r="B402">
        <v>2026</v>
      </c>
      <c r="C402">
        <v>3</v>
      </c>
      <c r="D402" t="s">
        <v>73</v>
      </c>
      <c r="E402" t="s">
        <v>72</v>
      </c>
      <c r="F402">
        <v>235</v>
      </c>
      <c r="G402">
        <v>235</v>
      </c>
      <c r="H402">
        <v>0</v>
      </c>
      <c r="I402">
        <v>10</v>
      </c>
      <c r="J402" s="17">
        <v>0.90384615384615385</v>
      </c>
      <c r="K402">
        <v>43</v>
      </c>
      <c r="L402">
        <v>42</v>
      </c>
      <c r="M402" s="17">
        <v>0.97674418604651159</v>
      </c>
      <c r="N402" s="25">
        <v>8545</v>
      </c>
      <c r="O402" s="25">
        <v>2408.75</v>
      </c>
      <c r="P402" s="25">
        <v>7740</v>
      </c>
      <c r="Q402" s="25">
        <v>18693.75</v>
      </c>
      <c r="R402" s="18">
        <v>79.547872340425528</v>
      </c>
    </row>
    <row r="403" spans="1:18" x14ac:dyDescent="0.35">
      <c r="A403" s="13">
        <v>46109</v>
      </c>
      <c r="B403">
        <v>2026</v>
      </c>
      <c r="C403">
        <v>3</v>
      </c>
      <c r="D403" t="s">
        <v>73</v>
      </c>
      <c r="E403" t="s">
        <v>72</v>
      </c>
      <c r="F403">
        <v>236</v>
      </c>
      <c r="G403">
        <v>236</v>
      </c>
      <c r="H403">
        <v>0</v>
      </c>
      <c r="I403">
        <v>11</v>
      </c>
      <c r="J403" s="17">
        <v>0.82517482517482521</v>
      </c>
      <c r="K403">
        <v>43</v>
      </c>
      <c r="L403">
        <v>39</v>
      </c>
      <c r="M403" s="17">
        <v>0.90697674418604646</v>
      </c>
      <c r="N403" s="25">
        <v>9399.5</v>
      </c>
      <c r="O403" s="25">
        <v>2419</v>
      </c>
      <c r="P403" s="25">
        <v>7740</v>
      </c>
      <c r="Q403" s="25">
        <v>19558.5</v>
      </c>
      <c r="R403" s="18">
        <v>82.875</v>
      </c>
    </row>
    <row r="404" spans="1:18" x14ac:dyDescent="0.35">
      <c r="A404" s="13">
        <v>46116</v>
      </c>
      <c r="B404">
        <v>2026</v>
      </c>
      <c r="C404">
        <v>4</v>
      </c>
      <c r="D404" t="s">
        <v>73</v>
      </c>
      <c r="E404" t="s">
        <v>72</v>
      </c>
      <c r="F404">
        <v>238</v>
      </c>
      <c r="G404">
        <v>238</v>
      </c>
      <c r="H404">
        <v>0</v>
      </c>
      <c r="I404">
        <v>13</v>
      </c>
      <c r="J404" s="17">
        <v>0.70414201183431957</v>
      </c>
      <c r="K404">
        <v>43</v>
      </c>
      <c r="L404">
        <v>43</v>
      </c>
      <c r="M404" s="17">
        <v>1</v>
      </c>
      <c r="N404" s="25">
        <v>11108.5</v>
      </c>
      <c r="O404" s="25">
        <v>2439.5</v>
      </c>
      <c r="P404" s="25">
        <v>7740</v>
      </c>
      <c r="Q404" s="25">
        <v>21288</v>
      </c>
      <c r="R404" s="18">
        <v>89.445378151260499</v>
      </c>
    </row>
    <row r="405" spans="1:18" x14ac:dyDescent="0.35">
      <c r="A405" s="13">
        <v>46123</v>
      </c>
      <c r="B405">
        <v>2026</v>
      </c>
      <c r="C405">
        <v>4</v>
      </c>
      <c r="D405" t="s">
        <v>73</v>
      </c>
      <c r="E405" t="s">
        <v>72</v>
      </c>
      <c r="F405">
        <v>228</v>
      </c>
      <c r="G405">
        <v>228</v>
      </c>
      <c r="H405">
        <v>0</v>
      </c>
      <c r="I405">
        <v>11</v>
      </c>
      <c r="J405" s="17">
        <v>0.79720279720279719</v>
      </c>
      <c r="K405">
        <v>43</v>
      </c>
      <c r="L405">
        <v>43</v>
      </c>
      <c r="M405" s="17">
        <v>1</v>
      </c>
      <c r="N405" s="25">
        <v>9399.5</v>
      </c>
      <c r="O405" s="25">
        <v>2337</v>
      </c>
      <c r="P405" s="25">
        <v>7740</v>
      </c>
      <c r="Q405" s="25">
        <v>19476.5</v>
      </c>
      <c r="R405" s="18">
        <v>85.423245614035082</v>
      </c>
    </row>
    <row r="406" spans="1:18" x14ac:dyDescent="0.35">
      <c r="A406" s="13">
        <v>46130</v>
      </c>
      <c r="B406">
        <v>2026</v>
      </c>
      <c r="C406">
        <v>4</v>
      </c>
      <c r="D406" t="s">
        <v>73</v>
      </c>
      <c r="E406" t="s">
        <v>72</v>
      </c>
      <c r="F406">
        <v>233</v>
      </c>
      <c r="G406">
        <v>233</v>
      </c>
      <c r="H406">
        <v>0</v>
      </c>
      <c r="I406">
        <v>12</v>
      </c>
      <c r="J406" s="17">
        <v>0.74679487179487181</v>
      </c>
      <c r="K406">
        <v>43</v>
      </c>
      <c r="L406">
        <v>41</v>
      </c>
      <c r="M406" s="17">
        <v>0.95348837209302328</v>
      </c>
      <c r="N406" s="25">
        <v>10254</v>
      </c>
      <c r="O406" s="25">
        <v>2388.25</v>
      </c>
      <c r="P406" s="25">
        <v>7740</v>
      </c>
      <c r="Q406" s="25">
        <v>20382.25</v>
      </c>
      <c r="R406" s="18">
        <v>87.477467811158803</v>
      </c>
    </row>
    <row r="407" spans="1:18" x14ac:dyDescent="0.35">
      <c r="A407" s="13">
        <v>46137</v>
      </c>
      <c r="B407">
        <v>2026</v>
      </c>
      <c r="C407">
        <v>4</v>
      </c>
      <c r="D407" t="s">
        <v>73</v>
      </c>
      <c r="E407" t="s">
        <v>72</v>
      </c>
      <c r="F407">
        <v>232</v>
      </c>
      <c r="G407">
        <v>232</v>
      </c>
      <c r="H407">
        <v>0</v>
      </c>
      <c r="I407">
        <v>10</v>
      </c>
      <c r="J407" s="17">
        <v>0.89230769230769236</v>
      </c>
      <c r="K407">
        <v>43</v>
      </c>
      <c r="L407">
        <v>42</v>
      </c>
      <c r="M407" s="17">
        <v>0.97674418604651159</v>
      </c>
      <c r="N407" s="25">
        <v>8545</v>
      </c>
      <c r="O407" s="25">
        <v>2378</v>
      </c>
      <c r="P407" s="25">
        <v>7740</v>
      </c>
      <c r="Q407" s="25">
        <v>18663</v>
      </c>
      <c r="R407" s="18">
        <v>80.443965517241381</v>
      </c>
    </row>
    <row r="408" spans="1:18" x14ac:dyDescent="0.35">
      <c r="A408" s="13">
        <v>46144</v>
      </c>
      <c r="B408">
        <v>2026</v>
      </c>
      <c r="C408">
        <v>5</v>
      </c>
      <c r="D408" t="s">
        <v>73</v>
      </c>
      <c r="E408" t="s">
        <v>72</v>
      </c>
      <c r="F408">
        <v>243</v>
      </c>
      <c r="G408">
        <v>243</v>
      </c>
      <c r="H408">
        <v>0</v>
      </c>
      <c r="I408">
        <v>12</v>
      </c>
      <c r="J408" s="17">
        <v>0.77884615384615385</v>
      </c>
      <c r="K408">
        <v>43</v>
      </c>
      <c r="L408">
        <v>42</v>
      </c>
      <c r="M408" s="17">
        <v>0.97674418604651159</v>
      </c>
      <c r="N408" s="25">
        <v>10254</v>
      </c>
      <c r="O408" s="25">
        <v>2490.75</v>
      </c>
      <c r="P408" s="25">
        <v>7740</v>
      </c>
      <c r="Q408" s="25">
        <v>20484.75</v>
      </c>
      <c r="R408" s="18">
        <v>84.299382716049379</v>
      </c>
    </row>
    <row r="409" spans="1:18" x14ac:dyDescent="0.35">
      <c r="A409" s="13">
        <v>46151</v>
      </c>
      <c r="B409">
        <v>2026</v>
      </c>
      <c r="C409">
        <v>5</v>
      </c>
      <c r="D409" t="s">
        <v>73</v>
      </c>
      <c r="E409" t="s">
        <v>72</v>
      </c>
      <c r="F409">
        <v>249</v>
      </c>
      <c r="G409">
        <v>249</v>
      </c>
      <c r="H409">
        <v>0</v>
      </c>
      <c r="I409">
        <v>13</v>
      </c>
      <c r="J409" s="17">
        <v>0.73668639053254437</v>
      </c>
      <c r="K409">
        <v>43</v>
      </c>
      <c r="L409">
        <v>42</v>
      </c>
      <c r="M409" s="17">
        <v>0.97674418604651159</v>
      </c>
      <c r="N409" s="25">
        <v>11108.5</v>
      </c>
      <c r="O409" s="25">
        <v>2552.25</v>
      </c>
      <c r="P409" s="25">
        <v>7740</v>
      </c>
      <c r="Q409" s="25">
        <v>21400.75</v>
      </c>
      <c r="R409" s="18">
        <v>85.946787148594382</v>
      </c>
    </row>
    <row r="410" spans="1:18" x14ac:dyDescent="0.35">
      <c r="A410" s="13">
        <v>46158</v>
      </c>
      <c r="B410">
        <v>2026</v>
      </c>
      <c r="C410">
        <v>5</v>
      </c>
      <c r="D410" t="s">
        <v>73</v>
      </c>
      <c r="E410" t="s">
        <v>72</v>
      </c>
      <c r="F410">
        <v>233</v>
      </c>
      <c r="G410">
        <v>233</v>
      </c>
      <c r="H410">
        <v>0</v>
      </c>
      <c r="I410">
        <v>10</v>
      </c>
      <c r="J410" s="17">
        <v>0.89615384615384619</v>
      </c>
      <c r="K410">
        <v>43</v>
      </c>
      <c r="L410">
        <v>43</v>
      </c>
      <c r="M410" s="17">
        <v>1</v>
      </c>
      <c r="N410" s="25">
        <v>8545</v>
      </c>
      <c r="O410" s="25">
        <v>2388.25</v>
      </c>
      <c r="P410" s="25">
        <v>7740</v>
      </c>
      <c r="Q410" s="25">
        <v>18673.25</v>
      </c>
      <c r="R410" s="18">
        <v>80.142703862660937</v>
      </c>
    </row>
    <row r="411" spans="1:18" x14ac:dyDescent="0.35">
      <c r="A411" s="13">
        <v>46165</v>
      </c>
      <c r="B411">
        <v>2026</v>
      </c>
      <c r="C411">
        <v>5</v>
      </c>
      <c r="D411" t="s">
        <v>73</v>
      </c>
      <c r="E411" t="s">
        <v>72</v>
      </c>
      <c r="F411">
        <v>252</v>
      </c>
      <c r="G411">
        <v>252</v>
      </c>
      <c r="H411">
        <v>0</v>
      </c>
      <c r="I411">
        <v>12</v>
      </c>
      <c r="J411" s="17">
        <v>0.80769230769230771</v>
      </c>
      <c r="K411">
        <v>43</v>
      </c>
      <c r="L411">
        <v>42</v>
      </c>
      <c r="M411" s="17">
        <v>0.97674418604651159</v>
      </c>
      <c r="N411" s="25">
        <v>10254</v>
      </c>
      <c r="O411" s="25">
        <v>2583</v>
      </c>
      <c r="P411" s="25">
        <v>7740</v>
      </c>
      <c r="Q411" s="25">
        <v>20577</v>
      </c>
      <c r="R411" s="18">
        <v>81.654761904761898</v>
      </c>
    </row>
    <row r="412" spans="1:18" x14ac:dyDescent="0.35">
      <c r="A412" s="13">
        <v>46172</v>
      </c>
      <c r="B412">
        <v>2026</v>
      </c>
      <c r="C412">
        <v>5</v>
      </c>
      <c r="D412" t="s">
        <v>73</v>
      </c>
      <c r="E412" t="s">
        <v>72</v>
      </c>
      <c r="F412">
        <v>239</v>
      </c>
      <c r="G412">
        <v>239</v>
      </c>
      <c r="H412">
        <v>0</v>
      </c>
      <c r="I412">
        <v>13</v>
      </c>
      <c r="J412" s="17">
        <v>0.70710059171597628</v>
      </c>
      <c r="K412">
        <v>43</v>
      </c>
      <c r="L412">
        <v>42</v>
      </c>
      <c r="M412" s="17">
        <v>0.97674418604651159</v>
      </c>
      <c r="N412" s="25">
        <v>11108.5</v>
      </c>
      <c r="O412" s="25">
        <v>2449.75</v>
      </c>
      <c r="P412" s="25">
        <v>7740</v>
      </c>
      <c r="Q412" s="25">
        <v>21298.25</v>
      </c>
      <c r="R412" s="18">
        <v>89.11401673640168</v>
      </c>
    </row>
    <row r="413" spans="1:18" x14ac:dyDescent="0.35">
      <c r="A413" s="13">
        <v>46179</v>
      </c>
      <c r="B413">
        <v>2026</v>
      </c>
      <c r="C413">
        <v>6</v>
      </c>
      <c r="D413" t="s">
        <v>73</v>
      </c>
      <c r="E413" t="s">
        <v>72</v>
      </c>
      <c r="F413">
        <v>239</v>
      </c>
      <c r="G413">
        <v>239</v>
      </c>
      <c r="H413">
        <v>0</v>
      </c>
      <c r="I413">
        <v>12</v>
      </c>
      <c r="J413" s="17">
        <v>0.76602564102564108</v>
      </c>
      <c r="K413">
        <v>43</v>
      </c>
      <c r="L413">
        <v>43</v>
      </c>
      <c r="M413" s="17">
        <v>1</v>
      </c>
      <c r="N413" s="25">
        <v>10254</v>
      </c>
      <c r="O413" s="25">
        <v>2449.75</v>
      </c>
      <c r="P413" s="25">
        <v>7740</v>
      </c>
      <c r="Q413" s="25">
        <v>20443.75</v>
      </c>
      <c r="R413" s="18">
        <v>85.538702928870293</v>
      </c>
    </row>
    <row r="414" spans="1:18" x14ac:dyDescent="0.35">
      <c r="A414" s="13">
        <v>46186</v>
      </c>
      <c r="B414">
        <v>2026</v>
      </c>
      <c r="C414">
        <v>6</v>
      </c>
      <c r="D414" t="s">
        <v>73</v>
      </c>
      <c r="E414" t="s">
        <v>72</v>
      </c>
      <c r="F414">
        <v>234</v>
      </c>
      <c r="G414">
        <v>234</v>
      </c>
      <c r="H414">
        <v>0</v>
      </c>
      <c r="I414">
        <v>11</v>
      </c>
      <c r="J414" s="17">
        <v>0.81818181818181823</v>
      </c>
      <c r="K414">
        <v>43</v>
      </c>
      <c r="L414">
        <v>42</v>
      </c>
      <c r="M414" s="17">
        <v>0.97674418604651159</v>
      </c>
      <c r="N414" s="25">
        <v>9399.5</v>
      </c>
      <c r="O414" s="25">
        <v>2398.5</v>
      </c>
      <c r="P414" s="25">
        <v>7740</v>
      </c>
      <c r="Q414" s="25">
        <v>19538</v>
      </c>
      <c r="R414" s="18">
        <v>83.495726495726501</v>
      </c>
    </row>
    <row r="415" spans="1:18" x14ac:dyDescent="0.35">
      <c r="A415" s="13">
        <v>46193</v>
      </c>
      <c r="B415">
        <v>2026</v>
      </c>
      <c r="C415">
        <v>6</v>
      </c>
      <c r="D415" t="s">
        <v>73</v>
      </c>
      <c r="E415" t="s">
        <v>72</v>
      </c>
      <c r="F415">
        <v>228</v>
      </c>
      <c r="G415">
        <v>228</v>
      </c>
      <c r="H415">
        <v>0</v>
      </c>
      <c r="I415">
        <v>10</v>
      </c>
      <c r="J415" s="17">
        <v>0.87692307692307692</v>
      </c>
      <c r="K415">
        <v>43</v>
      </c>
      <c r="L415">
        <v>41</v>
      </c>
      <c r="M415" s="17">
        <v>0.95348837209302328</v>
      </c>
      <c r="N415" s="25">
        <v>8545</v>
      </c>
      <c r="O415" s="25">
        <v>2337</v>
      </c>
      <c r="P415" s="25">
        <v>7740</v>
      </c>
      <c r="Q415" s="25">
        <v>18622</v>
      </c>
      <c r="R415" s="18">
        <v>81.675438596491233</v>
      </c>
    </row>
    <row r="416" spans="1:18" x14ac:dyDescent="0.35">
      <c r="A416" s="13">
        <v>46200</v>
      </c>
      <c r="B416">
        <v>2026</v>
      </c>
      <c r="C416">
        <v>6</v>
      </c>
      <c r="D416" t="s">
        <v>73</v>
      </c>
      <c r="E416" t="s">
        <v>72</v>
      </c>
      <c r="F416">
        <v>232</v>
      </c>
      <c r="G416">
        <v>232</v>
      </c>
      <c r="H416">
        <v>0</v>
      </c>
      <c r="I416">
        <v>11</v>
      </c>
      <c r="J416" s="17">
        <v>0.81118881118881114</v>
      </c>
      <c r="K416">
        <v>43</v>
      </c>
      <c r="L416">
        <v>40</v>
      </c>
      <c r="M416" s="17">
        <v>0.93023255813953487</v>
      </c>
      <c r="N416" s="25">
        <v>9399.5</v>
      </c>
      <c r="O416" s="25">
        <v>2378</v>
      </c>
      <c r="P416" s="25">
        <v>7740</v>
      </c>
      <c r="Q416" s="25">
        <v>19517.5</v>
      </c>
      <c r="R416" s="18">
        <v>84.127155172413794</v>
      </c>
    </row>
    <row r="417" spans="1:18" x14ac:dyDescent="0.35">
      <c r="A417" s="13">
        <v>46207</v>
      </c>
      <c r="B417">
        <v>2026</v>
      </c>
      <c r="C417">
        <v>7</v>
      </c>
      <c r="D417" t="s">
        <v>73</v>
      </c>
      <c r="E417" t="s">
        <v>72</v>
      </c>
      <c r="F417">
        <v>232</v>
      </c>
      <c r="G417">
        <v>232</v>
      </c>
      <c r="H417">
        <v>0</v>
      </c>
      <c r="I417">
        <v>11</v>
      </c>
      <c r="J417" s="17">
        <v>0.81118881118881114</v>
      </c>
      <c r="K417">
        <v>43</v>
      </c>
      <c r="L417">
        <v>41</v>
      </c>
      <c r="M417" s="17">
        <v>0.95348837209302328</v>
      </c>
      <c r="N417" s="25">
        <v>9399.5</v>
      </c>
      <c r="O417" s="25">
        <v>2378</v>
      </c>
      <c r="P417" s="25">
        <v>7740</v>
      </c>
      <c r="Q417" s="25">
        <v>19517.5</v>
      </c>
      <c r="R417" s="18">
        <v>84.127155172413794</v>
      </c>
    </row>
    <row r="418" spans="1:18" x14ac:dyDescent="0.35">
      <c r="A418" s="13">
        <v>46214</v>
      </c>
      <c r="B418">
        <v>2026</v>
      </c>
      <c r="C418">
        <v>7</v>
      </c>
      <c r="D418" t="s">
        <v>73</v>
      </c>
      <c r="E418" t="s">
        <v>72</v>
      </c>
      <c r="F418">
        <v>232</v>
      </c>
      <c r="G418">
        <v>232</v>
      </c>
      <c r="H418">
        <v>0</v>
      </c>
      <c r="I418">
        <v>11</v>
      </c>
      <c r="J418" s="17">
        <v>0.81118881118881114</v>
      </c>
      <c r="K418">
        <v>43</v>
      </c>
      <c r="L418">
        <v>43</v>
      </c>
      <c r="M418" s="17">
        <v>1</v>
      </c>
      <c r="N418" s="25">
        <v>9399.5</v>
      </c>
      <c r="O418" s="25">
        <v>2378</v>
      </c>
      <c r="P418" s="25">
        <v>7740</v>
      </c>
      <c r="Q418" s="25">
        <v>19517.5</v>
      </c>
      <c r="R418" s="18">
        <v>84.127155172413794</v>
      </c>
    </row>
    <row r="419" spans="1:18" x14ac:dyDescent="0.35">
      <c r="A419" s="13">
        <v>46221</v>
      </c>
      <c r="B419">
        <v>2026</v>
      </c>
      <c r="C419">
        <v>7</v>
      </c>
      <c r="D419" t="s">
        <v>73</v>
      </c>
      <c r="E419" t="s">
        <v>72</v>
      </c>
      <c r="F419">
        <v>245</v>
      </c>
      <c r="G419">
        <v>245</v>
      </c>
      <c r="H419">
        <v>0</v>
      </c>
      <c r="I419">
        <v>12</v>
      </c>
      <c r="J419" s="17">
        <v>0.78525641025641024</v>
      </c>
      <c r="K419">
        <v>43</v>
      </c>
      <c r="L419">
        <v>41</v>
      </c>
      <c r="M419" s="17">
        <v>0.95348837209302328</v>
      </c>
      <c r="N419" s="25">
        <v>10254</v>
      </c>
      <c r="O419" s="25">
        <v>2511.25</v>
      </c>
      <c r="P419" s="25">
        <v>7740</v>
      </c>
      <c r="Q419" s="25">
        <v>20505.25</v>
      </c>
      <c r="R419" s="18">
        <v>83.694897959183677</v>
      </c>
    </row>
    <row r="420" spans="1:18" x14ac:dyDescent="0.35">
      <c r="A420" s="13">
        <v>46228</v>
      </c>
      <c r="B420">
        <v>2026</v>
      </c>
      <c r="C420">
        <v>7</v>
      </c>
      <c r="D420" t="s">
        <v>73</v>
      </c>
      <c r="E420" t="s">
        <v>72</v>
      </c>
      <c r="F420">
        <v>241</v>
      </c>
      <c r="G420">
        <v>241</v>
      </c>
      <c r="H420">
        <v>0</v>
      </c>
      <c r="I420">
        <v>12</v>
      </c>
      <c r="J420" s="17">
        <v>0.77243589743589747</v>
      </c>
      <c r="K420">
        <v>43</v>
      </c>
      <c r="L420">
        <v>43</v>
      </c>
      <c r="M420" s="17">
        <v>1</v>
      </c>
      <c r="N420" s="25">
        <v>10254</v>
      </c>
      <c r="O420" s="25">
        <v>2470.25</v>
      </c>
      <c r="P420" s="25">
        <v>7740</v>
      </c>
      <c r="Q420" s="25">
        <v>20464.25</v>
      </c>
      <c r="R420" s="18">
        <v>84.913900414937757</v>
      </c>
    </row>
    <row r="421" spans="1:18" x14ac:dyDescent="0.35">
      <c r="A421" s="13">
        <v>44779</v>
      </c>
      <c r="B421">
        <v>2022</v>
      </c>
      <c r="C421">
        <v>8</v>
      </c>
      <c r="D421" t="s">
        <v>3</v>
      </c>
      <c r="E421" t="s">
        <v>76</v>
      </c>
      <c r="F421">
        <v>246</v>
      </c>
      <c r="G421">
        <v>246</v>
      </c>
      <c r="H421">
        <v>0</v>
      </c>
      <c r="I421">
        <v>12</v>
      </c>
      <c r="J421" s="17">
        <v>0.78846153846153844</v>
      </c>
      <c r="K421">
        <v>42</v>
      </c>
      <c r="L421">
        <v>39</v>
      </c>
      <c r="M421" s="17">
        <v>0.9285714285714286</v>
      </c>
      <c r="N421" s="25">
        <v>12063</v>
      </c>
      <c r="O421" s="25">
        <v>2644.5</v>
      </c>
      <c r="P421" s="25">
        <v>8190</v>
      </c>
      <c r="Q421" s="25">
        <v>22897.5</v>
      </c>
      <c r="R421" s="18">
        <v>93.079268292682926</v>
      </c>
    </row>
    <row r="422" spans="1:18" x14ac:dyDescent="0.35">
      <c r="A422" s="13">
        <v>44786</v>
      </c>
      <c r="B422">
        <v>2022</v>
      </c>
      <c r="C422">
        <v>8</v>
      </c>
      <c r="D422" t="s">
        <v>3</v>
      </c>
      <c r="E422" t="s">
        <v>76</v>
      </c>
      <c r="F422">
        <v>249</v>
      </c>
      <c r="G422">
        <v>249</v>
      </c>
      <c r="H422">
        <v>0</v>
      </c>
      <c r="I422">
        <v>13</v>
      </c>
      <c r="J422" s="17">
        <v>0.73668639053254437</v>
      </c>
      <c r="K422">
        <v>42</v>
      </c>
      <c r="L422">
        <v>39</v>
      </c>
      <c r="M422" s="17">
        <v>0.9285714285714286</v>
      </c>
      <c r="N422" s="25">
        <v>13068.25</v>
      </c>
      <c r="O422" s="25">
        <v>2676.75</v>
      </c>
      <c r="P422" s="25">
        <v>8190</v>
      </c>
      <c r="Q422" s="25">
        <v>23935</v>
      </c>
      <c r="R422" s="18">
        <v>96.124497991967871</v>
      </c>
    </row>
    <row r="423" spans="1:18" x14ac:dyDescent="0.35">
      <c r="A423" s="13">
        <v>44793</v>
      </c>
      <c r="B423">
        <v>2022</v>
      </c>
      <c r="C423">
        <v>8</v>
      </c>
      <c r="D423" t="s">
        <v>3</v>
      </c>
      <c r="E423" t="s">
        <v>76</v>
      </c>
      <c r="F423">
        <v>240</v>
      </c>
      <c r="G423">
        <v>240</v>
      </c>
      <c r="H423">
        <v>0</v>
      </c>
      <c r="I423">
        <v>13</v>
      </c>
      <c r="J423" s="17">
        <v>0.7100591715976331</v>
      </c>
      <c r="K423">
        <v>42</v>
      </c>
      <c r="L423">
        <v>40</v>
      </c>
      <c r="M423" s="17">
        <v>0.95238095238095233</v>
      </c>
      <c r="N423" s="25">
        <v>13068.25</v>
      </c>
      <c r="O423" s="25">
        <v>2580</v>
      </c>
      <c r="P423" s="25">
        <v>8190</v>
      </c>
      <c r="Q423" s="25">
        <v>23838.25</v>
      </c>
      <c r="R423" s="18">
        <v>99.326041666666669</v>
      </c>
    </row>
    <row r="424" spans="1:18" x14ac:dyDescent="0.35">
      <c r="A424" s="13">
        <v>44800</v>
      </c>
      <c r="B424">
        <v>2022</v>
      </c>
      <c r="C424">
        <v>8</v>
      </c>
      <c r="D424" t="s">
        <v>3</v>
      </c>
      <c r="E424" t="s">
        <v>76</v>
      </c>
      <c r="F424">
        <v>244</v>
      </c>
      <c r="G424">
        <v>244</v>
      </c>
      <c r="H424">
        <v>0</v>
      </c>
      <c r="I424">
        <v>12</v>
      </c>
      <c r="J424" s="17">
        <v>0.78205128205128205</v>
      </c>
      <c r="K424">
        <v>42</v>
      </c>
      <c r="L424">
        <v>40</v>
      </c>
      <c r="M424" s="17">
        <v>0.95238095238095233</v>
      </c>
      <c r="N424" s="25">
        <v>12063</v>
      </c>
      <c r="O424" s="25">
        <v>2623</v>
      </c>
      <c r="P424" s="25">
        <v>8190</v>
      </c>
      <c r="Q424" s="25">
        <v>22876</v>
      </c>
      <c r="R424" s="18">
        <v>93.754098360655732</v>
      </c>
    </row>
    <row r="425" spans="1:18" x14ac:dyDescent="0.35">
      <c r="A425" s="13">
        <v>44807</v>
      </c>
      <c r="B425">
        <v>2022</v>
      </c>
      <c r="C425">
        <v>9</v>
      </c>
      <c r="D425" t="s">
        <v>3</v>
      </c>
      <c r="E425" t="s">
        <v>76</v>
      </c>
      <c r="F425">
        <v>233</v>
      </c>
      <c r="G425">
        <v>233</v>
      </c>
      <c r="H425">
        <v>0</v>
      </c>
      <c r="I425">
        <v>12</v>
      </c>
      <c r="J425" s="17">
        <v>0.74679487179487181</v>
      </c>
      <c r="K425">
        <v>42</v>
      </c>
      <c r="L425">
        <v>34</v>
      </c>
      <c r="M425" s="17">
        <v>0.80952380952380953</v>
      </c>
      <c r="N425" s="25">
        <v>12063</v>
      </c>
      <c r="O425" s="25">
        <v>2504.75</v>
      </c>
      <c r="P425" s="25">
        <v>8190</v>
      </c>
      <c r="Q425" s="25">
        <v>22757.75</v>
      </c>
      <c r="R425" s="18">
        <v>97.672746781115876</v>
      </c>
    </row>
    <row r="426" spans="1:18" x14ac:dyDescent="0.35">
      <c r="A426" s="13">
        <v>44814</v>
      </c>
      <c r="B426">
        <v>2022</v>
      </c>
      <c r="C426">
        <v>9</v>
      </c>
      <c r="D426" t="s">
        <v>3</v>
      </c>
      <c r="E426" t="s">
        <v>76</v>
      </c>
      <c r="F426">
        <v>223</v>
      </c>
      <c r="G426">
        <v>223</v>
      </c>
      <c r="H426">
        <v>0</v>
      </c>
      <c r="I426">
        <v>11</v>
      </c>
      <c r="J426" s="17">
        <v>0.77972027972027969</v>
      </c>
      <c r="K426">
        <v>42</v>
      </c>
      <c r="L426">
        <v>38</v>
      </c>
      <c r="M426" s="17">
        <v>0.90476190476190477</v>
      </c>
      <c r="N426" s="25">
        <v>11057.75</v>
      </c>
      <c r="O426" s="25">
        <v>2397.25</v>
      </c>
      <c r="P426" s="25">
        <v>8190</v>
      </c>
      <c r="Q426" s="25">
        <v>21645</v>
      </c>
      <c r="R426" s="18">
        <v>97.062780269058294</v>
      </c>
    </row>
    <row r="427" spans="1:18" x14ac:dyDescent="0.35">
      <c r="A427" s="13">
        <v>44821</v>
      </c>
      <c r="B427">
        <v>2022</v>
      </c>
      <c r="C427">
        <v>9</v>
      </c>
      <c r="D427" t="s">
        <v>3</v>
      </c>
      <c r="E427" t="s">
        <v>76</v>
      </c>
      <c r="F427">
        <v>221</v>
      </c>
      <c r="G427">
        <v>221</v>
      </c>
      <c r="H427">
        <v>0</v>
      </c>
      <c r="I427">
        <v>11</v>
      </c>
      <c r="J427" s="17">
        <v>0.77272727272727271</v>
      </c>
      <c r="K427">
        <v>42</v>
      </c>
      <c r="L427">
        <v>38</v>
      </c>
      <c r="M427" s="17">
        <v>0.90476190476190477</v>
      </c>
      <c r="N427" s="25">
        <v>11057.75</v>
      </c>
      <c r="O427" s="25">
        <v>2375.75</v>
      </c>
      <c r="P427" s="25">
        <v>8190</v>
      </c>
      <c r="Q427" s="25">
        <v>21623.5</v>
      </c>
      <c r="R427" s="18">
        <v>97.843891402714931</v>
      </c>
    </row>
    <row r="428" spans="1:18" x14ac:dyDescent="0.35">
      <c r="A428" s="13">
        <v>44828</v>
      </c>
      <c r="B428">
        <v>2022</v>
      </c>
      <c r="C428">
        <v>9</v>
      </c>
      <c r="D428" t="s">
        <v>3</v>
      </c>
      <c r="E428" t="s">
        <v>76</v>
      </c>
      <c r="F428">
        <v>223</v>
      </c>
      <c r="G428">
        <v>223</v>
      </c>
      <c r="H428">
        <v>0</v>
      </c>
      <c r="I428">
        <v>11</v>
      </c>
      <c r="J428" s="17">
        <v>0.77972027972027969</v>
      </c>
      <c r="K428">
        <v>42</v>
      </c>
      <c r="L428">
        <v>34</v>
      </c>
      <c r="M428" s="17">
        <v>0.80952380952380953</v>
      </c>
      <c r="N428" s="25">
        <v>11057.75</v>
      </c>
      <c r="O428" s="25">
        <v>2397.25</v>
      </c>
      <c r="P428" s="25">
        <v>8190</v>
      </c>
      <c r="Q428" s="25">
        <v>21645</v>
      </c>
      <c r="R428" s="18">
        <v>97.062780269058294</v>
      </c>
    </row>
    <row r="429" spans="1:18" x14ac:dyDescent="0.35">
      <c r="A429" s="13">
        <v>44835</v>
      </c>
      <c r="B429">
        <v>2022</v>
      </c>
      <c r="C429">
        <v>10</v>
      </c>
      <c r="D429" t="s">
        <v>3</v>
      </c>
      <c r="E429" t="s">
        <v>76</v>
      </c>
      <c r="F429">
        <v>238</v>
      </c>
      <c r="G429">
        <v>238</v>
      </c>
      <c r="H429">
        <v>0</v>
      </c>
      <c r="I429">
        <v>12</v>
      </c>
      <c r="J429" s="17">
        <v>0.76282051282051277</v>
      </c>
      <c r="K429">
        <v>42</v>
      </c>
      <c r="L429">
        <v>35</v>
      </c>
      <c r="M429" s="17">
        <v>0.83333333333333337</v>
      </c>
      <c r="N429" s="25">
        <v>12063</v>
      </c>
      <c r="O429" s="25">
        <v>2558.5</v>
      </c>
      <c r="P429" s="25">
        <v>8190</v>
      </c>
      <c r="Q429" s="25">
        <v>22811.5</v>
      </c>
      <c r="R429" s="18">
        <v>95.846638655462186</v>
      </c>
    </row>
    <row r="430" spans="1:18" x14ac:dyDescent="0.35">
      <c r="A430" s="13">
        <v>44842</v>
      </c>
      <c r="B430">
        <v>2022</v>
      </c>
      <c r="C430">
        <v>10</v>
      </c>
      <c r="D430" t="s">
        <v>3</v>
      </c>
      <c r="E430" t="s">
        <v>76</v>
      </c>
      <c r="F430">
        <v>229</v>
      </c>
      <c r="G430">
        <v>229</v>
      </c>
      <c r="H430">
        <v>0</v>
      </c>
      <c r="I430">
        <v>12</v>
      </c>
      <c r="J430" s="17">
        <v>0.73397435897435892</v>
      </c>
      <c r="K430">
        <v>42</v>
      </c>
      <c r="L430">
        <v>40</v>
      </c>
      <c r="M430" s="17">
        <v>0.95238095238095233</v>
      </c>
      <c r="N430" s="25">
        <v>12063</v>
      </c>
      <c r="O430" s="25">
        <v>2461.75</v>
      </c>
      <c r="P430" s="25">
        <v>8190</v>
      </c>
      <c r="Q430" s="25">
        <v>22714.75</v>
      </c>
      <c r="R430" s="18">
        <v>99.191048034934497</v>
      </c>
    </row>
    <row r="431" spans="1:18" x14ac:dyDescent="0.35">
      <c r="A431" s="13">
        <v>44849</v>
      </c>
      <c r="B431">
        <v>2022</v>
      </c>
      <c r="C431">
        <v>10</v>
      </c>
      <c r="D431" t="s">
        <v>3</v>
      </c>
      <c r="E431" t="s">
        <v>76</v>
      </c>
      <c r="F431">
        <v>236</v>
      </c>
      <c r="G431">
        <v>236</v>
      </c>
      <c r="H431">
        <v>0</v>
      </c>
      <c r="I431">
        <v>12</v>
      </c>
      <c r="J431" s="17">
        <v>0.75641025641025639</v>
      </c>
      <c r="K431">
        <v>42</v>
      </c>
      <c r="L431">
        <v>39</v>
      </c>
      <c r="M431" s="17">
        <v>0.9285714285714286</v>
      </c>
      <c r="N431" s="25">
        <v>12063</v>
      </c>
      <c r="O431" s="25">
        <v>2537</v>
      </c>
      <c r="P431" s="25">
        <v>8190</v>
      </c>
      <c r="Q431" s="25">
        <v>22790</v>
      </c>
      <c r="R431" s="18">
        <v>96.567796610169495</v>
      </c>
    </row>
    <row r="432" spans="1:18" x14ac:dyDescent="0.35">
      <c r="A432" s="13">
        <v>44856</v>
      </c>
      <c r="B432">
        <v>2022</v>
      </c>
      <c r="C432">
        <v>10</v>
      </c>
      <c r="D432" t="s">
        <v>3</v>
      </c>
      <c r="E432" t="s">
        <v>76</v>
      </c>
      <c r="F432">
        <v>237</v>
      </c>
      <c r="G432">
        <v>237</v>
      </c>
      <c r="H432">
        <v>0</v>
      </c>
      <c r="I432">
        <v>13</v>
      </c>
      <c r="J432" s="17">
        <v>0.70118343195266275</v>
      </c>
      <c r="K432">
        <v>42</v>
      </c>
      <c r="L432">
        <v>38</v>
      </c>
      <c r="M432" s="17">
        <v>0.90476190476190477</v>
      </c>
      <c r="N432" s="25">
        <v>13068.25</v>
      </c>
      <c r="O432" s="25">
        <v>2547.75</v>
      </c>
      <c r="P432" s="25">
        <v>8190</v>
      </c>
      <c r="Q432" s="25">
        <v>23806</v>
      </c>
      <c r="R432" s="18">
        <v>100.4472573839662</v>
      </c>
    </row>
    <row r="433" spans="1:18" x14ac:dyDescent="0.35">
      <c r="A433" s="13">
        <v>44863</v>
      </c>
      <c r="B433">
        <v>2022</v>
      </c>
      <c r="C433">
        <v>10</v>
      </c>
      <c r="D433" t="s">
        <v>3</v>
      </c>
      <c r="E433" t="s">
        <v>76</v>
      </c>
      <c r="F433">
        <v>263</v>
      </c>
      <c r="G433">
        <v>263</v>
      </c>
      <c r="H433">
        <v>0</v>
      </c>
      <c r="I433">
        <v>13</v>
      </c>
      <c r="J433" s="17">
        <v>0.77810650887573962</v>
      </c>
      <c r="K433">
        <v>42</v>
      </c>
      <c r="L433">
        <v>40</v>
      </c>
      <c r="M433" s="17">
        <v>0.95238095238095233</v>
      </c>
      <c r="N433" s="25">
        <v>13068.25</v>
      </c>
      <c r="O433" s="25">
        <v>2827.25</v>
      </c>
      <c r="P433" s="25">
        <v>8190</v>
      </c>
      <c r="Q433" s="25">
        <v>24085.5</v>
      </c>
      <c r="R433" s="18">
        <v>91.579847908745251</v>
      </c>
    </row>
    <row r="434" spans="1:18" x14ac:dyDescent="0.35">
      <c r="A434" s="13">
        <v>44870</v>
      </c>
      <c r="B434">
        <v>2022</v>
      </c>
      <c r="C434">
        <v>11</v>
      </c>
      <c r="D434" t="s">
        <v>3</v>
      </c>
      <c r="E434" t="s">
        <v>76</v>
      </c>
      <c r="F434">
        <v>277</v>
      </c>
      <c r="G434">
        <v>277</v>
      </c>
      <c r="H434">
        <v>0</v>
      </c>
      <c r="I434">
        <v>14</v>
      </c>
      <c r="J434" s="17">
        <v>0.76098901098901095</v>
      </c>
      <c r="K434">
        <v>42</v>
      </c>
      <c r="L434">
        <v>38</v>
      </c>
      <c r="M434" s="17">
        <v>0.90476190476190477</v>
      </c>
      <c r="N434" s="25">
        <v>14073.5</v>
      </c>
      <c r="O434" s="25">
        <v>2977.75</v>
      </c>
      <c r="P434" s="25">
        <v>8190</v>
      </c>
      <c r="Q434" s="25">
        <v>25241.25</v>
      </c>
      <c r="R434" s="18">
        <v>91.12364620938628</v>
      </c>
    </row>
    <row r="435" spans="1:18" x14ac:dyDescent="0.35">
      <c r="A435" s="13">
        <v>44877</v>
      </c>
      <c r="B435">
        <v>2022</v>
      </c>
      <c r="C435">
        <v>11</v>
      </c>
      <c r="D435" t="s">
        <v>3</v>
      </c>
      <c r="E435" t="s">
        <v>76</v>
      </c>
      <c r="F435">
        <v>273</v>
      </c>
      <c r="G435">
        <v>273</v>
      </c>
      <c r="H435">
        <v>0</v>
      </c>
      <c r="I435">
        <v>14</v>
      </c>
      <c r="J435" s="17">
        <v>0.75</v>
      </c>
      <c r="K435">
        <v>42</v>
      </c>
      <c r="L435">
        <v>38</v>
      </c>
      <c r="M435" s="17">
        <v>0.90476190476190477</v>
      </c>
      <c r="N435" s="25">
        <v>14073.5</v>
      </c>
      <c r="O435" s="25">
        <v>2934.75</v>
      </c>
      <c r="P435" s="25">
        <v>8190</v>
      </c>
      <c r="Q435" s="25">
        <v>25198.25</v>
      </c>
      <c r="R435" s="18">
        <v>92.301282051282058</v>
      </c>
    </row>
    <row r="436" spans="1:18" x14ac:dyDescent="0.35">
      <c r="A436" s="13">
        <v>44884</v>
      </c>
      <c r="B436">
        <v>2022</v>
      </c>
      <c r="C436">
        <v>11</v>
      </c>
      <c r="D436" t="s">
        <v>3</v>
      </c>
      <c r="E436" t="s">
        <v>76</v>
      </c>
      <c r="F436">
        <v>309</v>
      </c>
      <c r="G436">
        <v>306</v>
      </c>
      <c r="H436">
        <v>3</v>
      </c>
      <c r="I436">
        <v>15</v>
      </c>
      <c r="J436" s="17">
        <v>0.7846153846153846</v>
      </c>
      <c r="K436">
        <v>42</v>
      </c>
      <c r="L436">
        <v>38</v>
      </c>
      <c r="M436" s="17">
        <v>0.90476190476190477</v>
      </c>
      <c r="N436" s="25">
        <v>15078.75</v>
      </c>
      <c r="O436" s="25">
        <v>3289.5</v>
      </c>
      <c r="P436" s="25">
        <v>8190</v>
      </c>
      <c r="Q436" s="25">
        <v>26558.25</v>
      </c>
      <c r="R436" s="18">
        <v>86.791666666666671</v>
      </c>
    </row>
    <row r="437" spans="1:18" x14ac:dyDescent="0.35">
      <c r="A437" s="13">
        <v>44891</v>
      </c>
      <c r="B437">
        <v>2022</v>
      </c>
      <c r="C437">
        <v>11</v>
      </c>
      <c r="D437" t="s">
        <v>3</v>
      </c>
      <c r="E437" t="s">
        <v>76</v>
      </c>
      <c r="F437">
        <v>322</v>
      </c>
      <c r="G437">
        <v>322</v>
      </c>
      <c r="H437">
        <v>3</v>
      </c>
      <c r="I437">
        <v>15</v>
      </c>
      <c r="J437" s="17">
        <v>0.82564102564102559</v>
      </c>
      <c r="K437">
        <v>42</v>
      </c>
      <c r="L437">
        <v>37</v>
      </c>
      <c r="M437" s="17">
        <v>0.88095238095238093</v>
      </c>
      <c r="N437" s="25">
        <v>15078.75</v>
      </c>
      <c r="O437" s="25">
        <v>3461.5</v>
      </c>
      <c r="P437" s="25">
        <v>8190</v>
      </c>
      <c r="Q437" s="25">
        <v>26730.25</v>
      </c>
      <c r="R437" s="18">
        <v>83.013198757763973</v>
      </c>
    </row>
    <row r="438" spans="1:18" x14ac:dyDescent="0.35">
      <c r="A438" s="13">
        <v>44898</v>
      </c>
      <c r="B438">
        <v>2022</v>
      </c>
      <c r="C438">
        <v>12</v>
      </c>
      <c r="D438" t="s">
        <v>3</v>
      </c>
      <c r="E438" t="s">
        <v>76</v>
      </c>
      <c r="F438">
        <v>340</v>
      </c>
      <c r="G438">
        <v>333</v>
      </c>
      <c r="H438">
        <v>10</v>
      </c>
      <c r="I438">
        <v>16</v>
      </c>
      <c r="J438" s="17">
        <v>0.80048076923076927</v>
      </c>
      <c r="K438">
        <v>42</v>
      </c>
      <c r="L438">
        <v>39</v>
      </c>
      <c r="M438" s="17">
        <v>0.9285714285714286</v>
      </c>
      <c r="N438" s="25">
        <v>16084</v>
      </c>
      <c r="O438" s="25">
        <v>3579.75</v>
      </c>
      <c r="P438" s="25">
        <v>8190</v>
      </c>
      <c r="Q438" s="25">
        <v>27853.75</v>
      </c>
      <c r="R438" s="18">
        <v>83.64489489489489</v>
      </c>
    </row>
    <row r="439" spans="1:18" x14ac:dyDescent="0.35">
      <c r="A439" s="13">
        <v>44905</v>
      </c>
      <c r="B439">
        <v>2022</v>
      </c>
      <c r="C439">
        <v>12</v>
      </c>
      <c r="D439" t="s">
        <v>3</v>
      </c>
      <c r="E439" t="s">
        <v>76</v>
      </c>
      <c r="F439">
        <v>344</v>
      </c>
      <c r="G439">
        <v>338</v>
      </c>
      <c r="H439">
        <v>16</v>
      </c>
      <c r="I439">
        <v>16</v>
      </c>
      <c r="J439" s="17">
        <v>0.8125</v>
      </c>
      <c r="K439">
        <v>42</v>
      </c>
      <c r="L439">
        <v>35</v>
      </c>
      <c r="M439" s="17">
        <v>0.83333333333333337</v>
      </c>
      <c r="N439" s="25">
        <v>16084</v>
      </c>
      <c r="O439" s="25">
        <v>3633.5</v>
      </c>
      <c r="P439" s="25">
        <v>8190</v>
      </c>
      <c r="Q439" s="25">
        <v>27907.5</v>
      </c>
      <c r="R439" s="18">
        <v>82.566568047337284</v>
      </c>
    </row>
    <row r="440" spans="1:18" x14ac:dyDescent="0.35">
      <c r="A440" s="13">
        <v>44912</v>
      </c>
      <c r="B440">
        <v>2022</v>
      </c>
      <c r="C440">
        <v>12</v>
      </c>
      <c r="D440" t="s">
        <v>3</v>
      </c>
      <c r="E440" t="s">
        <v>76</v>
      </c>
      <c r="F440">
        <v>340</v>
      </c>
      <c r="G440">
        <v>337</v>
      </c>
      <c r="H440">
        <v>19</v>
      </c>
      <c r="I440">
        <v>16</v>
      </c>
      <c r="J440" s="17">
        <v>0.81009615384615385</v>
      </c>
      <c r="K440">
        <v>42</v>
      </c>
      <c r="L440">
        <v>39</v>
      </c>
      <c r="M440" s="17">
        <v>0.9285714285714286</v>
      </c>
      <c r="N440" s="25">
        <v>16084</v>
      </c>
      <c r="O440" s="25">
        <v>3622.75</v>
      </c>
      <c r="P440" s="25">
        <v>8190</v>
      </c>
      <c r="Q440" s="25">
        <v>27896.75</v>
      </c>
      <c r="R440" s="18">
        <v>82.779673590504444</v>
      </c>
    </row>
    <row r="441" spans="1:18" x14ac:dyDescent="0.35">
      <c r="A441" s="13">
        <v>44919</v>
      </c>
      <c r="B441">
        <v>2022</v>
      </c>
      <c r="C441">
        <v>12</v>
      </c>
      <c r="D441" t="s">
        <v>3</v>
      </c>
      <c r="E441" t="s">
        <v>76</v>
      </c>
      <c r="F441">
        <v>289</v>
      </c>
      <c r="G441">
        <v>302</v>
      </c>
      <c r="H441">
        <v>6</v>
      </c>
      <c r="I441">
        <v>15</v>
      </c>
      <c r="J441" s="17">
        <v>0.77435897435897438</v>
      </c>
      <c r="K441">
        <v>42</v>
      </c>
      <c r="L441">
        <v>40</v>
      </c>
      <c r="M441" s="17">
        <v>0.95238095238095233</v>
      </c>
      <c r="N441" s="25">
        <v>15078.75</v>
      </c>
      <c r="O441" s="25">
        <v>3246.5</v>
      </c>
      <c r="P441" s="25">
        <v>8190</v>
      </c>
      <c r="Q441" s="25">
        <v>26515.25</v>
      </c>
      <c r="R441" s="18">
        <v>87.798841059602651</v>
      </c>
    </row>
    <row r="442" spans="1:18" x14ac:dyDescent="0.35">
      <c r="A442" s="13">
        <v>44926</v>
      </c>
      <c r="B442">
        <v>2022</v>
      </c>
      <c r="C442">
        <v>12</v>
      </c>
      <c r="D442" t="s">
        <v>3</v>
      </c>
      <c r="E442" t="s">
        <v>76</v>
      </c>
      <c r="F442">
        <v>262</v>
      </c>
      <c r="G442">
        <v>268</v>
      </c>
      <c r="H442">
        <v>0</v>
      </c>
      <c r="I442">
        <v>14</v>
      </c>
      <c r="J442" s="17">
        <v>0.73626373626373631</v>
      </c>
      <c r="K442">
        <v>42</v>
      </c>
      <c r="L442">
        <v>41</v>
      </c>
      <c r="M442" s="17">
        <v>0.97619047619047616</v>
      </c>
      <c r="N442" s="25">
        <v>14073.5</v>
      </c>
      <c r="O442" s="25">
        <v>2881</v>
      </c>
      <c r="P442" s="25">
        <v>8190</v>
      </c>
      <c r="Q442" s="25">
        <v>25144.5</v>
      </c>
      <c r="R442" s="18">
        <v>93.822761194029852</v>
      </c>
    </row>
    <row r="443" spans="1:18" x14ac:dyDescent="0.35">
      <c r="A443" s="13">
        <v>44933</v>
      </c>
      <c r="B443">
        <v>2023</v>
      </c>
      <c r="C443">
        <v>1</v>
      </c>
      <c r="D443" t="s">
        <v>3</v>
      </c>
      <c r="E443" t="s">
        <v>76</v>
      </c>
      <c r="F443">
        <v>215</v>
      </c>
      <c r="G443">
        <v>215</v>
      </c>
      <c r="H443">
        <v>0</v>
      </c>
      <c r="I443">
        <v>11</v>
      </c>
      <c r="J443" s="17">
        <v>0.75174825174825177</v>
      </c>
      <c r="K443">
        <v>42</v>
      </c>
      <c r="L443">
        <v>37</v>
      </c>
      <c r="M443" s="17">
        <v>0.88095238095238093</v>
      </c>
      <c r="N443" s="25">
        <v>11057.75</v>
      </c>
      <c r="O443" s="25">
        <v>2311.25</v>
      </c>
      <c r="P443" s="25">
        <v>8190</v>
      </c>
      <c r="Q443" s="25">
        <v>21559</v>
      </c>
      <c r="R443" s="18">
        <v>100.2744186046512</v>
      </c>
    </row>
    <row r="444" spans="1:18" x14ac:dyDescent="0.35">
      <c r="A444" s="13">
        <v>44940</v>
      </c>
      <c r="B444">
        <v>2023</v>
      </c>
      <c r="C444">
        <v>1</v>
      </c>
      <c r="D444" t="s">
        <v>3</v>
      </c>
      <c r="E444" t="s">
        <v>76</v>
      </c>
      <c r="F444">
        <v>187</v>
      </c>
      <c r="G444">
        <v>187</v>
      </c>
      <c r="H444">
        <v>0</v>
      </c>
      <c r="I444">
        <v>10</v>
      </c>
      <c r="J444" s="17">
        <v>0.71923076923076923</v>
      </c>
      <c r="K444">
        <v>42</v>
      </c>
      <c r="L444">
        <v>35</v>
      </c>
      <c r="M444" s="17">
        <v>0.83333333333333337</v>
      </c>
      <c r="N444" s="25">
        <v>10052.5</v>
      </c>
      <c r="O444" s="25">
        <v>2010.25</v>
      </c>
      <c r="P444" s="25">
        <v>8190</v>
      </c>
      <c r="Q444" s="25">
        <v>20252.75</v>
      </c>
      <c r="R444" s="18">
        <v>108.3034759358289</v>
      </c>
    </row>
    <row r="445" spans="1:18" x14ac:dyDescent="0.35">
      <c r="A445" s="13">
        <v>44947</v>
      </c>
      <c r="B445">
        <v>2023</v>
      </c>
      <c r="C445">
        <v>1</v>
      </c>
      <c r="D445" t="s">
        <v>3</v>
      </c>
      <c r="E445" t="s">
        <v>76</v>
      </c>
      <c r="F445">
        <v>192</v>
      </c>
      <c r="G445">
        <v>192</v>
      </c>
      <c r="H445">
        <v>0</v>
      </c>
      <c r="I445">
        <v>11</v>
      </c>
      <c r="J445" s="17">
        <v>0.67132867132867136</v>
      </c>
      <c r="K445">
        <v>42</v>
      </c>
      <c r="L445">
        <v>38</v>
      </c>
      <c r="M445" s="17">
        <v>0.90476190476190477</v>
      </c>
      <c r="N445" s="25">
        <v>11057.75</v>
      </c>
      <c r="O445" s="25">
        <v>2064</v>
      </c>
      <c r="P445" s="25">
        <v>8190</v>
      </c>
      <c r="Q445" s="25">
        <v>21311.75</v>
      </c>
      <c r="R445" s="18">
        <v>110.9986979166667</v>
      </c>
    </row>
    <row r="446" spans="1:18" x14ac:dyDescent="0.35">
      <c r="A446" s="13">
        <v>44954</v>
      </c>
      <c r="B446">
        <v>2023</v>
      </c>
      <c r="C446">
        <v>1</v>
      </c>
      <c r="D446" t="s">
        <v>3</v>
      </c>
      <c r="E446" t="s">
        <v>76</v>
      </c>
      <c r="F446">
        <v>203</v>
      </c>
      <c r="G446">
        <v>203</v>
      </c>
      <c r="H446">
        <v>0</v>
      </c>
      <c r="I446">
        <v>11</v>
      </c>
      <c r="J446" s="17">
        <v>0.70979020979020979</v>
      </c>
      <c r="K446">
        <v>42</v>
      </c>
      <c r="L446">
        <v>37</v>
      </c>
      <c r="M446" s="17">
        <v>0.88095238095238093</v>
      </c>
      <c r="N446" s="25">
        <v>11057.75</v>
      </c>
      <c r="O446" s="25">
        <v>2182.25</v>
      </c>
      <c r="P446" s="25">
        <v>8190</v>
      </c>
      <c r="Q446" s="25">
        <v>21430</v>
      </c>
      <c r="R446" s="18">
        <v>105.56650246305421</v>
      </c>
    </row>
    <row r="447" spans="1:18" x14ac:dyDescent="0.35">
      <c r="A447" s="13">
        <v>44961</v>
      </c>
      <c r="B447">
        <v>2023</v>
      </c>
      <c r="C447">
        <v>2</v>
      </c>
      <c r="D447" t="s">
        <v>3</v>
      </c>
      <c r="E447" t="s">
        <v>76</v>
      </c>
      <c r="F447">
        <v>219</v>
      </c>
      <c r="G447">
        <v>219</v>
      </c>
      <c r="H447">
        <v>0</v>
      </c>
      <c r="I447">
        <v>11</v>
      </c>
      <c r="J447" s="17">
        <v>0.76573426573426573</v>
      </c>
      <c r="K447">
        <v>42</v>
      </c>
      <c r="L447">
        <v>36</v>
      </c>
      <c r="M447" s="17">
        <v>0.8571428571428571</v>
      </c>
      <c r="N447" s="25">
        <v>11057.75</v>
      </c>
      <c r="O447" s="25">
        <v>2354.25</v>
      </c>
      <c r="P447" s="25">
        <v>8190</v>
      </c>
      <c r="Q447" s="25">
        <v>21602</v>
      </c>
      <c r="R447" s="18">
        <v>98.6392694063927</v>
      </c>
    </row>
    <row r="448" spans="1:18" x14ac:dyDescent="0.35">
      <c r="A448" s="13">
        <v>44968</v>
      </c>
      <c r="B448">
        <v>2023</v>
      </c>
      <c r="C448">
        <v>2</v>
      </c>
      <c r="D448" t="s">
        <v>3</v>
      </c>
      <c r="E448" t="s">
        <v>76</v>
      </c>
      <c r="F448">
        <v>224</v>
      </c>
      <c r="G448">
        <v>224</v>
      </c>
      <c r="H448">
        <v>0</v>
      </c>
      <c r="I448">
        <v>13</v>
      </c>
      <c r="J448" s="17">
        <v>0.66272189349112431</v>
      </c>
      <c r="K448">
        <v>42</v>
      </c>
      <c r="L448">
        <v>36</v>
      </c>
      <c r="M448" s="17">
        <v>0.8571428571428571</v>
      </c>
      <c r="N448" s="25">
        <v>13068.25</v>
      </c>
      <c r="O448" s="25">
        <v>2408</v>
      </c>
      <c r="P448" s="25">
        <v>8190</v>
      </c>
      <c r="Q448" s="25">
        <v>23666.25</v>
      </c>
      <c r="R448" s="18">
        <v>105.65290178571431</v>
      </c>
    </row>
    <row r="449" spans="1:18" x14ac:dyDescent="0.35">
      <c r="A449" s="13">
        <v>44975</v>
      </c>
      <c r="B449">
        <v>2023</v>
      </c>
      <c r="C449">
        <v>2</v>
      </c>
      <c r="D449" t="s">
        <v>3</v>
      </c>
      <c r="E449" t="s">
        <v>76</v>
      </c>
      <c r="F449">
        <v>215</v>
      </c>
      <c r="G449">
        <v>215</v>
      </c>
      <c r="H449">
        <v>0</v>
      </c>
      <c r="I449">
        <v>11</v>
      </c>
      <c r="J449" s="17">
        <v>0.75174825174825177</v>
      </c>
      <c r="K449">
        <v>42</v>
      </c>
      <c r="L449">
        <v>34</v>
      </c>
      <c r="M449" s="17">
        <v>0.80952380952380953</v>
      </c>
      <c r="N449" s="25">
        <v>11057.75</v>
      </c>
      <c r="O449" s="25">
        <v>2311.25</v>
      </c>
      <c r="P449" s="25">
        <v>8190</v>
      </c>
      <c r="Q449" s="25">
        <v>21559</v>
      </c>
      <c r="R449" s="18">
        <v>100.2744186046512</v>
      </c>
    </row>
    <row r="450" spans="1:18" x14ac:dyDescent="0.35">
      <c r="A450" s="13">
        <v>44982</v>
      </c>
      <c r="B450">
        <v>2023</v>
      </c>
      <c r="C450">
        <v>2</v>
      </c>
      <c r="D450" t="s">
        <v>3</v>
      </c>
      <c r="E450" t="s">
        <v>76</v>
      </c>
      <c r="F450">
        <v>224</v>
      </c>
      <c r="G450">
        <v>224</v>
      </c>
      <c r="H450">
        <v>0</v>
      </c>
      <c r="I450">
        <v>11</v>
      </c>
      <c r="J450" s="17">
        <v>0.78321678321678323</v>
      </c>
      <c r="K450">
        <v>42</v>
      </c>
      <c r="L450">
        <v>36</v>
      </c>
      <c r="M450" s="17">
        <v>0.8571428571428571</v>
      </c>
      <c r="N450" s="25">
        <v>11057.75</v>
      </c>
      <c r="O450" s="25">
        <v>2408</v>
      </c>
      <c r="P450" s="25">
        <v>8190</v>
      </c>
      <c r="Q450" s="25">
        <v>21655.75</v>
      </c>
      <c r="R450" s="18">
        <v>96.677455357142861</v>
      </c>
    </row>
    <row r="451" spans="1:18" x14ac:dyDescent="0.35">
      <c r="A451" s="13">
        <v>44989</v>
      </c>
      <c r="B451">
        <v>2023</v>
      </c>
      <c r="C451">
        <v>3</v>
      </c>
      <c r="D451" t="s">
        <v>3</v>
      </c>
      <c r="E451" t="s">
        <v>76</v>
      </c>
      <c r="F451">
        <v>233</v>
      </c>
      <c r="G451">
        <v>233</v>
      </c>
      <c r="H451">
        <v>0</v>
      </c>
      <c r="I451">
        <v>11</v>
      </c>
      <c r="J451" s="17">
        <v>0.81468531468531469</v>
      </c>
      <c r="K451">
        <v>42</v>
      </c>
      <c r="L451">
        <v>39</v>
      </c>
      <c r="M451" s="17">
        <v>0.9285714285714286</v>
      </c>
      <c r="N451" s="25">
        <v>11057.75</v>
      </c>
      <c r="O451" s="25">
        <v>2504.75</v>
      </c>
      <c r="P451" s="25">
        <v>8190</v>
      </c>
      <c r="Q451" s="25">
        <v>21752.5</v>
      </c>
      <c r="R451" s="18">
        <v>93.358369098712444</v>
      </c>
    </row>
    <row r="452" spans="1:18" x14ac:dyDescent="0.35">
      <c r="A452" s="13">
        <v>44996</v>
      </c>
      <c r="B452">
        <v>2023</v>
      </c>
      <c r="C452">
        <v>3</v>
      </c>
      <c r="D452" t="s">
        <v>3</v>
      </c>
      <c r="E452" t="s">
        <v>76</v>
      </c>
      <c r="F452">
        <v>248</v>
      </c>
      <c r="G452">
        <v>248</v>
      </c>
      <c r="H452">
        <v>0</v>
      </c>
      <c r="I452">
        <v>13</v>
      </c>
      <c r="J452" s="17">
        <v>0.73372781065088755</v>
      </c>
      <c r="K452">
        <v>42</v>
      </c>
      <c r="L452">
        <v>38</v>
      </c>
      <c r="M452" s="17">
        <v>0.90476190476190477</v>
      </c>
      <c r="N452" s="25">
        <v>13068.25</v>
      </c>
      <c r="O452" s="25">
        <v>2666</v>
      </c>
      <c r="P452" s="25">
        <v>8190</v>
      </c>
      <c r="Q452" s="25">
        <v>23924.25</v>
      </c>
      <c r="R452" s="18">
        <v>96.46875</v>
      </c>
    </row>
    <row r="453" spans="1:18" x14ac:dyDescent="0.35">
      <c r="A453" s="13">
        <v>45003</v>
      </c>
      <c r="B453">
        <v>2023</v>
      </c>
      <c r="C453">
        <v>3</v>
      </c>
      <c r="D453" t="s">
        <v>3</v>
      </c>
      <c r="E453" t="s">
        <v>76</v>
      </c>
      <c r="F453">
        <v>233</v>
      </c>
      <c r="G453">
        <v>233</v>
      </c>
      <c r="H453">
        <v>0</v>
      </c>
      <c r="I453">
        <v>12</v>
      </c>
      <c r="J453" s="17">
        <v>0.74679487179487181</v>
      </c>
      <c r="K453">
        <v>42</v>
      </c>
      <c r="L453">
        <v>40</v>
      </c>
      <c r="M453" s="17">
        <v>0.95238095238095233</v>
      </c>
      <c r="N453" s="25">
        <v>12063</v>
      </c>
      <c r="O453" s="25">
        <v>2504.75</v>
      </c>
      <c r="P453" s="25">
        <v>8190</v>
      </c>
      <c r="Q453" s="25">
        <v>22757.75</v>
      </c>
      <c r="R453" s="18">
        <v>97.672746781115876</v>
      </c>
    </row>
    <row r="454" spans="1:18" x14ac:dyDescent="0.35">
      <c r="A454" s="13">
        <v>45010</v>
      </c>
      <c r="B454">
        <v>2023</v>
      </c>
      <c r="C454">
        <v>3</v>
      </c>
      <c r="D454" t="s">
        <v>3</v>
      </c>
      <c r="E454" t="s">
        <v>76</v>
      </c>
      <c r="F454">
        <v>226</v>
      </c>
      <c r="G454">
        <v>226</v>
      </c>
      <c r="H454">
        <v>0</v>
      </c>
      <c r="I454">
        <v>12</v>
      </c>
      <c r="J454" s="17">
        <v>0.72435897435897434</v>
      </c>
      <c r="K454">
        <v>42</v>
      </c>
      <c r="L454">
        <v>41</v>
      </c>
      <c r="M454" s="17">
        <v>0.97619047619047616</v>
      </c>
      <c r="N454" s="25">
        <v>12063</v>
      </c>
      <c r="O454" s="25">
        <v>2429.5</v>
      </c>
      <c r="P454" s="25">
        <v>8190</v>
      </c>
      <c r="Q454" s="25">
        <v>22682.5</v>
      </c>
      <c r="R454" s="18">
        <v>100.36504424778759</v>
      </c>
    </row>
    <row r="455" spans="1:18" x14ac:dyDescent="0.35">
      <c r="A455" s="13">
        <v>45017</v>
      </c>
      <c r="B455">
        <v>2023</v>
      </c>
      <c r="C455">
        <v>4</v>
      </c>
      <c r="D455" t="s">
        <v>3</v>
      </c>
      <c r="E455" t="s">
        <v>76</v>
      </c>
      <c r="F455">
        <v>258</v>
      </c>
      <c r="G455">
        <v>258</v>
      </c>
      <c r="H455">
        <v>0</v>
      </c>
      <c r="I455">
        <v>13</v>
      </c>
      <c r="J455" s="17">
        <v>0.76331360946745563</v>
      </c>
      <c r="K455">
        <v>42</v>
      </c>
      <c r="L455">
        <v>36</v>
      </c>
      <c r="M455" s="17">
        <v>0.8571428571428571</v>
      </c>
      <c r="N455" s="25">
        <v>13068.25</v>
      </c>
      <c r="O455" s="25">
        <v>2773.5</v>
      </c>
      <c r="P455" s="25">
        <v>8190</v>
      </c>
      <c r="Q455" s="25">
        <v>24031.75</v>
      </c>
      <c r="R455" s="18">
        <v>93.146317829457359</v>
      </c>
    </row>
    <row r="456" spans="1:18" x14ac:dyDescent="0.35">
      <c r="A456" s="13">
        <v>45024</v>
      </c>
      <c r="B456">
        <v>2023</v>
      </c>
      <c r="C456">
        <v>4</v>
      </c>
      <c r="D456" t="s">
        <v>3</v>
      </c>
      <c r="E456" t="s">
        <v>76</v>
      </c>
      <c r="F456">
        <v>240</v>
      </c>
      <c r="G456">
        <v>240</v>
      </c>
      <c r="H456">
        <v>0</v>
      </c>
      <c r="I456">
        <v>13</v>
      </c>
      <c r="J456" s="17">
        <v>0.7100591715976331</v>
      </c>
      <c r="K456">
        <v>42</v>
      </c>
      <c r="L456">
        <v>39</v>
      </c>
      <c r="M456" s="17">
        <v>0.9285714285714286</v>
      </c>
      <c r="N456" s="25">
        <v>13068.25</v>
      </c>
      <c r="O456" s="25">
        <v>2580</v>
      </c>
      <c r="P456" s="25">
        <v>8190</v>
      </c>
      <c r="Q456" s="25">
        <v>23838.25</v>
      </c>
      <c r="R456" s="18">
        <v>99.326041666666669</v>
      </c>
    </row>
    <row r="457" spans="1:18" x14ac:dyDescent="0.35">
      <c r="A457" s="13">
        <v>45031</v>
      </c>
      <c r="B457">
        <v>2023</v>
      </c>
      <c r="C457">
        <v>4</v>
      </c>
      <c r="D457" t="s">
        <v>3</v>
      </c>
      <c r="E457" t="s">
        <v>76</v>
      </c>
      <c r="F457">
        <v>239</v>
      </c>
      <c r="G457">
        <v>239</v>
      </c>
      <c r="H457">
        <v>0</v>
      </c>
      <c r="I457">
        <v>13</v>
      </c>
      <c r="J457" s="17">
        <v>0.70710059171597628</v>
      </c>
      <c r="K457">
        <v>42</v>
      </c>
      <c r="L457">
        <v>39</v>
      </c>
      <c r="M457" s="17">
        <v>0.9285714285714286</v>
      </c>
      <c r="N457" s="25">
        <v>13068.25</v>
      </c>
      <c r="O457" s="25">
        <v>2569.25</v>
      </c>
      <c r="P457" s="25">
        <v>8190</v>
      </c>
      <c r="Q457" s="25">
        <v>23827.5</v>
      </c>
      <c r="R457" s="18">
        <v>99.696652719665266</v>
      </c>
    </row>
    <row r="458" spans="1:18" x14ac:dyDescent="0.35">
      <c r="A458" s="13">
        <v>45038</v>
      </c>
      <c r="B458">
        <v>2023</v>
      </c>
      <c r="C458">
        <v>4</v>
      </c>
      <c r="D458" t="s">
        <v>3</v>
      </c>
      <c r="E458" t="s">
        <v>76</v>
      </c>
      <c r="F458">
        <v>241</v>
      </c>
      <c r="G458">
        <v>241</v>
      </c>
      <c r="H458">
        <v>0</v>
      </c>
      <c r="I458">
        <v>13</v>
      </c>
      <c r="J458" s="17">
        <v>0.71301775147928992</v>
      </c>
      <c r="K458">
        <v>42</v>
      </c>
      <c r="L458">
        <v>39</v>
      </c>
      <c r="M458" s="17">
        <v>0.9285714285714286</v>
      </c>
      <c r="N458" s="25">
        <v>13068.25</v>
      </c>
      <c r="O458" s="25">
        <v>2590.75</v>
      </c>
      <c r="P458" s="25">
        <v>8190</v>
      </c>
      <c r="Q458" s="25">
        <v>23849</v>
      </c>
      <c r="R458" s="18">
        <v>98.958506224066383</v>
      </c>
    </row>
    <row r="459" spans="1:18" x14ac:dyDescent="0.35">
      <c r="A459" s="13">
        <v>45045</v>
      </c>
      <c r="B459">
        <v>2023</v>
      </c>
      <c r="C459">
        <v>4</v>
      </c>
      <c r="D459" t="s">
        <v>3</v>
      </c>
      <c r="E459" t="s">
        <v>76</v>
      </c>
      <c r="F459">
        <v>239</v>
      </c>
      <c r="G459">
        <v>239</v>
      </c>
      <c r="H459">
        <v>0</v>
      </c>
      <c r="I459">
        <v>11</v>
      </c>
      <c r="J459" s="17">
        <v>0.83566433566433562</v>
      </c>
      <c r="K459">
        <v>42</v>
      </c>
      <c r="L459">
        <v>39</v>
      </c>
      <c r="M459" s="17">
        <v>0.9285714285714286</v>
      </c>
      <c r="N459" s="25">
        <v>11057.75</v>
      </c>
      <c r="O459" s="25">
        <v>2569.25</v>
      </c>
      <c r="P459" s="25">
        <v>8190</v>
      </c>
      <c r="Q459" s="25">
        <v>21817</v>
      </c>
      <c r="R459" s="18">
        <v>91.28451882845188</v>
      </c>
    </row>
    <row r="460" spans="1:18" x14ac:dyDescent="0.35">
      <c r="A460" s="13">
        <v>45052</v>
      </c>
      <c r="B460">
        <v>2023</v>
      </c>
      <c r="C460">
        <v>5</v>
      </c>
      <c r="D460" t="s">
        <v>3</v>
      </c>
      <c r="E460" t="s">
        <v>76</v>
      </c>
      <c r="F460">
        <v>249</v>
      </c>
      <c r="G460">
        <v>249</v>
      </c>
      <c r="H460">
        <v>0</v>
      </c>
      <c r="I460">
        <v>13</v>
      </c>
      <c r="J460" s="17">
        <v>0.73668639053254437</v>
      </c>
      <c r="K460">
        <v>42</v>
      </c>
      <c r="L460">
        <v>40</v>
      </c>
      <c r="M460" s="17">
        <v>0.95238095238095233</v>
      </c>
      <c r="N460" s="25">
        <v>13068.25</v>
      </c>
      <c r="O460" s="25">
        <v>2676.75</v>
      </c>
      <c r="P460" s="25">
        <v>8190</v>
      </c>
      <c r="Q460" s="25">
        <v>23935</v>
      </c>
      <c r="R460" s="18">
        <v>96.124497991967871</v>
      </c>
    </row>
    <row r="461" spans="1:18" x14ac:dyDescent="0.35">
      <c r="A461" s="13">
        <v>45059</v>
      </c>
      <c r="B461">
        <v>2023</v>
      </c>
      <c r="C461">
        <v>5</v>
      </c>
      <c r="D461" t="s">
        <v>3</v>
      </c>
      <c r="E461" t="s">
        <v>76</v>
      </c>
      <c r="F461">
        <v>245</v>
      </c>
      <c r="G461">
        <v>245</v>
      </c>
      <c r="H461">
        <v>0</v>
      </c>
      <c r="I461">
        <v>13</v>
      </c>
      <c r="J461" s="17">
        <v>0.7248520710059172</v>
      </c>
      <c r="K461">
        <v>42</v>
      </c>
      <c r="L461">
        <v>39</v>
      </c>
      <c r="M461" s="17">
        <v>0.9285714285714286</v>
      </c>
      <c r="N461" s="25">
        <v>13068.25</v>
      </c>
      <c r="O461" s="25">
        <v>2633.75</v>
      </c>
      <c r="P461" s="25">
        <v>8190</v>
      </c>
      <c r="Q461" s="25">
        <v>23892</v>
      </c>
      <c r="R461" s="18">
        <v>97.518367346938774</v>
      </c>
    </row>
    <row r="462" spans="1:18" x14ac:dyDescent="0.35">
      <c r="A462" s="13">
        <v>45066</v>
      </c>
      <c r="B462">
        <v>2023</v>
      </c>
      <c r="C462">
        <v>5</v>
      </c>
      <c r="D462" t="s">
        <v>3</v>
      </c>
      <c r="E462" t="s">
        <v>76</v>
      </c>
      <c r="F462">
        <v>247</v>
      </c>
      <c r="G462">
        <v>247</v>
      </c>
      <c r="H462">
        <v>0</v>
      </c>
      <c r="I462">
        <v>13</v>
      </c>
      <c r="J462" s="17">
        <v>0.73076923076923073</v>
      </c>
      <c r="K462">
        <v>42</v>
      </c>
      <c r="L462">
        <v>38</v>
      </c>
      <c r="M462" s="17">
        <v>0.90476190476190477</v>
      </c>
      <c r="N462" s="25">
        <v>13068.25</v>
      </c>
      <c r="O462" s="25">
        <v>2655.25</v>
      </c>
      <c r="P462" s="25">
        <v>8190</v>
      </c>
      <c r="Q462" s="25">
        <v>23913.5</v>
      </c>
      <c r="R462" s="18">
        <v>96.815789473684205</v>
      </c>
    </row>
    <row r="463" spans="1:18" x14ac:dyDescent="0.35">
      <c r="A463" s="13">
        <v>45073</v>
      </c>
      <c r="B463">
        <v>2023</v>
      </c>
      <c r="C463">
        <v>5</v>
      </c>
      <c r="D463" t="s">
        <v>3</v>
      </c>
      <c r="E463" t="s">
        <v>76</v>
      </c>
      <c r="F463">
        <v>242</v>
      </c>
      <c r="G463">
        <v>242</v>
      </c>
      <c r="H463">
        <v>0</v>
      </c>
      <c r="I463">
        <v>12</v>
      </c>
      <c r="J463" s="17">
        <v>0.77564102564102566</v>
      </c>
      <c r="K463">
        <v>42</v>
      </c>
      <c r="L463">
        <v>40</v>
      </c>
      <c r="M463" s="17">
        <v>0.95238095238095233</v>
      </c>
      <c r="N463" s="25">
        <v>12063</v>
      </c>
      <c r="O463" s="25">
        <v>2601.5</v>
      </c>
      <c r="P463" s="25">
        <v>8190</v>
      </c>
      <c r="Q463" s="25">
        <v>22854.5</v>
      </c>
      <c r="R463" s="18">
        <v>94.440082644628106</v>
      </c>
    </row>
    <row r="464" spans="1:18" x14ac:dyDescent="0.35">
      <c r="A464" s="13">
        <v>45080</v>
      </c>
      <c r="B464">
        <v>2023</v>
      </c>
      <c r="C464">
        <v>6</v>
      </c>
      <c r="D464" t="s">
        <v>3</v>
      </c>
      <c r="E464" t="s">
        <v>76</v>
      </c>
      <c r="F464">
        <v>243</v>
      </c>
      <c r="G464">
        <v>243</v>
      </c>
      <c r="H464">
        <v>0</v>
      </c>
      <c r="I464">
        <v>13</v>
      </c>
      <c r="J464" s="17">
        <v>0.71893491124260356</v>
      </c>
      <c r="K464">
        <v>42</v>
      </c>
      <c r="L464">
        <v>39</v>
      </c>
      <c r="M464" s="17">
        <v>0.9285714285714286</v>
      </c>
      <c r="N464" s="25">
        <v>13068.25</v>
      </c>
      <c r="O464" s="25">
        <v>2612.25</v>
      </c>
      <c r="P464" s="25">
        <v>8190</v>
      </c>
      <c r="Q464" s="25">
        <v>23870.5</v>
      </c>
      <c r="R464" s="18">
        <v>98.232510288065839</v>
      </c>
    </row>
    <row r="465" spans="1:18" x14ac:dyDescent="0.35">
      <c r="A465" s="13">
        <v>45087</v>
      </c>
      <c r="B465">
        <v>2023</v>
      </c>
      <c r="C465">
        <v>6</v>
      </c>
      <c r="D465" t="s">
        <v>3</v>
      </c>
      <c r="E465" t="s">
        <v>76</v>
      </c>
      <c r="F465">
        <v>240</v>
      </c>
      <c r="G465">
        <v>240</v>
      </c>
      <c r="H465">
        <v>0</v>
      </c>
      <c r="I465">
        <v>12</v>
      </c>
      <c r="J465" s="17">
        <v>0.76923076923076927</v>
      </c>
      <c r="K465">
        <v>42</v>
      </c>
      <c r="L465">
        <v>38</v>
      </c>
      <c r="M465" s="17">
        <v>0.90476190476190477</v>
      </c>
      <c r="N465" s="25">
        <v>12063</v>
      </c>
      <c r="O465" s="25">
        <v>2580</v>
      </c>
      <c r="P465" s="25">
        <v>8190</v>
      </c>
      <c r="Q465" s="25">
        <v>22833</v>
      </c>
      <c r="R465" s="18">
        <v>95.137500000000003</v>
      </c>
    </row>
    <row r="466" spans="1:18" x14ac:dyDescent="0.35">
      <c r="A466" s="13">
        <v>45094</v>
      </c>
      <c r="B466">
        <v>2023</v>
      </c>
      <c r="C466">
        <v>6</v>
      </c>
      <c r="D466" t="s">
        <v>3</v>
      </c>
      <c r="E466" t="s">
        <v>76</v>
      </c>
      <c r="F466">
        <v>245</v>
      </c>
      <c r="G466">
        <v>245</v>
      </c>
      <c r="H466">
        <v>0</v>
      </c>
      <c r="I466">
        <v>13</v>
      </c>
      <c r="J466" s="17">
        <v>0.7248520710059172</v>
      </c>
      <c r="K466">
        <v>42</v>
      </c>
      <c r="L466">
        <v>41</v>
      </c>
      <c r="M466" s="17">
        <v>0.97619047619047616</v>
      </c>
      <c r="N466" s="25">
        <v>13068.25</v>
      </c>
      <c r="O466" s="25">
        <v>2633.75</v>
      </c>
      <c r="P466" s="25">
        <v>8190</v>
      </c>
      <c r="Q466" s="25">
        <v>23892</v>
      </c>
      <c r="R466" s="18">
        <v>97.518367346938774</v>
      </c>
    </row>
    <row r="467" spans="1:18" x14ac:dyDescent="0.35">
      <c r="A467" s="13">
        <v>45101</v>
      </c>
      <c r="B467">
        <v>2023</v>
      </c>
      <c r="C467">
        <v>6</v>
      </c>
      <c r="D467" t="s">
        <v>3</v>
      </c>
      <c r="E467" t="s">
        <v>76</v>
      </c>
      <c r="F467">
        <v>236</v>
      </c>
      <c r="G467">
        <v>236</v>
      </c>
      <c r="H467">
        <v>0</v>
      </c>
      <c r="I467">
        <v>12</v>
      </c>
      <c r="J467" s="17">
        <v>0.75641025641025639</v>
      </c>
      <c r="K467">
        <v>42</v>
      </c>
      <c r="L467">
        <v>37</v>
      </c>
      <c r="M467" s="17">
        <v>0.88095238095238093</v>
      </c>
      <c r="N467" s="25">
        <v>12063</v>
      </c>
      <c r="O467" s="25">
        <v>2537</v>
      </c>
      <c r="P467" s="25">
        <v>8190</v>
      </c>
      <c r="Q467" s="25">
        <v>22790</v>
      </c>
      <c r="R467" s="18">
        <v>96.567796610169495</v>
      </c>
    </row>
    <row r="468" spans="1:18" x14ac:dyDescent="0.35">
      <c r="A468" s="13">
        <v>45108</v>
      </c>
      <c r="B468">
        <v>2023</v>
      </c>
      <c r="C468">
        <v>7</v>
      </c>
      <c r="D468" t="s">
        <v>3</v>
      </c>
      <c r="E468" t="s">
        <v>76</v>
      </c>
      <c r="F468">
        <v>234</v>
      </c>
      <c r="G468">
        <v>234</v>
      </c>
      <c r="H468">
        <v>0</v>
      </c>
      <c r="I468">
        <v>12</v>
      </c>
      <c r="J468" s="17">
        <v>0.75</v>
      </c>
      <c r="K468">
        <v>42</v>
      </c>
      <c r="L468">
        <v>39</v>
      </c>
      <c r="M468" s="17">
        <v>0.9285714285714286</v>
      </c>
      <c r="N468" s="25">
        <v>12063</v>
      </c>
      <c r="O468" s="25">
        <v>2515.5</v>
      </c>
      <c r="P468" s="25">
        <v>8190</v>
      </c>
      <c r="Q468" s="25">
        <v>22768.5</v>
      </c>
      <c r="R468" s="18">
        <v>97.301282051282058</v>
      </c>
    </row>
    <row r="469" spans="1:18" x14ac:dyDescent="0.35">
      <c r="A469" s="13">
        <v>45115</v>
      </c>
      <c r="B469">
        <v>2023</v>
      </c>
      <c r="C469">
        <v>7</v>
      </c>
      <c r="D469" t="s">
        <v>3</v>
      </c>
      <c r="E469" t="s">
        <v>76</v>
      </c>
      <c r="F469">
        <v>241</v>
      </c>
      <c r="G469">
        <v>241</v>
      </c>
      <c r="H469">
        <v>0</v>
      </c>
      <c r="I469">
        <v>13</v>
      </c>
      <c r="J469" s="17">
        <v>0.71301775147928992</v>
      </c>
      <c r="K469">
        <v>42</v>
      </c>
      <c r="L469">
        <v>39</v>
      </c>
      <c r="M469" s="17">
        <v>0.9285714285714286</v>
      </c>
      <c r="N469" s="25">
        <v>13068.25</v>
      </c>
      <c r="O469" s="25">
        <v>2590.75</v>
      </c>
      <c r="P469" s="25">
        <v>8190</v>
      </c>
      <c r="Q469" s="25">
        <v>23849</v>
      </c>
      <c r="R469" s="18">
        <v>98.958506224066383</v>
      </c>
    </row>
    <row r="470" spans="1:18" x14ac:dyDescent="0.35">
      <c r="A470" s="13">
        <v>45122</v>
      </c>
      <c r="B470">
        <v>2023</v>
      </c>
      <c r="C470">
        <v>7</v>
      </c>
      <c r="D470" t="s">
        <v>3</v>
      </c>
      <c r="E470" t="s">
        <v>76</v>
      </c>
      <c r="F470">
        <v>231</v>
      </c>
      <c r="G470">
        <v>231</v>
      </c>
      <c r="H470">
        <v>0</v>
      </c>
      <c r="I470">
        <v>11</v>
      </c>
      <c r="J470" s="17">
        <v>0.80769230769230771</v>
      </c>
      <c r="K470">
        <v>42</v>
      </c>
      <c r="L470">
        <v>39</v>
      </c>
      <c r="M470" s="17">
        <v>0.9285714285714286</v>
      </c>
      <c r="N470" s="25">
        <v>11057.75</v>
      </c>
      <c r="O470" s="25">
        <v>2483.25</v>
      </c>
      <c r="P470" s="25">
        <v>8190</v>
      </c>
      <c r="Q470" s="25">
        <v>21731</v>
      </c>
      <c r="R470" s="18">
        <v>94.073593073593074</v>
      </c>
    </row>
    <row r="471" spans="1:18" x14ac:dyDescent="0.35">
      <c r="A471" s="13">
        <v>45129</v>
      </c>
      <c r="B471">
        <v>2023</v>
      </c>
      <c r="C471">
        <v>7</v>
      </c>
      <c r="D471" t="s">
        <v>3</v>
      </c>
      <c r="E471" t="s">
        <v>76</v>
      </c>
      <c r="F471">
        <v>247</v>
      </c>
      <c r="G471">
        <v>247</v>
      </c>
      <c r="H471">
        <v>0</v>
      </c>
      <c r="I471">
        <v>12</v>
      </c>
      <c r="J471" s="17">
        <v>0.79166666666666663</v>
      </c>
      <c r="K471">
        <v>42</v>
      </c>
      <c r="L471">
        <v>42</v>
      </c>
      <c r="M471" s="17">
        <v>1</v>
      </c>
      <c r="N471" s="25">
        <v>12063</v>
      </c>
      <c r="O471" s="25">
        <v>2655.25</v>
      </c>
      <c r="P471" s="25">
        <v>8190</v>
      </c>
      <c r="Q471" s="25">
        <v>22908.25</v>
      </c>
      <c r="R471" s="18">
        <v>92.745951417004051</v>
      </c>
    </row>
    <row r="472" spans="1:18" x14ac:dyDescent="0.35">
      <c r="A472" s="13">
        <v>45136</v>
      </c>
      <c r="B472">
        <v>2023</v>
      </c>
      <c r="C472">
        <v>7</v>
      </c>
      <c r="D472" t="s">
        <v>3</v>
      </c>
      <c r="E472" t="s">
        <v>76</v>
      </c>
      <c r="F472">
        <v>243</v>
      </c>
      <c r="G472">
        <v>243</v>
      </c>
      <c r="H472">
        <v>0</v>
      </c>
      <c r="I472">
        <v>13</v>
      </c>
      <c r="J472" s="17">
        <v>0.71893491124260356</v>
      </c>
      <c r="K472">
        <v>42</v>
      </c>
      <c r="L472">
        <v>39</v>
      </c>
      <c r="M472" s="17">
        <v>0.9285714285714286</v>
      </c>
      <c r="N472" s="25">
        <v>13068.25</v>
      </c>
      <c r="O472" s="25">
        <v>2612.25</v>
      </c>
      <c r="P472" s="25">
        <v>8190</v>
      </c>
      <c r="Q472" s="25">
        <v>23870.5</v>
      </c>
      <c r="R472" s="18">
        <v>98.232510288065839</v>
      </c>
    </row>
    <row r="473" spans="1:18" x14ac:dyDescent="0.35">
      <c r="A473" s="13">
        <v>45143</v>
      </c>
      <c r="B473">
        <v>2023</v>
      </c>
      <c r="C473">
        <v>8</v>
      </c>
      <c r="D473" t="s">
        <v>3</v>
      </c>
      <c r="E473" t="s">
        <v>76</v>
      </c>
      <c r="F473">
        <v>255</v>
      </c>
      <c r="G473">
        <v>255</v>
      </c>
      <c r="H473">
        <v>0</v>
      </c>
      <c r="I473">
        <v>14</v>
      </c>
      <c r="J473" s="17">
        <v>0.7005494505494505</v>
      </c>
      <c r="K473">
        <v>42</v>
      </c>
      <c r="L473">
        <v>41</v>
      </c>
      <c r="M473" s="17">
        <v>0.97619047619047616</v>
      </c>
      <c r="N473" s="25">
        <v>14073.5</v>
      </c>
      <c r="O473" s="25">
        <v>2741.25</v>
      </c>
      <c r="P473" s="25">
        <v>8190</v>
      </c>
      <c r="Q473" s="25">
        <v>25004.75</v>
      </c>
      <c r="R473" s="18">
        <v>98.057843137254906</v>
      </c>
    </row>
    <row r="474" spans="1:18" x14ac:dyDescent="0.35">
      <c r="A474" s="13">
        <v>45150</v>
      </c>
      <c r="B474">
        <v>2023</v>
      </c>
      <c r="C474">
        <v>8</v>
      </c>
      <c r="D474" t="s">
        <v>3</v>
      </c>
      <c r="E474" t="s">
        <v>76</v>
      </c>
      <c r="F474">
        <v>267</v>
      </c>
      <c r="G474">
        <v>267</v>
      </c>
      <c r="H474">
        <v>0</v>
      </c>
      <c r="I474">
        <v>14</v>
      </c>
      <c r="J474" s="17">
        <v>0.73351648351648346</v>
      </c>
      <c r="K474">
        <v>42</v>
      </c>
      <c r="L474">
        <v>38</v>
      </c>
      <c r="M474" s="17">
        <v>0.90476190476190477</v>
      </c>
      <c r="N474" s="25">
        <v>14073.5</v>
      </c>
      <c r="O474" s="25">
        <v>2870.25</v>
      </c>
      <c r="P474" s="25">
        <v>8190</v>
      </c>
      <c r="Q474" s="25">
        <v>25133.75</v>
      </c>
      <c r="R474" s="18">
        <v>94.133895131086149</v>
      </c>
    </row>
    <row r="475" spans="1:18" x14ac:dyDescent="0.35">
      <c r="A475" s="13">
        <v>45157</v>
      </c>
      <c r="B475">
        <v>2023</v>
      </c>
      <c r="C475">
        <v>8</v>
      </c>
      <c r="D475" t="s">
        <v>3</v>
      </c>
      <c r="E475" t="s">
        <v>76</v>
      </c>
      <c r="F475">
        <v>252</v>
      </c>
      <c r="G475">
        <v>252</v>
      </c>
      <c r="H475">
        <v>0</v>
      </c>
      <c r="I475">
        <v>13</v>
      </c>
      <c r="J475" s="17">
        <v>0.74556213017751483</v>
      </c>
      <c r="K475">
        <v>42</v>
      </c>
      <c r="L475">
        <v>41</v>
      </c>
      <c r="M475" s="17">
        <v>0.97619047619047616</v>
      </c>
      <c r="N475" s="25">
        <v>13068.25</v>
      </c>
      <c r="O475" s="25">
        <v>2709</v>
      </c>
      <c r="P475" s="25">
        <v>8190</v>
      </c>
      <c r="Q475" s="25">
        <v>23967.25</v>
      </c>
      <c r="R475" s="18">
        <v>95.108134920634924</v>
      </c>
    </row>
    <row r="476" spans="1:18" x14ac:dyDescent="0.35">
      <c r="A476" s="13">
        <v>45164</v>
      </c>
      <c r="B476">
        <v>2023</v>
      </c>
      <c r="C476">
        <v>8</v>
      </c>
      <c r="D476" t="s">
        <v>3</v>
      </c>
      <c r="E476" t="s">
        <v>76</v>
      </c>
      <c r="F476">
        <v>244</v>
      </c>
      <c r="G476">
        <v>244</v>
      </c>
      <c r="H476">
        <v>0</v>
      </c>
      <c r="I476">
        <v>14</v>
      </c>
      <c r="J476" s="17">
        <v>0.67032967032967028</v>
      </c>
      <c r="K476">
        <v>42</v>
      </c>
      <c r="L476">
        <v>37</v>
      </c>
      <c r="M476" s="17">
        <v>0.88095238095238093</v>
      </c>
      <c r="N476" s="25">
        <v>14073.5</v>
      </c>
      <c r="O476" s="25">
        <v>2623</v>
      </c>
      <c r="P476" s="25">
        <v>8190</v>
      </c>
      <c r="Q476" s="25">
        <v>24886.5</v>
      </c>
      <c r="R476" s="18">
        <v>101.9938524590164</v>
      </c>
    </row>
    <row r="477" spans="1:18" x14ac:dyDescent="0.35">
      <c r="A477" s="13">
        <v>45171</v>
      </c>
      <c r="B477">
        <v>2023</v>
      </c>
      <c r="C477">
        <v>9</v>
      </c>
      <c r="D477" t="s">
        <v>3</v>
      </c>
      <c r="E477" t="s">
        <v>76</v>
      </c>
      <c r="F477">
        <v>240</v>
      </c>
      <c r="G477">
        <v>240</v>
      </c>
      <c r="H477">
        <v>0</v>
      </c>
      <c r="I477">
        <v>12</v>
      </c>
      <c r="J477" s="17">
        <v>0.76923076923076927</v>
      </c>
      <c r="K477">
        <v>42</v>
      </c>
      <c r="L477">
        <v>40</v>
      </c>
      <c r="M477" s="17">
        <v>0.95238095238095233</v>
      </c>
      <c r="N477" s="25">
        <v>12063</v>
      </c>
      <c r="O477" s="25">
        <v>2580</v>
      </c>
      <c r="P477" s="25">
        <v>8190</v>
      </c>
      <c r="Q477" s="25">
        <v>22833</v>
      </c>
      <c r="R477" s="18">
        <v>95.137500000000003</v>
      </c>
    </row>
    <row r="478" spans="1:18" x14ac:dyDescent="0.35">
      <c r="A478" s="13">
        <v>45178</v>
      </c>
      <c r="B478">
        <v>2023</v>
      </c>
      <c r="C478">
        <v>9</v>
      </c>
      <c r="D478" t="s">
        <v>3</v>
      </c>
      <c r="E478" t="s">
        <v>76</v>
      </c>
      <c r="F478">
        <v>236</v>
      </c>
      <c r="G478">
        <v>236</v>
      </c>
      <c r="H478">
        <v>0</v>
      </c>
      <c r="I478">
        <v>12</v>
      </c>
      <c r="J478" s="17">
        <v>0.75641025641025639</v>
      </c>
      <c r="K478">
        <v>42</v>
      </c>
      <c r="L478">
        <v>39</v>
      </c>
      <c r="M478" s="17">
        <v>0.9285714285714286</v>
      </c>
      <c r="N478" s="25">
        <v>12063</v>
      </c>
      <c r="O478" s="25">
        <v>2537</v>
      </c>
      <c r="P478" s="25">
        <v>8190</v>
      </c>
      <c r="Q478" s="25">
        <v>22790</v>
      </c>
      <c r="R478" s="18">
        <v>96.567796610169495</v>
      </c>
    </row>
    <row r="479" spans="1:18" x14ac:dyDescent="0.35">
      <c r="A479" s="13">
        <v>45185</v>
      </c>
      <c r="B479">
        <v>2023</v>
      </c>
      <c r="C479">
        <v>9</v>
      </c>
      <c r="D479" t="s">
        <v>3</v>
      </c>
      <c r="E479" t="s">
        <v>76</v>
      </c>
      <c r="F479">
        <v>230</v>
      </c>
      <c r="G479">
        <v>230</v>
      </c>
      <c r="H479">
        <v>0</v>
      </c>
      <c r="I479">
        <v>13</v>
      </c>
      <c r="J479" s="17">
        <v>0.68047337278106512</v>
      </c>
      <c r="K479">
        <v>42</v>
      </c>
      <c r="L479">
        <v>37</v>
      </c>
      <c r="M479" s="17">
        <v>0.88095238095238093</v>
      </c>
      <c r="N479" s="25">
        <v>13068.25</v>
      </c>
      <c r="O479" s="25">
        <v>2472.5</v>
      </c>
      <c r="P479" s="25">
        <v>8190</v>
      </c>
      <c r="Q479" s="25">
        <v>23730.75</v>
      </c>
      <c r="R479" s="18">
        <v>103.1771739130435</v>
      </c>
    </row>
    <row r="480" spans="1:18" x14ac:dyDescent="0.35">
      <c r="A480" s="13">
        <v>45192</v>
      </c>
      <c r="B480">
        <v>2023</v>
      </c>
      <c r="C480">
        <v>9</v>
      </c>
      <c r="D480" t="s">
        <v>3</v>
      </c>
      <c r="E480" t="s">
        <v>76</v>
      </c>
      <c r="F480">
        <v>242</v>
      </c>
      <c r="G480">
        <v>242</v>
      </c>
      <c r="H480">
        <v>0</v>
      </c>
      <c r="I480">
        <v>12</v>
      </c>
      <c r="J480" s="17">
        <v>0.77564102564102566</v>
      </c>
      <c r="K480">
        <v>42</v>
      </c>
      <c r="L480">
        <v>38</v>
      </c>
      <c r="M480" s="17">
        <v>0.90476190476190477</v>
      </c>
      <c r="N480" s="25">
        <v>12063</v>
      </c>
      <c r="O480" s="25">
        <v>2601.5</v>
      </c>
      <c r="P480" s="25">
        <v>8190</v>
      </c>
      <c r="Q480" s="25">
        <v>22854.5</v>
      </c>
      <c r="R480" s="18">
        <v>94.440082644628106</v>
      </c>
    </row>
    <row r="481" spans="1:18" x14ac:dyDescent="0.35">
      <c r="A481" s="13">
        <v>45199</v>
      </c>
      <c r="B481">
        <v>2023</v>
      </c>
      <c r="C481">
        <v>9</v>
      </c>
      <c r="D481" t="s">
        <v>3</v>
      </c>
      <c r="E481" t="s">
        <v>76</v>
      </c>
      <c r="F481">
        <v>231</v>
      </c>
      <c r="G481">
        <v>231</v>
      </c>
      <c r="H481">
        <v>0</v>
      </c>
      <c r="I481">
        <v>13</v>
      </c>
      <c r="J481" s="17">
        <v>0.68343195266272194</v>
      </c>
      <c r="K481">
        <v>42</v>
      </c>
      <c r="L481">
        <v>39</v>
      </c>
      <c r="M481" s="17">
        <v>0.9285714285714286</v>
      </c>
      <c r="N481" s="25">
        <v>13068.25</v>
      </c>
      <c r="O481" s="25">
        <v>2483.25</v>
      </c>
      <c r="P481" s="25">
        <v>8190</v>
      </c>
      <c r="Q481" s="25">
        <v>23741.5</v>
      </c>
      <c r="R481" s="18">
        <v>102.7770562770563</v>
      </c>
    </row>
    <row r="482" spans="1:18" x14ac:dyDescent="0.35">
      <c r="A482" s="13">
        <v>45206</v>
      </c>
      <c r="B482">
        <v>2023</v>
      </c>
      <c r="C482">
        <v>10</v>
      </c>
      <c r="D482" t="s">
        <v>3</v>
      </c>
      <c r="E482" t="s">
        <v>76</v>
      </c>
      <c r="F482">
        <v>224</v>
      </c>
      <c r="G482">
        <v>224</v>
      </c>
      <c r="H482">
        <v>0</v>
      </c>
      <c r="I482">
        <v>11</v>
      </c>
      <c r="J482" s="17">
        <v>0.78321678321678323</v>
      </c>
      <c r="K482">
        <v>42</v>
      </c>
      <c r="L482">
        <v>36</v>
      </c>
      <c r="M482" s="17">
        <v>0.8571428571428571</v>
      </c>
      <c r="N482" s="25">
        <v>11057.75</v>
      </c>
      <c r="O482" s="25">
        <v>2408</v>
      </c>
      <c r="P482" s="25">
        <v>8190</v>
      </c>
      <c r="Q482" s="25">
        <v>21655.75</v>
      </c>
      <c r="R482" s="18">
        <v>96.677455357142861</v>
      </c>
    </row>
    <row r="483" spans="1:18" x14ac:dyDescent="0.35">
      <c r="A483" s="13">
        <v>45213</v>
      </c>
      <c r="B483">
        <v>2023</v>
      </c>
      <c r="C483">
        <v>10</v>
      </c>
      <c r="D483" t="s">
        <v>3</v>
      </c>
      <c r="E483" t="s">
        <v>76</v>
      </c>
      <c r="F483">
        <v>239</v>
      </c>
      <c r="G483">
        <v>239</v>
      </c>
      <c r="H483">
        <v>0</v>
      </c>
      <c r="I483">
        <v>12</v>
      </c>
      <c r="J483" s="17">
        <v>0.76602564102564108</v>
      </c>
      <c r="K483">
        <v>42</v>
      </c>
      <c r="L483">
        <v>37</v>
      </c>
      <c r="M483" s="17">
        <v>0.88095238095238093</v>
      </c>
      <c r="N483" s="25">
        <v>12063</v>
      </c>
      <c r="O483" s="25">
        <v>2569.25</v>
      </c>
      <c r="P483" s="25">
        <v>8190</v>
      </c>
      <c r="Q483" s="25">
        <v>22822.25</v>
      </c>
      <c r="R483" s="18">
        <v>95.490585774058573</v>
      </c>
    </row>
    <row r="484" spans="1:18" x14ac:dyDescent="0.35">
      <c r="A484" s="13">
        <v>45220</v>
      </c>
      <c r="B484">
        <v>2023</v>
      </c>
      <c r="C484">
        <v>10</v>
      </c>
      <c r="D484" t="s">
        <v>3</v>
      </c>
      <c r="E484" t="s">
        <v>76</v>
      </c>
      <c r="F484">
        <v>249</v>
      </c>
      <c r="G484">
        <v>249</v>
      </c>
      <c r="H484">
        <v>0</v>
      </c>
      <c r="I484">
        <v>13</v>
      </c>
      <c r="J484" s="17">
        <v>0.73668639053254437</v>
      </c>
      <c r="K484">
        <v>42</v>
      </c>
      <c r="L484">
        <v>40</v>
      </c>
      <c r="M484" s="17">
        <v>0.95238095238095233</v>
      </c>
      <c r="N484" s="25">
        <v>13068.25</v>
      </c>
      <c r="O484" s="25">
        <v>2676.75</v>
      </c>
      <c r="P484" s="25">
        <v>8190</v>
      </c>
      <c r="Q484" s="25">
        <v>23935</v>
      </c>
      <c r="R484" s="18">
        <v>96.124497991967871</v>
      </c>
    </row>
    <row r="485" spans="1:18" x14ac:dyDescent="0.35">
      <c r="A485" s="13">
        <v>45227</v>
      </c>
      <c r="B485">
        <v>2023</v>
      </c>
      <c r="C485">
        <v>10</v>
      </c>
      <c r="D485" t="s">
        <v>3</v>
      </c>
      <c r="E485" t="s">
        <v>76</v>
      </c>
      <c r="F485">
        <v>265</v>
      </c>
      <c r="G485">
        <v>265</v>
      </c>
      <c r="H485">
        <v>0</v>
      </c>
      <c r="I485">
        <v>13</v>
      </c>
      <c r="J485" s="17">
        <v>0.78402366863905326</v>
      </c>
      <c r="K485">
        <v>42</v>
      </c>
      <c r="L485">
        <v>37</v>
      </c>
      <c r="M485" s="17">
        <v>0.88095238095238093</v>
      </c>
      <c r="N485" s="25">
        <v>13068.25</v>
      </c>
      <c r="O485" s="25">
        <v>2848.75</v>
      </c>
      <c r="P485" s="25">
        <v>8190</v>
      </c>
      <c r="Q485" s="25">
        <v>24107</v>
      </c>
      <c r="R485" s="18">
        <v>90.969811320754715</v>
      </c>
    </row>
    <row r="486" spans="1:18" x14ac:dyDescent="0.35">
      <c r="A486" s="13">
        <v>45234</v>
      </c>
      <c r="B486">
        <v>2023</v>
      </c>
      <c r="C486">
        <v>11</v>
      </c>
      <c r="D486" t="s">
        <v>3</v>
      </c>
      <c r="E486" t="s">
        <v>76</v>
      </c>
      <c r="F486">
        <v>274</v>
      </c>
      <c r="G486">
        <v>272</v>
      </c>
      <c r="H486">
        <v>2</v>
      </c>
      <c r="I486">
        <v>14</v>
      </c>
      <c r="J486" s="17">
        <v>0.74725274725274726</v>
      </c>
      <c r="K486">
        <v>42</v>
      </c>
      <c r="L486">
        <v>42</v>
      </c>
      <c r="M486" s="17">
        <v>1</v>
      </c>
      <c r="N486" s="25">
        <v>14073.5</v>
      </c>
      <c r="O486" s="25">
        <v>2924</v>
      </c>
      <c r="P486" s="25">
        <v>8190</v>
      </c>
      <c r="Q486" s="25">
        <v>25187.5</v>
      </c>
      <c r="R486" s="18">
        <v>92.601102941176464</v>
      </c>
    </row>
    <row r="487" spans="1:18" x14ac:dyDescent="0.35">
      <c r="A487" s="13">
        <v>45241</v>
      </c>
      <c r="B487">
        <v>2023</v>
      </c>
      <c r="C487">
        <v>11</v>
      </c>
      <c r="D487" t="s">
        <v>3</v>
      </c>
      <c r="E487" t="s">
        <v>76</v>
      </c>
      <c r="F487">
        <v>269</v>
      </c>
      <c r="G487">
        <v>271</v>
      </c>
      <c r="H487">
        <v>0</v>
      </c>
      <c r="I487">
        <v>14</v>
      </c>
      <c r="J487" s="17">
        <v>0.74450549450549453</v>
      </c>
      <c r="K487">
        <v>42</v>
      </c>
      <c r="L487">
        <v>36</v>
      </c>
      <c r="M487" s="17">
        <v>0.8571428571428571</v>
      </c>
      <c r="N487" s="25">
        <v>14073.5</v>
      </c>
      <c r="O487" s="25">
        <v>2913.25</v>
      </c>
      <c r="P487" s="25">
        <v>8190</v>
      </c>
      <c r="Q487" s="25">
        <v>25176.75</v>
      </c>
      <c r="R487" s="18">
        <v>92.90313653136532</v>
      </c>
    </row>
    <row r="488" spans="1:18" x14ac:dyDescent="0.35">
      <c r="A488" s="13">
        <v>45248</v>
      </c>
      <c r="B488">
        <v>2023</v>
      </c>
      <c r="C488">
        <v>11</v>
      </c>
      <c r="D488" t="s">
        <v>3</v>
      </c>
      <c r="E488" t="s">
        <v>76</v>
      </c>
      <c r="F488">
        <v>300</v>
      </c>
      <c r="G488">
        <v>300</v>
      </c>
      <c r="H488">
        <v>0</v>
      </c>
      <c r="I488">
        <v>14</v>
      </c>
      <c r="J488" s="17">
        <v>0.82417582417582413</v>
      </c>
      <c r="K488">
        <v>42</v>
      </c>
      <c r="L488">
        <v>39</v>
      </c>
      <c r="M488" s="17">
        <v>0.9285714285714286</v>
      </c>
      <c r="N488" s="25">
        <v>14073.5</v>
      </c>
      <c r="O488" s="25">
        <v>3225</v>
      </c>
      <c r="P488" s="25">
        <v>8190</v>
      </c>
      <c r="Q488" s="25">
        <v>25488.5</v>
      </c>
      <c r="R488" s="18">
        <v>84.961666666666673</v>
      </c>
    </row>
    <row r="489" spans="1:18" x14ac:dyDescent="0.35">
      <c r="A489" s="13">
        <v>45255</v>
      </c>
      <c r="B489">
        <v>2023</v>
      </c>
      <c r="C489">
        <v>11</v>
      </c>
      <c r="D489" t="s">
        <v>3</v>
      </c>
      <c r="E489" t="s">
        <v>76</v>
      </c>
      <c r="F489">
        <v>326</v>
      </c>
      <c r="G489">
        <v>322</v>
      </c>
      <c r="H489">
        <v>4</v>
      </c>
      <c r="I489">
        <v>15</v>
      </c>
      <c r="J489" s="17">
        <v>0.82564102564102559</v>
      </c>
      <c r="K489">
        <v>42</v>
      </c>
      <c r="L489">
        <v>37</v>
      </c>
      <c r="M489" s="17">
        <v>0.88095238095238093</v>
      </c>
      <c r="N489" s="25">
        <v>15078.75</v>
      </c>
      <c r="O489" s="25">
        <v>3461.5</v>
      </c>
      <c r="P489" s="25">
        <v>8190</v>
      </c>
      <c r="Q489" s="25">
        <v>26730.25</v>
      </c>
      <c r="R489" s="18">
        <v>83.013198757763973</v>
      </c>
    </row>
    <row r="490" spans="1:18" x14ac:dyDescent="0.35">
      <c r="A490" s="13">
        <v>45262</v>
      </c>
      <c r="B490">
        <v>2023</v>
      </c>
      <c r="C490">
        <v>12</v>
      </c>
      <c r="D490" t="s">
        <v>3</v>
      </c>
      <c r="E490" t="s">
        <v>76</v>
      </c>
      <c r="F490">
        <v>350</v>
      </c>
      <c r="G490">
        <v>338</v>
      </c>
      <c r="H490">
        <v>16</v>
      </c>
      <c r="I490">
        <v>16</v>
      </c>
      <c r="J490" s="17">
        <v>0.8125</v>
      </c>
      <c r="K490">
        <v>42</v>
      </c>
      <c r="L490">
        <v>38</v>
      </c>
      <c r="M490" s="17">
        <v>0.90476190476190477</v>
      </c>
      <c r="N490" s="25">
        <v>16084</v>
      </c>
      <c r="O490" s="25">
        <v>3633.5</v>
      </c>
      <c r="P490" s="25">
        <v>8190</v>
      </c>
      <c r="Q490" s="25">
        <v>27907.5</v>
      </c>
      <c r="R490" s="18">
        <v>82.566568047337284</v>
      </c>
    </row>
    <row r="491" spans="1:18" x14ac:dyDescent="0.35">
      <c r="A491" s="13">
        <v>45269</v>
      </c>
      <c r="B491">
        <v>2023</v>
      </c>
      <c r="C491">
        <v>12</v>
      </c>
      <c r="D491" t="s">
        <v>3</v>
      </c>
      <c r="E491" t="s">
        <v>76</v>
      </c>
      <c r="F491">
        <v>399</v>
      </c>
      <c r="G491">
        <v>368</v>
      </c>
      <c r="H491">
        <v>47</v>
      </c>
      <c r="I491">
        <v>17</v>
      </c>
      <c r="J491" s="17">
        <v>0.83257918552036203</v>
      </c>
      <c r="K491">
        <v>45</v>
      </c>
      <c r="L491">
        <v>41</v>
      </c>
      <c r="M491" s="17">
        <v>0.91111111111111109</v>
      </c>
      <c r="N491" s="25">
        <v>17089.25</v>
      </c>
      <c r="O491" s="25">
        <v>3956</v>
      </c>
      <c r="P491" s="25">
        <v>8775</v>
      </c>
      <c r="Q491" s="25">
        <v>29820.25</v>
      </c>
      <c r="R491" s="18">
        <v>81.033288043478265</v>
      </c>
    </row>
    <row r="492" spans="1:18" x14ac:dyDescent="0.35">
      <c r="A492" s="13">
        <v>45276</v>
      </c>
      <c r="B492">
        <v>2023</v>
      </c>
      <c r="C492">
        <v>12</v>
      </c>
      <c r="D492" t="s">
        <v>3</v>
      </c>
      <c r="E492" t="s">
        <v>76</v>
      </c>
      <c r="F492">
        <v>385</v>
      </c>
      <c r="G492">
        <v>364</v>
      </c>
      <c r="H492">
        <v>68</v>
      </c>
      <c r="I492">
        <v>18</v>
      </c>
      <c r="J492" s="17">
        <v>0.77777777777777779</v>
      </c>
      <c r="K492">
        <v>45</v>
      </c>
      <c r="L492">
        <v>40</v>
      </c>
      <c r="M492" s="17">
        <v>0.88888888888888884</v>
      </c>
      <c r="N492" s="25">
        <v>18094.5</v>
      </c>
      <c r="O492" s="25">
        <v>3913</v>
      </c>
      <c r="P492" s="25">
        <v>8775</v>
      </c>
      <c r="Q492" s="25">
        <v>30782.5</v>
      </c>
      <c r="R492" s="18">
        <v>84.567307692307693</v>
      </c>
    </row>
    <row r="493" spans="1:18" x14ac:dyDescent="0.35">
      <c r="A493" s="13">
        <v>45283</v>
      </c>
      <c r="B493">
        <v>2023</v>
      </c>
      <c r="C493">
        <v>12</v>
      </c>
      <c r="D493" t="s">
        <v>3</v>
      </c>
      <c r="E493" t="s">
        <v>76</v>
      </c>
      <c r="F493">
        <v>331</v>
      </c>
      <c r="G493">
        <v>356</v>
      </c>
      <c r="H493">
        <v>43</v>
      </c>
      <c r="I493">
        <v>17</v>
      </c>
      <c r="J493" s="17">
        <v>0.80542986425339369</v>
      </c>
      <c r="K493">
        <v>45</v>
      </c>
      <c r="L493">
        <v>40</v>
      </c>
      <c r="M493" s="17">
        <v>0.88888888888888884</v>
      </c>
      <c r="N493" s="25">
        <v>17089.25</v>
      </c>
      <c r="O493" s="25">
        <v>3827</v>
      </c>
      <c r="P493" s="25">
        <v>8775</v>
      </c>
      <c r="Q493" s="25">
        <v>29691.25</v>
      </c>
      <c r="R493" s="18">
        <v>83.402387640449433</v>
      </c>
    </row>
    <row r="494" spans="1:18" x14ac:dyDescent="0.35">
      <c r="A494" s="13">
        <v>45290</v>
      </c>
      <c r="B494">
        <v>2023</v>
      </c>
      <c r="C494">
        <v>12</v>
      </c>
      <c r="D494" t="s">
        <v>3</v>
      </c>
      <c r="E494" t="s">
        <v>76</v>
      </c>
      <c r="F494">
        <v>283</v>
      </c>
      <c r="G494">
        <v>310</v>
      </c>
      <c r="H494">
        <v>16</v>
      </c>
      <c r="I494">
        <v>15</v>
      </c>
      <c r="J494" s="17">
        <v>0.79487179487179482</v>
      </c>
      <c r="K494">
        <v>45</v>
      </c>
      <c r="L494">
        <v>40</v>
      </c>
      <c r="M494" s="17">
        <v>0.88888888888888884</v>
      </c>
      <c r="N494" s="25">
        <v>15078.75</v>
      </c>
      <c r="O494" s="25">
        <v>3332.5</v>
      </c>
      <c r="P494" s="25">
        <v>8775</v>
      </c>
      <c r="Q494" s="25">
        <v>27186.25</v>
      </c>
      <c r="R494" s="18">
        <v>87.697580645161295</v>
      </c>
    </row>
    <row r="495" spans="1:18" x14ac:dyDescent="0.35">
      <c r="A495" s="13">
        <v>45297</v>
      </c>
      <c r="B495">
        <v>2024</v>
      </c>
      <c r="C495">
        <v>1</v>
      </c>
      <c r="D495" t="s">
        <v>3</v>
      </c>
      <c r="E495" t="s">
        <v>76</v>
      </c>
      <c r="F495">
        <v>238</v>
      </c>
      <c r="G495">
        <v>254</v>
      </c>
      <c r="H495">
        <v>0</v>
      </c>
      <c r="I495">
        <v>13</v>
      </c>
      <c r="J495" s="17">
        <v>0.75147928994082835</v>
      </c>
      <c r="K495">
        <v>45</v>
      </c>
      <c r="L495">
        <v>39</v>
      </c>
      <c r="M495" s="17">
        <v>0.8666666666666667</v>
      </c>
      <c r="N495" s="25">
        <v>13068.25</v>
      </c>
      <c r="O495" s="25">
        <v>2730.5</v>
      </c>
      <c r="P495" s="25">
        <v>8775</v>
      </c>
      <c r="Q495" s="25">
        <v>24573.75</v>
      </c>
      <c r="R495" s="18">
        <v>96.747047244094489</v>
      </c>
    </row>
    <row r="496" spans="1:18" x14ac:dyDescent="0.35">
      <c r="A496" s="13">
        <v>45304</v>
      </c>
      <c r="B496">
        <v>2024</v>
      </c>
      <c r="C496">
        <v>1</v>
      </c>
      <c r="D496" t="s">
        <v>3</v>
      </c>
      <c r="E496" t="s">
        <v>76</v>
      </c>
      <c r="F496">
        <v>191</v>
      </c>
      <c r="G496">
        <v>191</v>
      </c>
      <c r="H496">
        <v>0</v>
      </c>
      <c r="I496">
        <v>11</v>
      </c>
      <c r="J496" s="17">
        <v>0.66783216783216781</v>
      </c>
      <c r="K496">
        <v>45</v>
      </c>
      <c r="L496">
        <v>36</v>
      </c>
      <c r="M496" s="17">
        <v>0.8</v>
      </c>
      <c r="N496" s="25">
        <v>11057.75</v>
      </c>
      <c r="O496" s="25">
        <v>2053.25</v>
      </c>
      <c r="P496" s="25">
        <v>8775</v>
      </c>
      <c r="Q496" s="25">
        <v>21886</v>
      </c>
      <c r="R496" s="18">
        <v>114.58638743455499</v>
      </c>
    </row>
    <row r="497" spans="1:18" x14ac:dyDescent="0.35">
      <c r="A497" s="13">
        <v>45311</v>
      </c>
      <c r="B497">
        <v>2024</v>
      </c>
      <c r="C497">
        <v>1</v>
      </c>
      <c r="D497" t="s">
        <v>3</v>
      </c>
      <c r="E497" t="s">
        <v>76</v>
      </c>
      <c r="F497">
        <v>214</v>
      </c>
      <c r="G497">
        <v>214</v>
      </c>
      <c r="H497">
        <v>0</v>
      </c>
      <c r="I497">
        <v>11</v>
      </c>
      <c r="J497" s="17">
        <v>0.74825174825174823</v>
      </c>
      <c r="K497">
        <v>45</v>
      </c>
      <c r="L497">
        <v>42</v>
      </c>
      <c r="M497" s="17">
        <v>0.93333333333333335</v>
      </c>
      <c r="N497" s="25">
        <v>11057.75</v>
      </c>
      <c r="O497" s="25">
        <v>2300.5</v>
      </c>
      <c r="P497" s="25">
        <v>8775</v>
      </c>
      <c r="Q497" s="25">
        <v>22133.25</v>
      </c>
      <c r="R497" s="18">
        <v>103.42640186915889</v>
      </c>
    </row>
    <row r="498" spans="1:18" x14ac:dyDescent="0.35">
      <c r="A498" s="13">
        <v>45318</v>
      </c>
      <c r="B498">
        <v>2024</v>
      </c>
      <c r="C498">
        <v>1</v>
      </c>
      <c r="D498" t="s">
        <v>3</v>
      </c>
      <c r="E498" t="s">
        <v>76</v>
      </c>
      <c r="F498">
        <v>212</v>
      </c>
      <c r="G498">
        <v>212</v>
      </c>
      <c r="H498">
        <v>0</v>
      </c>
      <c r="I498">
        <v>11</v>
      </c>
      <c r="J498" s="17">
        <v>0.74125874125874125</v>
      </c>
      <c r="K498">
        <v>45</v>
      </c>
      <c r="L498">
        <v>38</v>
      </c>
      <c r="M498" s="17">
        <v>0.84444444444444444</v>
      </c>
      <c r="N498" s="25">
        <v>11057.75</v>
      </c>
      <c r="O498" s="25">
        <v>2279</v>
      </c>
      <c r="P498" s="25">
        <v>8775</v>
      </c>
      <c r="Q498" s="25">
        <v>22111.75</v>
      </c>
      <c r="R498" s="18">
        <v>104.30070754716979</v>
      </c>
    </row>
    <row r="499" spans="1:18" x14ac:dyDescent="0.35">
      <c r="A499" s="13">
        <v>45325</v>
      </c>
      <c r="B499">
        <v>2024</v>
      </c>
      <c r="C499">
        <v>2</v>
      </c>
      <c r="D499" t="s">
        <v>3</v>
      </c>
      <c r="E499" t="s">
        <v>76</v>
      </c>
      <c r="F499">
        <v>236</v>
      </c>
      <c r="G499">
        <v>236</v>
      </c>
      <c r="H499">
        <v>0</v>
      </c>
      <c r="I499">
        <v>11</v>
      </c>
      <c r="J499" s="17">
        <v>0.82517482517482521</v>
      </c>
      <c r="K499">
        <v>45</v>
      </c>
      <c r="L499">
        <v>41</v>
      </c>
      <c r="M499" s="17">
        <v>0.91111111111111109</v>
      </c>
      <c r="N499" s="25">
        <v>11057.75</v>
      </c>
      <c r="O499" s="25">
        <v>2537</v>
      </c>
      <c r="P499" s="25">
        <v>8775</v>
      </c>
      <c r="Q499" s="25">
        <v>22369.75</v>
      </c>
      <c r="R499" s="18">
        <v>94.787076271186436</v>
      </c>
    </row>
    <row r="500" spans="1:18" x14ac:dyDescent="0.35">
      <c r="A500" s="13">
        <v>45332</v>
      </c>
      <c r="B500">
        <v>2024</v>
      </c>
      <c r="C500">
        <v>2</v>
      </c>
      <c r="D500" t="s">
        <v>3</v>
      </c>
      <c r="E500" t="s">
        <v>76</v>
      </c>
      <c r="F500">
        <v>236</v>
      </c>
      <c r="G500">
        <v>236</v>
      </c>
      <c r="H500">
        <v>0</v>
      </c>
      <c r="I500">
        <v>13</v>
      </c>
      <c r="J500" s="17">
        <v>0.69822485207100593</v>
      </c>
      <c r="K500">
        <v>45</v>
      </c>
      <c r="L500">
        <v>43</v>
      </c>
      <c r="M500" s="17">
        <v>0.9555555555555556</v>
      </c>
      <c r="N500" s="25">
        <v>13068.25</v>
      </c>
      <c r="O500" s="25">
        <v>2537</v>
      </c>
      <c r="P500" s="25">
        <v>8775</v>
      </c>
      <c r="Q500" s="25">
        <v>24380.25</v>
      </c>
      <c r="R500" s="18">
        <v>103.30614406779659</v>
      </c>
    </row>
    <row r="501" spans="1:18" x14ac:dyDescent="0.35">
      <c r="A501" s="13">
        <v>45339</v>
      </c>
      <c r="B501">
        <v>2024</v>
      </c>
      <c r="C501">
        <v>2</v>
      </c>
      <c r="D501" t="s">
        <v>3</v>
      </c>
      <c r="E501" t="s">
        <v>76</v>
      </c>
      <c r="F501">
        <v>255</v>
      </c>
      <c r="G501">
        <v>255</v>
      </c>
      <c r="H501">
        <v>0</v>
      </c>
      <c r="I501">
        <v>13</v>
      </c>
      <c r="J501" s="17">
        <v>0.75443786982248517</v>
      </c>
      <c r="K501">
        <v>45</v>
      </c>
      <c r="L501">
        <v>43</v>
      </c>
      <c r="M501" s="17">
        <v>0.9555555555555556</v>
      </c>
      <c r="N501" s="25">
        <v>13068.25</v>
      </c>
      <c r="O501" s="25">
        <v>2741.25</v>
      </c>
      <c r="P501" s="25">
        <v>8775</v>
      </c>
      <c r="Q501" s="25">
        <v>24584.5</v>
      </c>
      <c r="R501" s="18">
        <v>96.409803921568624</v>
      </c>
    </row>
    <row r="502" spans="1:18" x14ac:dyDescent="0.35">
      <c r="A502" s="13">
        <v>45346</v>
      </c>
      <c r="B502">
        <v>2024</v>
      </c>
      <c r="C502">
        <v>2</v>
      </c>
      <c r="D502" t="s">
        <v>3</v>
      </c>
      <c r="E502" t="s">
        <v>76</v>
      </c>
      <c r="F502">
        <v>258</v>
      </c>
      <c r="G502">
        <v>258</v>
      </c>
      <c r="H502">
        <v>0</v>
      </c>
      <c r="I502">
        <v>13</v>
      </c>
      <c r="J502" s="17">
        <v>0.76331360946745563</v>
      </c>
      <c r="K502">
        <v>48</v>
      </c>
      <c r="L502">
        <v>44</v>
      </c>
      <c r="M502" s="17">
        <v>0.91666666666666663</v>
      </c>
      <c r="N502" s="25">
        <v>13068.25</v>
      </c>
      <c r="O502" s="25">
        <v>2773.5</v>
      </c>
      <c r="P502" s="25">
        <v>9360</v>
      </c>
      <c r="Q502" s="25">
        <v>25201.75</v>
      </c>
      <c r="R502" s="18">
        <v>97.681201550387598</v>
      </c>
    </row>
    <row r="503" spans="1:18" x14ac:dyDescent="0.35">
      <c r="A503" s="13">
        <v>45353</v>
      </c>
      <c r="B503">
        <v>2024</v>
      </c>
      <c r="C503">
        <v>3</v>
      </c>
      <c r="D503" t="s">
        <v>3</v>
      </c>
      <c r="E503" t="s">
        <v>76</v>
      </c>
      <c r="F503">
        <v>257</v>
      </c>
      <c r="G503">
        <v>257</v>
      </c>
      <c r="H503">
        <v>0</v>
      </c>
      <c r="I503">
        <v>14</v>
      </c>
      <c r="J503" s="17">
        <v>0.70604395604395609</v>
      </c>
      <c r="K503">
        <v>48</v>
      </c>
      <c r="L503">
        <v>45</v>
      </c>
      <c r="M503" s="17">
        <v>0.9375</v>
      </c>
      <c r="N503" s="25">
        <v>14073.5</v>
      </c>
      <c r="O503" s="25">
        <v>2762.75</v>
      </c>
      <c r="P503" s="25">
        <v>9360</v>
      </c>
      <c r="Q503" s="25">
        <v>26196.25</v>
      </c>
      <c r="R503" s="18">
        <v>101.9309338521401</v>
      </c>
    </row>
    <row r="504" spans="1:18" x14ac:dyDescent="0.35">
      <c r="A504" s="13">
        <v>45360</v>
      </c>
      <c r="B504">
        <v>2024</v>
      </c>
      <c r="C504">
        <v>3</v>
      </c>
      <c r="D504" t="s">
        <v>3</v>
      </c>
      <c r="E504" t="s">
        <v>76</v>
      </c>
      <c r="F504">
        <v>273</v>
      </c>
      <c r="G504">
        <v>273</v>
      </c>
      <c r="H504">
        <v>0</v>
      </c>
      <c r="I504">
        <v>14</v>
      </c>
      <c r="J504" s="17">
        <v>0.75</v>
      </c>
      <c r="K504">
        <v>48</v>
      </c>
      <c r="L504">
        <v>46</v>
      </c>
      <c r="M504" s="17">
        <v>0.95833333333333337</v>
      </c>
      <c r="N504" s="25">
        <v>14073.5</v>
      </c>
      <c r="O504" s="25">
        <v>2934.75</v>
      </c>
      <c r="P504" s="25">
        <v>9360</v>
      </c>
      <c r="Q504" s="25">
        <v>26368.25</v>
      </c>
      <c r="R504" s="18">
        <v>96.586996336996336</v>
      </c>
    </row>
    <row r="505" spans="1:18" x14ac:dyDescent="0.35">
      <c r="A505" s="13">
        <v>45367</v>
      </c>
      <c r="B505">
        <v>2024</v>
      </c>
      <c r="C505">
        <v>3</v>
      </c>
      <c r="D505" t="s">
        <v>3</v>
      </c>
      <c r="E505" t="s">
        <v>76</v>
      </c>
      <c r="F505">
        <v>277</v>
      </c>
      <c r="G505">
        <v>277</v>
      </c>
      <c r="H505">
        <v>0</v>
      </c>
      <c r="I505">
        <v>13</v>
      </c>
      <c r="J505" s="17">
        <v>0.81952662721893488</v>
      </c>
      <c r="K505">
        <v>48</v>
      </c>
      <c r="L505">
        <v>46</v>
      </c>
      <c r="M505" s="17">
        <v>0.95833333333333337</v>
      </c>
      <c r="N505" s="25">
        <v>13068.25</v>
      </c>
      <c r="O505" s="25">
        <v>2977.75</v>
      </c>
      <c r="P505" s="25">
        <v>9360</v>
      </c>
      <c r="Q505" s="25">
        <v>25406</v>
      </c>
      <c r="R505" s="18">
        <v>91.718411552346566</v>
      </c>
    </row>
    <row r="506" spans="1:18" x14ac:dyDescent="0.35">
      <c r="A506" s="13">
        <v>45374</v>
      </c>
      <c r="B506">
        <v>2024</v>
      </c>
      <c r="C506">
        <v>3</v>
      </c>
      <c r="D506" t="s">
        <v>3</v>
      </c>
      <c r="E506" t="s">
        <v>76</v>
      </c>
      <c r="F506">
        <v>283</v>
      </c>
      <c r="G506">
        <v>283</v>
      </c>
      <c r="H506">
        <v>0</v>
      </c>
      <c r="I506">
        <v>14</v>
      </c>
      <c r="J506" s="17">
        <v>0.77747252747252749</v>
      </c>
      <c r="K506">
        <v>48</v>
      </c>
      <c r="L506">
        <v>44</v>
      </c>
      <c r="M506" s="17">
        <v>0.91666666666666663</v>
      </c>
      <c r="N506" s="25">
        <v>14073.5</v>
      </c>
      <c r="O506" s="25">
        <v>3042.25</v>
      </c>
      <c r="P506" s="25">
        <v>9360</v>
      </c>
      <c r="Q506" s="25">
        <v>26475.75</v>
      </c>
      <c r="R506" s="18">
        <v>93.553886925795055</v>
      </c>
    </row>
    <row r="507" spans="1:18" x14ac:dyDescent="0.35">
      <c r="A507" s="13">
        <v>45381</v>
      </c>
      <c r="B507">
        <v>2024</v>
      </c>
      <c r="C507">
        <v>3</v>
      </c>
      <c r="D507" t="s">
        <v>3</v>
      </c>
      <c r="E507" t="s">
        <v>76</v>
      </c>
      <c r="F507">
        <v>269</v>
      </c>
      <c r="G507">
        <v>269</v>
      </c>
      <c r="H507">
        <v>0</v>
      </c>
      <c r="I507">
        <v>14</v>
      </c>
      <c r="J507" s="17">
        <v>0.73901098901098905</v>
      </c>
      <c r="K507">
        <v>48</v>
      </c>
      <c r="L507">
        <v>45</v>
      </c>
      <c r="M507" s="17">
        <v>0.9375</v>
      </c>
      <c r="N507" s="25">
        <v>14073.5</v>
      </c>
      <c r="O507" s="25">
        <v>2891.75</v>
      </c>
      <c r="P507" s="25">
        <v>9360</v>
      </c>
      <c r="Q507" s="25">
        <v>26325.25</v>
      </c>
      <c r="R507" s="18">
        <v>97.863382899628249</v>
      </c>
    </row>
    <row r="508" spans="1:18" x14ac:dyDescent="0.35">
      <c r="A508" s="13">
        <v>45388</v>
      </c>
      <c r="B508">
        <v>2024</v>
      </c>
      <c r="C508">
        <v>4</v>
      </c>
      <c r="D508" t="s">
        <v>3</v>
      </c>
      <c r="E508" t="s">
        <v>76</v>
      </c>
      <c r="F508">
        <v>278</v>
      </c>
      <c r="G508">
        <v>278</v>
      </c>
      <c r="H508">
        <v>0</v>
      </c>
      <c r="I508">
        <v>14</v>
      </c>
      <c r="J508" s="17">
        <v>0.76373626373626369</v>
      </c>
      <c r="K508">
        <v>48</v>
      </c>
      <c r="L508">
        <v>45</v>
      </c>
      <c r="M508" s="17">
        <v>0.9375</v>
      </c>
      <c r="N508" s="25">
        <v>14073.5</v>
      </c>
      <c r="O508" s="25">
        <v>2988.5</v>
      </c>
      <c r="P508" s="25">
        <v>9360</v>
      </c>
      <c r="Q508" s="25">
        <v>26422</v>
      </c>
      <c r="R508" s="18">
        <v>95.043165467625897</v>
      </c>
    </row>
    <row r="509" spans="1:18" x14ac:dyDescent="0.35">
      <c r="A509" s="13">
        <v>45395</v>
      </c>
      <c r="B509">
        <v>2024</v>
      </c>
      <c r="C509">
        <v>4</v>
      </c>
      <c r="D509" t="s">
        <v>3</v>
      </c>
      <c r="E509" t="s">
        <v>76</v>
      </c>
      <c r="F509">
        <v>281</v>
      </c>
      <c r="G509">
        <v>281</v>
      </c>
      <c r="H509">
        <v>0</v>
      </c>
      <c r="I509">
        <v>14</v>
      </c>
      <c r="J509" s="17">
        <v>0.77197802197802201</v>
      </c>
      <c r="K509">
        <v>48</v>
      </c>
      <c r="L509">
        <v>46</v>
      </c>
      <c r="M509" s="17">
        <v>0.95833333333333337</v>
      </c>
      <c r="N509" s="25">
        <v>14073.5</v>
      </c>
      <c r="O509" s="25">
        <v>3020.75</v>
      </c>
      <c r="P509" s="25">
        <v>9360</v>
      </c>
      <c r="Q509" s="25">
        <v>26454.25</v>
      </c>
      <c r="R509" s="18">
        <v>94.143238434163706</v>
      </c>
    </row>
    <row r="510" spans="1:18" x14ac:dyDescent="0.35">
      <c r="A510" s="13">
        <v>45402</v>
      </c>
      <c r="B510">
        <v>2024</v>
      </c>
      <c r="C510">
        <v>4</v>
      </c>
      <c r="D510" t="s">
        <v>3</v>
      </c>
      <c r="E510" t="s">
        <v>76</v>
      </c>
      <c r="F510">
        <v>271</v>
      </c>
      <c r="G510">
        <v>271</v>
      </c>
      <c r="H510">
        <v>0</v>
      </c>
      <c r="I510">
        <v>14</v>
      </c>
      <c r="J510" s="17">
        <v>0.74450549450549453</v>
      </c>
      <c r="K510">
        <v>48</v>
      </c>
      <c r="L510">
        <v>43</v>
      </c>
      <c r="M510" s="17">
        <v>0.89583333333333337</v>
      </c>
      <c r="N510" s="25">
        <v>14073.5</v>
      </c>
      <c r="O510" s="25">
        <v>2913.25</v>
      </c>
      <c r="P510" s="25">
        <v>9360</v>
      </c>
      <c r="Q510" s="25">
        <v>26346.75</v>
      </c>
      <c r="R510" s="18">
        <v>97.220479704797043</v>
      </c>
    </row>
    <row r="511" spans="1:18" x14ac:dyDescent="0.35">
      <c r="A511" s="13">
        <v>45409</v>
      </c>
      <c r="B511">
        <v>2024</v>
      </c>
      <c r="C511">
        <v>4</v>
      </c>
      <c r="D511" t="s">
        <v>3</v>
      </c>
      <c r="E511" t="s">
        <v>76</v>
      </c>
      <c r="F511">
        <v>287</v>
      </c>
      <c r="G511">
        <v>287</v>
      </c>
      <c r="H511">
        <v>0</v>
      </c>
      <c r="I511">
        <v>14</v>
      </c>
      <c r="J511" s="17">
        <v>0.78846153846153844</v>
      </c>
      <c r="K511">
        <v>48</v>
      </c>
      <c r="L511">
        <v>46</v>
      </c>
      <c r="M511" s="17">
        <v>0.95833333333333337</v>
      </c>
      <c r="N511" s="25">
        <v>14073.5</v>
      </c>
      <c r="O511" s="25">
        <v>3085.25</v>
      </c>
      <c r="P511" s="25">
        <v>9360</v>
      </c>
      <c r="Q511" s="25">
        <v>26518.75</v>
      </c>
      <c r="R511" s="18">
        <v>92.399825783972119</v>
      </c>
    </row>
    <row r="512" spans="1:18" x14ac:dyDescent="0.35">
      <c r="A512" s="13">
        <v>45416</v>
      </c>
      <c r="B512">
        <v>2024</v>
      </c>
      <c r="C512">
        <v>5</v>
      </c>
      <c r="D512" t="s">
        <v>3</v>
      </c>
      <c r="E512" t="s">
        <v>76</v>
      </c>
      <c r="F512">
        <v>298</v>
      </c>
      <c r="G512">
        <v>298</v>
      </c>
      <c r="H512">
        <v>0</v>
      </c>
      <c r="I512">
        <v>14</v>
      </c>
      <c r="J512" s="17">
        <v>0.81868131868131866</v>
      </c>
      <c r="K512">
        <v>48</v>
      </c>
      <c r="L512">
        <v>46</v>
      </c>
      <c r="M512" s="17">
        <v>0.95833333333333337</v>
      </c>
      <c r="N512" s="25">
        <v>14073.5</v>
      </c>
      <c r="O512" s="25">
        <v>3203.5</v>
      </c>
      <c r="P512" s="25">
        <v>9360</v>
      </c>
      <c r="Q512" s="25">
        <v>26637</v>
      </c>
      <c r="R512" s="18">
        <v>89.385906040268452</v>
      </c>
    </row>
    <row r="513" spans="1:18" x14ac:dyDescent="0.35">
      <c r="A513" s="13">
        <v>45423</v>
      </c>
      <c r="B513">
        <v>2024</v>
      </c>
      <c r="C513">
        <v>5</v>
      </c>
      <c r="D513" t="s">
        <v>3</v>
      </c>
      <c r="E513" t="s">
        <v>76</v>
      </c>
      <c r="F513">
        <v>304</v>
      </c>
      <c r="G513">
        <v>304</v>
      </c>
      <c r="H513">
        <v>0</v>
      </c>
      <c r="I513">
        <v>15</v>
      </c>
      <c r="J513" s="17">
        <v>0.77948717948717949</v>
      </c>
      <c r="K513">
        <v>48</v>
      </c>
      <c r="L513">
        <v>43</v>
      </c>
      <c r="M513" s="17">
        <v>0.89583333333333337</v>
      </c>
      <c r="N513" s="25">
        <v>15078.75</v>
      </c>
      <c r="O513" s="25">
        <v>3268</v>
      </c>
      <c r="P513" s="25">
        <v>9360</v>
      </c>
      <c r="Q513" s="25">
        <v>27706.75</v>
      </c>
      <c r="R513" s="18">
        <v>91.140625</v>
      </c>
    </row>
    <row r="514" spans="1:18" x14ac:dyDescent="0.35">
      <c r="A514" s="13">
        <v>45430</v>
      </c>
      <c r="B514">
        <v>2024</v>
      </c>
      <c r="C514">
        <v>5</v>
      </c>
      <c r="D514" t="s">
        <v>3</v>
      </c>
      <c r="E514" t="s">
        <v>76</v>
      </c>
      <c r="F514">
        <v>311</v>
      </c>
      <c r="G514">
        <v>311</v>
      </c>
      <c r="H514">
        <v>0</v>
      </c>
      <c r="I514">
        <v>16</v>
      </c>
      <c r="J514" s="17">
        <v>0.74759615384615385</v>
      </c>
      <c r="K514">
        <v>48</v>
      </c>
      <c r="L514">
        <v>46</v>
      </c>
      <c r="M514" s="17">
        <v>0.95833333333333337</v>
      </c>
      <c r="N514" s="25">
        <v>16084</v>
      </c>
      <c r="O514" s="25">
        <v>3343.25</v>
      </c>
      <c r="P514" s="25">
        <v>9360</v>
      </c>
      <c r="Q514" s="25">
        <v>28787.25</v>
      </c>
      <c r="R514" s="18">
        <v>92.563504823151121</v>
      </c>
    </row>
    <row r="515" spans="1:18" x14ac:dyDescent="0.35">
      <c r="A515" s="13">
        <v>45437</v>
      </c>
      <c r="B515">
        <v>2024</v>
      </c>
      <c r="C515">
        <v>5</v>
      </c>
      <c r="D515" t="s">
        <v>3</v>
      </c>
      <c r="E515" t="s">
        <v>76</v>
      </c>
      <c r="F515">
        <v>299</v>
      </c>
      <c r="G515">
        <v>299</v>
      </c>
      <c r="H515">
        <v>0</v>
      </c>
      <c r="I515">
        <v>15</v>
      </c>
      <c r="J515" s="17">
        <v>0.76666666666666672</v>
      </c>
      <c r="K515">
        <v>48</v>
      </c>
      <c r="L515">
        <v>45</v>
      </c>
      <c r="M515" s="17">
        <v>0.9375</v>
      </c>
      <c r="N515" s="25">
        <v>15078.75</v>
      </c>
      <c r="O515" s="25">
        <v>3214.25</v>
      </c>
      <c r="P515" s="25">
        <v>9360</v>
      </c>
      <c r="Q515" s="25">
        <v>27653</v>
      </c>
      <c r="R515" s="18">
        <v>92.484949832775925</v>
      </c>
    </row>
    <row r="516" spans="1:18" x14ac:dyDescent="0.35">
      <c r="A516" s="13">
        <v>45444</v>
      </c>
      <c r="B516">
        <v>2024</v>
      </c>
      <c r="C516">
        <v>6</v>
      </c>
      <c r="D516" t="s">
        <v>3</v>
      </c>
      <c r="E516" t="s">
        <v>76</v>
      </c>
      <c r="F516">
        <v>307</v>
      </c>
      <c r="G516">
        <v>307</v>
      </c>
      <c r="H516">
        <v>0</v>
      </c>
      <c r="I516">
        <v>15</v>
      </c>
      <c r="J516" s="17">
        <v>0.78717948717948716</v>
      </c>
      <c r="K516">
        <v>48</v>
      </c>
      <c r="L516">
        <v>41</v>
      </c>
      <c r="M516" s="17">
        <v>0.85416666666666663</v>
      </c>
      <c r="N516" s="25">
        <v>15078.75</v>
      </c>
      <c r="O516" s="25">
        <v>3300.25</v>
      </c>
      <c r="P516" s="25">
        <v>9360</v>
      </c>
      <c r="Q516" s="25">
        <v>27739</v>
      </c>
      <c r="R516" s="18">
        <v>90.355048859934854</v>
      </c>
    </row>
    <row r="517" spans="1:18" x14ac:dyDescent="0.35">
      <c r="A517" s="13">
        <v>45451</v>
      </c>
      <c r="B517">
        <v>2024</v>
      </c>
      <c r="C517">
        <v>6</v>
      </c>
      <c r="D517" t="s">
        <v>3</v>
      </c>
      <c r="E517" t="s">
        <v>76</v>
      </c>
      <c r="F517">
        <v>298</v>
      </c>
      <c r="G517">
        <v>298</v>
      </c>
      <c r="H517">
        <v>0</v>
      </c>
      <c r="I517">
        <v>16</v>
      </c>
      <c r="J517" s="17">
        <v>0.71634615384615385</v>
      </c>
      <c r="K517">
        <v>48</v>
      </c>
      <c r="L517">
        <v>47</v>
      </c>
      <c r="M517" s="17">
        <v>0.97916666666666663</v>
      </c>
      <c r="N517" s="25">
        <v>16084</v>
      </c>
      <c r="O517" s="25">
        <v>3203.5</v>
      </c>
      <c r="P517" s="25">
        <v>9360</v>
      </c>
      <c r="Q517" s="25">
        <v>28647.5</v>
      </c>
      <c r="R517" s="18">
        <v>96.132550335570471</v>
      </c>
    </row>
    <row r="518" spans="1:18" x14ac:dyDescent="0.35">
      <c r="A518" s="13">
        <v>45458</v>
      </c>
      <c r="B518">
        <v>2024</v>
      </c>
      <c r="C518">
        <v>6</v>
      </c>
      <c r="D518" t="s">
        <v>3</v>
      </c>
      <c r="E518" t="s">
        <v>76</v>
      </c>
      <c r="F518">
        <v>292</v>
      </c>
      <c r="G518">
        <v>292</v>
      </c>
      <c r="H518">
        <v>0</v>
      </c>
      <c r="I518">
        <v>14</v>
      </c>
      <c r="J518" s="17">
        <v>0.80219780219780223</v>
      </c>
      <c r="K518">
        <v>48</v>
      </c>
      <c r="L518">
        <v>45</v>
      </c>
      <c r="M518" s="17">
        <v>0.9375</v>
      </c>
      <c r="N518" s="25">
        <v>14073.5</v>
      </c>
      <c r="O518" s="25">
        <v>3139</v>
      </c>
      <c r="P518" s="25">
        <v>9360</v>
      </c>
      <c r="Q518" s="25">
        <v>26572.5</v>
      </c>
      <c r="R518" s="18">
        <v>91.001712328767127</v>
      </c>
    </row>
    <row r="519" spans="1:18" x14ac:dyDescent="0.35">
      <c r="A519" s="13">
        <v>45465</v>
      </c>
      <c r="B519">
        <v>2024</v>
      </c>
      <c r="C519">
        <v>6</v>
      </c>
      <c r="D519" t="s">
        <v>3</v>
      </c>
      <c r="E519" t="s">
        <v>76</v>
      </c>
      <c r="F519">
        <v>301</v>
      </c>
      <c r="G519">
        <v>301</v>
      </c>
      <c r="H519">
        <v>0</v>
      </c>
      <c r="I519">
        <v>14</v>
      </c>
      <c r="J519" s="17">
        <v>0.82692307692307687</v>
      </c>
      <c r="K519">
        <v>48</v>
      </c>
      <c r="L519">
        <v>44</v>
      </c>
      <c r="M519" s="17">
        <v>0.91666666666666663</v>
      </c>
      <c r="N519" s="25">
        <v>14073.5</v>
      </c>
      <c r="O519" s="25">
        <v>3235.75</v>
      </c>
      <c r="P519" s="25">
        <v>9360</v>
      </c>
      <c r="Q519" s="25">
        <v>26669.25</v>
      </c>
      <c r="R519" s="18">
        <v>88.602159468438543</v>
      </c>
    </row>
    <row r="520" spans="1:18" x14ac:dyDescent="0.35">
      <c r="A520" s="13">
        <v>45472</v>
      </c>
      <c r="B520">
        <v>2024</v>
      </c>
      <c r="C520">
        <v>6</v>
      </c>
      <c r="D520" t="s">
        <v>3</v>
      </c>
      <c r="E520" t="s">
        <v>76</v>
      </c>
      <c r="F520">
        <v>280</v>
      </c>
      <c r="G520">
        <v>280</v>
      </c>
      <c r="H520">
        <v>0</v>
      </c>
      <c r="I520">
        <v>14</v>
      </c>
      <c r="J520" s="17">
        <v>0.76923076923076927</v>
      </c>
      <c r="K520">
        <v>48</v>
      </c>
      <c r="L520">
        <v>46</v>
      </c>
      <c r="M520" s="17">
        <v>0.95833333333333337</v>
      </c>
      <c r="N520" s="25">
        <v>14073.5</v>
      </c>
      <c r="O520" s="25">
        <v>3010</v>
      </c>
      <c r="P520" s="25">
        <v>9360</v>
      </c>
      <c r="Q520" s="25">
        <v>26443.5</v>
      </c>
      <c r="R520" s="18">
        <v>94.441071428571433</v>
      </c>
    </row>
    <row r="521" spans="1:18" x14ac:dyDescent="0.35">
      <c r="A521" s="13">
        <v>45479</v>
      </c>
      <c r="B521">
        <v>2024</v>
      </c>
      <c r="C521">
        <v>7</v>
      </c>
      <c r="D521" t="s">
        <v>3</v>
      </c>
      <c r="E521" t="s">
        <v>76</v>
      </c>
      <c r="F521">
        <v>293</v>
      </c>
      <c r="G521">
        <v>293</v>
      </c>
      <c r="H521">
        <v>0</v>
      </c>
      <c r="I521">
        <v>15</v>
      </c>
      <c r="J521" s="17">
        <v>0.75128205128205128</v>
      </c>
      <c r="K521">
        <v>48</v>
      </c>
      <c r="L521">
        <v>47</v>
      </c>
      <c r="M521" s="17">
        <v>0.97916666666666663</v>
      </c>
      <c r="N521" s="25">
        <v>15078.75</v>
      </c>
      <c r="O521" s="25">
        <v>3149.75</v>
      </c>
      <c r="P521" s="25">
        <v>9360</v>
      </c>
      <c r="Q521" s="25">
        <v>27588.5</v>
      </c>
      <c r="R521" s="18">
        <v>94.158703071672349</v>
      </c>
    </row>
    <row r="522" spans="1:18" x14ac:dyDescent="0.35">
      <c r="A522" s="13">
        <v>45486</v>
      </c>
      <c r="B522">
        <v>2024</v>
      </c>
      <c r="C522">
        <v>7</v>
      </c>
      <c r="D522" t="s">
        <v>3</v>
      </c>
      <c r="E522" t="s">
        <v>76</v>
      </c>
      <c r="F522">
        <v>289</v>
      </c>
      <c r="G522">
        <v>289</v>
      </c>
      <c r="H522">
        <v>0</v>
      </c>
      <c r="I522">
        <v>14</v>
      </c>
      <c r="J522" s="17">
        <v>0.79395604395604391</v>
      </c>
      <c r="K522">
        <v>48</v>
      </c>
      <c r="L522">
        <v>48</v>
      </c>
      <c r="M522" s="17">
        <v>1</v>
      </c>
      <c r="N522" s="25">
        <v>14073.5</v>
      </c>
      <c r="O522" s="25">
        <v>3106.75</v>
      </c>
      <c r="P522" s="25">
        <v>9360</v>
      </c>
      <c r="Q522" s="25">
        <v>26540.25</v>
      </c>
      <c r="R522" s="18">
        <v>91.834775086505189</v>
      </c>
    </row>
    <row r="523" spans="1:18" x14ac:dyDescent="0.35">
      <c r="A523" s="13">
        <v>45493</v>
      </c>
      <c r="B523">
        <v>2024</v>
      </c>
      <c r="C523">
        <v>7</v>
      </c>
      <c r="D523" t="s">
        <v>3</v>
      </c>
      <c r="E523" t="s">
        <v>76</v>
      </c>
      <c r="F523">
        <v>290</v>
      </c>
      <c r="G523">
        <v>290</v>
      </c>
      <c r="H523">
        <v>0</v>
      </c>
      <c r="I523">
        <v>14</v>
      </c>
      <c r="J523" s="17">
        <v>0.79670329670329665</v>
      </c>
      <c r="K523">
        <v>48</v>
      </c>
      <c r="L523">
        <v>45</v>
      </c>
      <c r="M523" s="17">
        <v>0.9375</v>
      </c>
      <c r="N523" s="25">
        <v>14073.5</v>
      </c>
      <c r="O523" s="25">
        <v>3117.5</v>
      </c>
      <c r="P523" s="25">
        <v>9360</v>
      </c>
      <c r="Q523" s="25">
        <v>26551</v>
      </c>
      <c r="R523" s="18">
        <v>91.555172413793102</v>
      </c>
    </row>
    <row r="524" spans="1:18" x14ac:dyDescent="0.35">
      <c r="A524" s="13">
        <v>45500</v>
      </c>
      <c r="B524">
        <v>2024</v>
      </c>
      <c r="C524">
        <v>7</v>
      </c>
      <c r="D524" t="s">
        <v>3</v>
      </c>
      <c r="E524" t="s">
        <v>76</v>
      </c>
      <c r="F524">
        <v>295</v>
      </c>
      <c r="G524">
        <v>295</v>
      </c>
      <c r="H524">
        <v>0</v>
      </c>
      <c r="I524">
        <v>14</v>
      </c>
      <c r="J524" s="17">
        <v>0.81043956043956045</v>
      </c>
      <c r="K524">
        <v>48</v>
      </c>
      <c r="L524">
        <v>46</v>
      </c>
      <c r="M524" s="17">
        <v>0.95833333333333337</v>
      </c>
      <c r="N524" s="25">
        <v>14073.5</v>
      </c>
      <c r="O524" s="25">
        <v>3171.25</v>
      </c>
      <c r="P524" s="25">
        <v>9360</v>
      </c>
      <c r="Q524" s="25">
        <v>26604.75</v>
      </c>
      <c r="R524" s="18">
        <v>90.185593220338987</v>
      </c>
    </row>
    <row r="525" spans="1:18" x14ac:dyDescent="0.35">
      <c r="A525" s="13">
        <v>45507</v>
      </c>
      <c r="B525">
        <v>2024</v>
      </c>
      <c r="C525">
        <v>8</v>
      </c>
      <c r="D525" t="s">
        <v>3</v>
      </c>
      <c r="E525" t="s">
        <v>76</v>
      </c>
      <c r="F525">
        <v>287</v>
      </c>
      <c r="G525">
        <v>287</v>
      </c>
      <c r="H525">
        <v>0</v>
      </c>
      <c r="I525">
        <v>14</v>
      </c>
      <c r="J525" s="17">
        <v>0.78846153846153844</v>
      </c>
      <c r="K525">
        <v>48</v>
      </c>
      <c r="L525">
        <v>46</v>
      </c>
      <c r="M525" s="17">
        <v>0.95833333333333337</v>
      </c>
      <c r="N525" s="25">
        <v>14073.5</v>
      </c>
      <c r="O525" s="25">
        <v>3085.25</v>
      </c>
      <c r="P525" s="25">
        <v>9360</v>
      </c>
      <c r="Q525" s="25">
        <v>26518.75</v>
      </c>
      <c r="R525" s="18">
        <v>92.399825783972119</v>
      </c>
    </row>
    <row r="526" spans="1:18" x14ac:dyDescent="0.35">
      <c r="A526" s="13">
        <v>45514</v>
      </c>
      <c r="B526">
        <v>2024</v>
      </c>
      <c r="C526">
        <v>8</v>
      </c>
      <c r="D526" t="s">
        <v>3</v>
      </c>
      <c r="E526" t="s">
        <v>76</v>
      </c>
      <c r="F526">
        <v>300</v>
      </c>
      <c r="G526">
        <v>300</v>
      </c>
      <c r="H526">
        <v>0</v>
      </c>
      <c r="I526">
        <v>15</v>
      </c>
      <c r="J526" s="17">
        <v>0.76923076923076927</v>
      </c>
      <c r="K526">
        <v>48</v>
      </c>
      <c r="L526">
        <v>45</v>
      </c>
      <c r="M526" s="17">
        <v>0.9375</v>
      </c>
      <c r="N526" s="25">
        <v>15078.75</v>
      </c>
      <c r="O526" s="25">
        <v>3225</v>
      </c>
      <c r="P526" s="25">
        <v>9360</v>
      </c>
      <c r="Q526" s="25">
        <v>27663.75</v>
      </c>
      <c r="R526" s="18">
        <v>92.212500000000006</v>
      </c>
    </row>
    <row r="527" spans="1:18" x14ac:dyDescent="0.35">
      <c r="A527" s="13">
        <v>45521</v>
      </c>
      <c r="B527">
        <v>2024</v>
      </c>
      <c r="C527">
        <v>8</v>
      </c>
      <c r="D527" t="s">
        <v>3</v>
      </c>
      <c r="E527" t="s">
        <v>76</v>
      </c>
      <c r="F527">
        <v>302</v>
      </c>
      <c r="G527">
        <v>302</v>
      </c>
      <c r="H527">
        <v>0</v>
      </c>
      <c r="I527">
        <v>16</v>
      </c>
      <c r="J527" s="17">
        <v>0.72596153846153844</v>
      </c>
      <c r="K527">
        <v>48</v>
      </c>
      <c r="L527">
        <v>45</v>
      </c>
      <c r="M527" s="17">
        <v>0.9375</v>
      </c>
      <c r="N527" s="25">
        <v>16084</v>
      </c>
      <c r="O527" s="25">
        <v>3246.5</v>
      </c>
      <c r="P527" s="25">
        <v>9360</v>
      </c>
      <c r="Q527" s="25">
        <v>28690.5</v>
      </c>
      <c r="R527" s="18">
        <v>95.00165562913908</v>
      </c>
    </row>
    <row r="528" spans="1:18" x14ac:dyDescent="0.35">
      <c r="A528" s="13">
        <v>45528</v>
      </c>
      <c r="B528">
        <v>2024</v>
      </c>
      <c r="C528">
        <v>8</v>
      </c>
      <c r="D528" t="s">
        <v>3</v>
      </c>
      <c r="E528" t="s">
        <v>76</v>
      </c>
      <c r="F528">
        <v>296</v>
      </c>
      <c r="G528">
        <v>296</v>
      </c>
      <c r="H528">
        <v>0</v>
      </c>
      <c r="I528">
        <v>15</v>
      </c>
      <c r="J528" s="17">
        <v>0.75897435897435894</v>
      </c>
      <c r="K528">
        <v>48</v>
      </c>
      <c r="L528">
        <v>47</v>
      </c>
      <c r="M528" s="17">
        <v>0.97916666666666663</v>
      </c>
      <c r="N528" s="25">
        <v>15078.75</v>
      </c>
      <c r="O528" s="25">
        <v>3182</v>
      </c>
      <c r="P528" s="25">
        <v>9360</v>
      </c>
      <c r="Q528" s="25">
        <v>27620.75</v>
      </c>
      <c r="R528" s="18">
        <v>93.313344594594597</v>
      </c>
    </row>
    <row r="529" spans="1:18" x14ac:dyDescent="0.35">
      <c r="A529" s="13">
        <v>45535</v>
      </c>
      <c r="B529">
        <v>2024</v>
      </c>
      <c r="C529">
        <v>8</v>
      </c>
      <c r="D529" t="s">
        <v>3</v>
      </c>
      <c r="E529" t="s">
        <v>76</v>
      </c>
      <c r="F529">
        <v>289</v>
      </c>
      <c r="G529">
        <v>289</v>
      </c>
      <c r="H529">
        <v>0</v>
      </c>
      <c r="I529">
        <v>14</v>
      </c>
      <c r="J529" s="17">
        <v>0.79395604395604391</v>
      </c>
      <c r="K529">
        <v>48</v>
      </c>
      <c r="L529">
        <v>43</v>
      </c>
      <c r="M529" s="17">
        <v>0.89583333333333337</v>
      </c>
      <c r="N529" s="25">
        <v>14073.5</v>
      </c>
      <c r="O529" s="25">
        <v>3106.75</v>
      </c>
      <c r="P529" s="25">
        <v>9360</v>
      </c>
      <c r="Q529" s="25">
        <v>26540.25</v>
      </c>
      <c r="R529" s="18">
        <v>91.834775086505189</v>
      </c>
    </row>
    <row r="530" spans="1:18" x14ac:dyDescent="0.35">
      <c r="A530" s="13">
        <v>45542</v>
      </c>
      <c r="B530">
        <v>2024</v>
      </c>
      <c r="C530">
        <v>9</v>
      </c>
      <c r="D530" t="s">
        <v>3</v>
      </c>
      <c r="E530" t="s">
        <v>76</v>
      </c>
      <c r="F530">
        <v>259</v>
      </c>
      <c r="G530">
        <v>259</v>
      </c>
      <c r="H530">
        <v>0</v>
      </c>
      <c r="I530">
        <v>14</v>
      </c>
      <c r="J530" s="17">
        <v>0.71153846153846156</v>
      </c>
      <c r="K530">
        <v>48</v>
      </c>
      <c r="L530">
        <v>42</v>
      </c>
      <c r="M530" s="17">
        <v>0.875</v>
      </c>
      <c r="N530" s="25">
        <v>14073.5</v>
      </c>
      <c r="O530" s="25">
        <v>2784.25</v>
      </c>
      <c r="P530" s="25">
        <v>9360</v>
      </c>
      <c r="Q530" s="25">
        <v>26217.75</v>
      </c>
      <c r="R530" s="18">
        <v>101.226833976834</v>
      </c>
    </row>
    <row r="531" spans="1:18" x14ac:dyDescent="0.35">
      <c r="A531" s="13">
        <v>45549</v>
      </c>
      <c r="B531">
        <v>2024</v>
      </c>
      <c r="C531">
        <v>9</v>
      </c>
      <c r="D531" t="s">
        <v>3</v>
      </c>
      <c r="E531" t="s">
        <v>76</v>
      </c>
      <c r="F531">
        <v>256</v>
      </c>
      <c r="G531">
        <v>256</v>
      </c>
      <c r="H531">
        <v>0</v>
      </c>
      <c r="I531">
        <v>14</v>
      </c>
      <c r="J531" s="17">
        <v>0.70329670329670335</v>
      </c>
      <c r="K531">
        <v>48</v>
      </c>
      <c r="L531">
        <v>46</v>
      </c>
      <c r="M531" s="17">
        <v>0.95833333333333337</v>
      </c>
      <c r="N531" s="25">
        <v>14073.5</v>
      </c>
      <c r="O531" s="25">
        <v>2752</v>
      </c>
      <c r="P531" s="25">
        <v>9360</v>
      </c>
      <c r="Q531" s="25">
        <v>26185.5</v>
      </c>
      <c r="R531" s="18">
        <v>102.287109375</v>
      </c>
    </row>
    <row r="532" spans="1:18" x14ac:dyDescent="0.35">
      <c r="A532" s="13">
        <v>45556</v>
      </c>
      <c r="B532">
        <v>2024</v>
      </c>
      <c r="C532">
        <v>9</v>
      </c>
      <c r="D532" t="s">
        <v>3</v>
      </c>
      <c r="E532" t="s">
        <v>76</v>
      </c>
      <c r="F532">
        <v>283</v>
      </c>
      <c r="G532">
        <v>283</v>
      </c>
      <c r="H532">
        <v>0</v>
      </c>
      <c r="I532">
        <v>14</v>
      </c>
      <c r="J532" s="17">
        <v>0.77747252747252749</v>
      </c>
      <c r="K532">
        <v>48</v>
      </c>
      <c r="L532">
        <v>45</v>
      </c>
      <c r="M532" s="17">
        <v>0.9375</v>
      </c>
      <c r="N532" s="25">
        <v>14073.5</v>
      </c>
      <c r="O532" s="25">
        <v>3042.25</v>
      </c>
      <c r="P532" s="25">
        <v>9360</v>
      </c>
      <c r="Q532" s="25">
        <v>26475.75</v>
      </c>
      <c r="R532" s="18">
        <v>93.553886925795055</v>
      </c>
    </row>
    <row r="533" spans="1:18" x14ac:dyDescent="0.35">
      <c r="A533" s="13">
        <v>45563</v>
      </c>
      <c r="B533">
        <v>2024</v>
      </c>
      <c r="C533">
        <v>9</v>
      </c>
      <c r="D533" t="s">
        <v>3</v>
      </c>
      <c r="E533" t="s">
        <v>76</v>
      </c>
      <c r="F533">
        <v>277</v>
      </c>
      <c r="G533">
        <v>277</v>
      </c>
      <c r="H533">
        <v>0</v>
      </c>
      <c r="I533">
        <v>14</v>
      </c>
      <c r="J533" s="17">
        <v>0.76098901098901095</v>
      </c>
      <c r="K533">
        <v>48</v>
      </c>
      <c r="L533">
        <v>45</v>
      </c>
      <c r="M533" s="17">
        <v>0.9375</v>
      </c>
      <c r="N533" s="25">
        <v>14073.5</v>
      </c>
      <c r="O533" s="25">
        <v>2977.75</v>
      </c>
      <c r="P533" s="25">
        <v>9360</v>
      </c>
      <c r="Q533" s="25">
        <v>26411.25</v>
      </c>
      <c r="R533" s="18">
        <v>95.347472924187727</v>
      </c>
    </row>
    <row r="534" spans="1:18" x14ac:dyDescent="0.35">
      <c r="A534" s="13">
        <v>45570</v>
      </c>
      <c r="B534">
        <v>2024</v>
      </c>
      <c r="C534">
        <v>10</v>
      </c>
      <c r="D534" t="s">
        <v>3</v>
      </c>
      <c r="E534" t="s">
        <v>76</v>
      </c>
      <c r="F534">
        <v>265</v>
      </c>
      <c r="G534">
        <v>265</v>
      </c>
      <c r="H534">
        <v>0</v>
      </c>
      <c r="I534">
        <v>13</v>
      </c>
      <c r="J534" s="17">
        <v>0.78402366863905326</v>
      </c>
      <c r="K534">
        <v>48</v>
      </c>
      <c r="L534">
        <v>47</v>
      </c>
      <c r="M534" s="17">
        <v>0.97916666666666663</v>
      </c>
      <c r="N534" s="25">
        <v>13068.25</v>
      </c>
      <c r="O534" s="25">
        <v>2848.75</v>
      </c>
      <c r="P534" s="25">
        <v>9360</v>
      </c>
      <c r="Q534" s="25">
        <v>25277</v>
      </c>
      <c r="R534" s="18">
        <v>95.384905660377356</v>
      </c>
    </row>
    <row r="535" spans="1:18" x14ac:dyDescent="0.35">
      <c r="A535" s="13">
        <v>45577</v>
      </c>
      <c r="B535">
        <v>2024</v>
      </c>
      <c r="C535">
        <v>10</v>
      </c>
      <c r="D535" t="s">
        <v>3</v>
      </c>
      <c r="E535" t="s">
        <v>76</v>
      </c>
      <c r="F535">
        <v>288</v>
      </c>
      <c r="G535">
        <v>288</v>
      </c>
      <c r="H535">
        <v>0</v>
      </c>
      <c r="I535">
        <v>14</v>
      </c>
      <c r="J535" s="17">
        <v>0.79120879120879117</v>
      </c>
      <c r="K535">
        <v>48</v>
      </c>
      <c r="L535">
        <v>43</v>
      </c>
      <c r="M535" s="17">
        <v>0.89583333333333337</v>
      </c>
      <c r="N535" s="25">
        <v>14073.5</v>
      </c>
      <c r="O535" s="25">
        <v>3096</v>
      </c>
      <c r="P535" s="25">
        <v>9360</v>
      </c>
      <c r="Q535" s="25">
        <v>26529.5</v>
      </c>
      <c r="R535" s="18">
        <v>92.116319444444443</v>
      </c>
    </row>
    <row r="536" spans="1:18" x14ac:dyDescent="0.35">
      <c r="A536" s="13">
        <v>45584</v>
      </c>
      <c r="B536">
        <v>2024</v>
      </c>
      <c r="C536">
        <v>10</v>
      </c>
      <c r="D536" t="s">
        <v>3</v>
      </c>
      <c r="E536" t="s">
        <v>76</v>
      </c>
      <c r="F536">
        <v>297</v>
      </c>
      <c r="G536">
        <v>297</v>
      </c>
      <c r="H536">
        <v>0</v>
      </c>
      <c r="I536">
        <v>14</v>
      </c>
      <c r="J536" s="17">
        <v>0.81593406593406592</v>
      </c>
      <c r="K536">
        <v>48</v>
      </c>
      <c r="L536">
        <v>44</v>
      </c>
      <c r="M536" s="17">
        <v>0.91666666666666663</v>
      </c>
      <c r="N536" s="25">
        <v>14073.5</v>
      </c>
      <c r="O536" s="25">
        <v>3192.75</v>
      </c>
      <c r="P536" s="25">
        <v>9360</v>
      </c>
      <c r="Q536" s="25">
        <v>26626.25</v>
      </c>
      <c r="R536" s="18">
        <v>89.650673400673398</v>
      </c>
    </row>
    <row r="537" spans="1:18" x14ac:dyDescent="0.35">
      <c r="A537" s="13">
        <v>45591</v>
      </c>
      <c r="B537">
        <v>2024</v>
      </c>
      <c r="C537">
        <v>10</v>
      </c>
      <c r="D537" t="s">
        <v>3</v>
      </c>
      <c r="E537" t="s">
        <v>76</v>
      </c>
      <c r="F537">
        <v>310</v>
      </c>
      <c r="G537">
        <v>310</v>
      </c>
      <c r="H537">
        <v>0</v>
      </c>
      <c r="I537">
        <v>14</v>
      </c>
      <c r="J537" s="17">
        <v>0.85164835164835162</v>
      </c>
      <c r="K537">
        <v>48</v>
      </c>
      <c r="L537">
        <v>45</v>
      </c>
      <c r="M537" s="17">
        <v>0.9375</v>
      </c>
      <c r="N537" s="25">
        <v>14073.5</v>
      </c>
      <c r="O537" s="25">
        <v>3332.5</v>
      </c>
      <c r="P537" s="25">
        <v>9360</v>
      </c>
      <c r="Q537" s="25">
        <v>26766</v>
      </c>
      <c r="R537" s="18">
        <v>86.341935483870969</v>
      </c>
    </row>
    <row r="538" spans="1:18" x14ac:dyDescent="0.35">
      <c r="A538" s="13">
        <v>45598</v>
      </c>
      <c r="B538">
        <v>2024</v>
      </c>
      <c r="C538">
        <v>11</v>
      </c>
      <c r="D538" t="s">
        <v>3</v>
      </c>
      <c r="E538" t="s">
        <v>76</v>
      </c>
      <c r="F538">
        <v>338</v>
      </c>
      <c r="G538">
        <v>337</v>
      </c>
      <c r="H538">
        <v>1</v>
      </c>
      <c r="I538">
        <v>17</v>
      </c>
      <c r="J538" s="17">
        <v>0.76244343891402711</v>
      </c>
      <c r="K538">
        <v>48</v>
      </c>
      <c r="L538">
        <v>45</v>
      </c>
      <c r="M538" s="17">
        <v>0.9375</v>
      </c>
      <c r="N538" s="25">
        <v>17089.25</v>
      </c>
      <c r="O538" s="25">
        <v>3622.75</v>
      </c>
      <c r="P538" s="25">
        <v>9360</v>
      </c>
      <c r="Q538" s="25">
        <v>30072</v>
      </c>
      <c r="R538" s="18">
        <v>89.234421364985167</v>
      </c>
    </row>
    <row r="539" spans="1:18" x14ac:dyDescent="0.35">
      <c r="A539" s="13">
        <v>45605</v>
      </c>
      <c r="B539">
        <v>2024</v>
      </c>
      <c r="C539">
        <v>11</v>
      </c>
      <c r="D539" t="s">
        <v>3</v>
      </c>
      <c r="E539" t="s">
        <v>76</v>
      </c>
      <c r="F539">
        <v>330</v>
      </c>
      <c r="G539">
        <v>331</v>
      </c>
      <c r="H539">
        <v>0</v>
      </c>
      <c r="I539">
        <v>16</v>
      </c>
      <c r="J539" s="17">
        <v>0.79567307692307687</v>
      </c>
      <c r="K539">
        <v>48</v>
      </c>
      <c r="L539">
        <v>41</v>
      </c>
      <c r="M539" s="17">
        <v>0.85416666666666663</v>
      </c>
      <c r="N539" s="25">
        <v>16084</v>
      </c>
      <c r="O539" s="25">
        <v>3558.25</v>
      </c>
      <c r="P539" s="25">
        <v>9360</v>
      </c>
      <c r="Q539" s="25">
        <v>29002.25</v>
      </c>
      <c r="R539" s="18">
        <v>87.620090634441084</v>
      </c>
    </row>
    <row r="540" spans="1:18" x14ac:dyDescent="0.35">
      <c r="A540" s="13">
        <v>45612</v>
      </c>
      <c r="B540">
        <v>2024</v>
      </c>
      <c r="C540">
        <v>11</v>
      </c>
      <c r="D540" t="s">
        <v>3</v>
      </c>
      <c r="E540" t="s">
        <v>76</v>
      </c>
      <c r="F540">
        <v>362</v>
      </c>
      <c r="G540">
        <v>362</v>
      </c>
      <c r="H540">
        <v>0</v>
      </c>
      <c r="I540">
        <v>17</v>
      </c>
      <c r="J540" s="17">
        <v>0.8190045248868778</v>
      </c>
      <c r="K540">
        <v>48</v>
      </c>
      <c r="L540">
        <v>44</v>
      </c>
      <c r="M540" s="17">
        <v>0.91666666666666663</v>
      </c>
      <c r="N540" s="25">
        <v>17089.25</v>
      </c>
      <c r="O540" s="25">
        <v>3891.5</v>
      </c>
      <c r="P540" s="25">
        <v>9360</v>
      </c>
      <c r="Q540" s="25">
        <v>30340.75</v>
      </c>
      <c r="R540" s="18">
        <v>83.814226519337012</v>
      </c>
    </row>
    <row r="541" spans="1:18" x14ac:dyDescent="0.35">
      <c r="A541" s="13">
        <v>45619</v>
      </c>
      <c r="B541">
        <v>2024</v>
      </c>
      <c r="C541">
        <v>11</v>
      </c>
      <c r="D541" t="s">
        <v>3</v>
      </c>
      <c r="E541" t="s">
        <v>76</v>
      </c>
      <c r="F541">
        <v>371</v>
      </c>
      <c r="G541">
        <v>368</v>
      </c>
      <c r="H541">
        <v>3</v>
      </c>
      <c r="I541">
        <v>18</v>
      </c>
      <c r="J541" s="17">
        <v>0.78632478632478631</v>
      </c>
      <c r="K541">
        <v>48</v>
      </c>
      <c r="L541">
        <v>43</v>
      </c>
      <c r="M541" s="17">
        <v>0.89583333333333337</v>
      </c>
      <c r="N541" s="25">
        <v>18094.5</v>
      </c>
      <c r="O541" s="25">
        <v>3956</v>
      </c>
      <c r="P541" s="25">
        <v>9360</v>
      </c>
      <c r="Q541" s="25">
        <v>31410.5</v>
      </c>
      <c r="R541" s="18">
        <v>85.354619565217391</v>
      </c>
    </row>
    <row r="542" spans="1:18" x14ac:dyDescent="0.35">
      <c r="A542" s="13">
        <v>45626</v>
      </c>
      <c r="B542">
        <v>2024</v>
      </c>
      <c r="C542">
        <v>11</v>
      </c>
      <c r="D542" t="s">
        <v>3</v>
      </c>
      <c r="E542" t="s">
        <v>76</v>
      </c>
      <c r="F542">
        <v>405</v>
      </c>
      <c r="G542">
        <v>391</v>
      </c>
      <c r="H542">
        <v>17</v>
      </c>
      <c r="I542">
        <v>18</v>
      </c>
      <c r="J542" s="17">
        <v>0.8354700854700855</v>
      </c>
      <c r="K542">
        <v>48</v>
      </c>
      <c r="L542">
        <v>45</v>
      </c>
      <c r="M542" s="17">
        <v>0.9375</v>
      </c>
      <c r="N542" s="25">
        <v>18094.5</v>
      </c>
      <c r="O542" s="25">
        <v>4203.25</v>
      </c>
      <c r="P542" s="25">
        <v>9360</v>
      </c>
      <c r="Q542" s="25">
        <v>31657.75</v>
      </c>
      <c r="R542" s="18">
        <v>80.966112531969316</v>
      </c>
    </row>
    <row r="543" spans="1:18" x14ac:dyDescent="0.35">
      <c r="A543" s="13">
        <v>45633</v>
      </c>
      <c r="B543">
        <v>2024</v>
      </c>
      <c r="C543">
        <v>12</v>
      </c>
      <c r="D543" t="s">
        <v>3</v>
      </c>
      <c r="E543" t="s">
        <v>76</v>
      </c>
      <c r="F543">
        <v>428</v>
      </c>
      <c r="G543">
        <v>397</v>
      </c>
      <c r="H543">
        <v>48</v>
      </c>
      <c r="I543">
        <v>18</v>
      </c>
      <c r="J543" s="17">
        <v>0.84829059829059827</v>
      </c>
      <c r="K543">
        <v>48</v>
      </c>
      <c r="L543">
        <v>42</v>
      </c>
      <c r="M543" s="17">
        <v>0.875</v>
      </c>
      <c r="N543" s="25">
        <v>18094.5</v>
      </c>
      <c r="O543" s="25">
        <v>4267.75</v>
      </c>
      <c r="P543" s="25">
        <v>9360</v>
      </c>
      <c r="Q543" s="25">
        <v>31722.25</v>
      </c>
      <c r="R543" s="18">
        <v>79.904911838790937</v>
      </c>
    </row>
    <row r="544" spans="1:18" x14ac:dyDescent="0.35">
      <c r="A544" s="13">
        <v>45640</v>
      </c>
      <c r="B544">
        <v>2024</v>
      </c>
      <c r="C544">
        <v>12</v>
      </c>
      <c r="D544" t="s">
        <v>3</v>
      </c>
      <c r="E544" t="s">
        <v>76</v>
      </c>
      <c r="F544">
        <v>461</v>
      </c>
      <c r="G544">
        <v>407</v>
      </c>
      <c r="H544">
        <v>102</v>
      </c>
      <c r="I544">
        <v>19</v>
      </c>
      <c r="J544" s="17">
        <v>0.82388663967611331</v>
      </c>
      <c r="K544">
        <v>48</v>
      </c>
      <c r="L544">
        <v>47</v>
      </c>
      <c r="M544" s="17">
        <v>0.97916666666666663</v>
      </c>
      <c r="N544" s="25">
        <v>19099.75</v>
      </c>
      <c r="O544" s="25">
        <v>4375.25</v>
      </c>
      <c r="P544" s="25">
        <v>9360</v>
      </c>
      <c r="Q544" s="25">
        <v>32835</v>
      </c>
      <c r="R544" s="18">
        <v>80.675675675675677</v>
      </c>
    </row>
    <row r="545" spans="1:18" x14ac:dyDescent="0.35">
      <c r="A545" s="13">
        <v>45647</v>
      </c>
      <c r="B545">
        <v>2024</v>
      </c>
      <c r="C545">
        <v>12</v>
      </c>
      <c r="D545" t="s">
        <v>3</v>
      </c>
      <c r="E545" t="s">
        <v>76</v>
      </c>
      <c r="F545">
        <v>407</v>
      </c>
      <c r="G545">
        <v>398</v>
      </c>
      <c r="H545">
        <v>111</v>
      </c>
      <c r="I545">
        <v>19</v>
      </c>
      <c r="J545" s="17">
        <v>0.80566801619433204</v>
      </c>
      <c r="K545">
        <v>48</v>
      </c>
      <c r="L545">
        <v>41</v>
      </c>
      <c r="M545" s="17">
        <v>0.85416666666666663</v>
      </c>
      <c r="N545" s="25">
        <v>19099.75</v>
      </c>
      <c r="O545" s="25">
        <v>4278.5</v>
      </c>
      <c r="P545" s="25">
        <v>9360</v>
      </c>
      <c r="Q545" s="25">
        <v>32738.25</v>
      </c>
      <c r="R545" s="18">
        <v>82.256909547738687</v>
      </c>
    </row>
    <row r="546" spans="1:18" x14ac:dyDescent="0.35">
      <c r="A546" s="13">
        <v>45654</v>
      </c>
      <c r="B546">
        <v>2024</v>
      </c>
      <c r="C546">
        <v>12</v>
      </c>
      <c r="D546" t="s">
        <v>3</v>
      </c>
      <c r="E546" t="s">
        <v>76</v>
      </c>
      <c r="F546">
        <v>333</v>
      </c>
      <c r="G546">
        <v>378</v>
      </c>
      <c r="H546">
        <v>66</v>
      </c>
      <c r="I546">
        <v>18</v>
      </c>
      <c r="J546" s="17">
        <v>0.80769230769230771</v>
      </c>
      <c r="K546">
        <v>48</v>
      </c>
      <c r="L546">
        <v>45</v>
      </c>
      <c r="M546" s="17">
        <v>0.9375</v>
      </c>
      <c r="N546" s="25">
        <v>18094.5</v>
      </c>
      <c r="O546" s="25">
        <v>4063.5</v>
      </c>
      <c r="P546" s="25">
        <v>9360</v>
      </c>
      <c r="Q546" s="25">
        <v>31518</v>
      </c>
      <c r="R546" s="18">
        <v>83.38095238095238</v>
      </c>
    </row>
    <row r="547" spans="1:18" x14ac:dyDescent="0.35">
      <c r="A547" s="13">
        <v>45661</v>
      </c>
      <c r="B547">
        <v>2025</v>
      </c>
      <c r="C547">
        <v>1</v>
      </c>
      <c r="D547" t="s">
        <v>3</v>
      </c>
      <c r="E547" t="s">
        <v>76</v>
      </c>
      <c r="F547">
        <v>289</v>
      </c>
      <c r="G547">
        <v>341</v>
      </c>
      <c r="H547">
        <v>14</v>
      </c>
      <c r="I547">
        <v>16</v>
      </c>
      <c r="J547" s="17">
        <v>0.81971153846153844</v>
      </c>
      <c r="K547">
        <v>48</v>
      </c>
      <c r="L547">
        <v>44</v>
      </c>
      <c r="M547" s="17">
        <v>0.91666666666666663</v>
      </c>
      <c r="N547" s="25">
        <v>16084</v>
      </c>
      <c r="O547" s="25">
        <v>3665.75</v>
      </c>
      <c r="P547" s="25">
        <v>9360</v>
      </c>
      <c r="Q547" s="25">
        <v>29109.75</v>
      </c>
      <c r="R547" s="18">
        <v>85.365835777126094</v>
      </c>
    </row>
    <row r="548" spans="1:18" x14ac:dyDescent="0.35">
      <c r="A548" s="13">
        <v>45668</v>
      </c>
      <c r="B548">
        <v>2025</v>
      </c>
      <c r="C548">
        <v>1</v>
      </c>
      <c r="D548" t="s">
        <v>3</v>
      </c>
      <c r="E548" t="s">
        <v>76</v>
      </c>
      <c r="F548">
        <v>233</v>
      </c>
      <c r="G548">
        <v>247</v>
      </c>
      <c r="H548">
        <v>0</v>
      </c>
      <c r="I548">
        <v>13</v>
      </c>
      <c r="J548" s="17">
        <v>0.73076923076923073</v>
      </c>
      <c r="K548">
        <v>48</v>
      </c>
      <c r="L548">
        <v>38</v>
      </c>
      <c r="M548" s="17">
        <v>0.79166666666666663</v>
      </c>
      <c r="N548" s="25">
        <v>13068.25</v>
      </c>
      <c r="O548" s="25">
        <v>2655.25</v>
      </c>
      <c r="P548" s="25">
        <v>9360</v>
      </c>
      <c r="Q548" s="25">
        <v>25083.5</v>
      </c>
      <c r="R548" s="18">
        <v>101.5526315789474</v>
      </c>
    </row>
    <row r="549" spans="1:18" x14ac:dyDescent="0.35">
      <c r="A549" s="13">
        <v>45675</v>
      </c>
      <c r="B549">
        <v>2025</v>
      </c>
      <c r="C549">
        <v>1</v>
      </c>
      <c r="D549" t="s">
        <v>3</v>
      </c>
      <c r="E549" t="s">
        <v>76</v>
      </c>
      <c r="F549">
        <v>218</v>
      </c>
      <c r="G549">
        <v>218</v>
      </c>
      <c r="H549">
        <v>0</v>
      </c>
      <c r="I549">
        <v>11</v>
      </c>
      <c r="J549" s="17">
        <v>0.76223776223776218</v>
      </c>
      <c r="K549">
        <v>48</v>
      </c>
      <c r="L549">
        <v>41</v>
      </c>
      <c r="M549" s="17">
        <v>0.85416666666666663</v>
      </c>
      <c r="N549" s="25">
        <v>11057.75</v>
      </c>
      <c r="O549" s="25">
        <v>2343.5</v>
      </c>
      <c r="P549" s="25">
        <v>9360</v>
      </c>
      <c r="Q549" s="25">
        <v>22761.25</v>
      </c>
      <c r="R549" s="18">
        <v>104.4094036697248</v>
      </c>
    </row>
    <row r="550" spans="1:18" x14ac:dyDescent="0.35">
      <c r="A550" s="13">
        <v>45682</v>
      </c>
      <c r="B550">
        <v>2025</v>
      </c>
      <c r="C550">
        <v>1</v>
      </c>
      <c r="D550" t="s">
        <v>3</v>
      </c>
      <c r="E550" t="s">
        <v>76</v>
      </c>
      <c r="F550">
        <v>236</v>
      </c>
      <c r="G550">
        <v>236</v>
      </c>
      <c r="H550">
        <v>0</v>
      </c>
      <c r="I550">
        <v>12</v>
      </c>
      <c r="J550" s="17">
        <v>0.75641025641025639</v>
      </c>
      <c r="K550">
        <v>48</v>
      </c>
      <c r="L550">
        <v>42</v>
      </c>
      <c r="M550" s="17">
        <v>0.875</v>
      </c>
      <c r="N550" s="25">
        <v>12063</v>
      </c>
      <c r="O550" s="25">
        <v>2537</v>
      </c>
      <c r="P550" s="25">
        <v>9360</v>
      </c>
      <c r="Q550" s="25">
        <v>23960</v>
      </c>
      <c r="R550" s="18">
        <v>101.52542372881361</v>
      </c>
    </row>
    <row r="551" spans="1:18" x14ac:dyDescent="0.35">
      <c r="A551" s="13">
        <v>45689</v>
      </c>
      <c r="B551">
        <v>2025</v>
      </c>
      <c r="C551">
        <v>2</v>
      </c>
      <c r="D551" t="s">
        <v>3</v>
      </c>
      <c r="E551" t="s">
        <v>76</v>
      </c>
      <c r="F551">
        <v>243</v>
      </c>
      <c r="G551">
        <v>243</v>
      </c>
      <c r="H551">
        <v>0</v>
      </c>
      <c r="I551">
        <v>13</v>
      </c>
      <c r="J551" s="17">
        <v>0.71893491124260356</v>
      </c>
      <c r="K551">
        <v>48</v>
      </c>
      <c r="L551">
        <v>40</v>
      </c>
      <c r="M551" s="17">
        <v>0.83333333333333337</v>
      </c>
      <c r="N551" s="25">
        <v>13068.25</v>
      </c>
      <c r="O551" s="25">
        <v>2612.25</v>
      </c>
      <c r="P551" s="25">
        <v>9360</v>
      </c>
      <c r="Q551" s="25">
        <v>25040.5</v>
      </c>
      <c r="R551" s="18">
        <v>103.04732510288071</v>
      </c>
    </row>
    <row r="552" spans="1:18" x14ac:dyDescent="0.35">
      <c r="A552" s="13">
        <v>45696</v>
      </c>
      <c r="B552">
        <v>2025</v>
      </c>
      <c r="C552">
        <v>2</v>
      </c>
      <c r="D552" t="s">
        <v>3</v>
      </c>
      <c r="E552" t="s">
        <v>76</v>
      </c>
      <c r="F552">
        <v>270</v>
      </c>
      <c r="G552">
        <v>270</v>
      </c>
      <c r="H552">
        <v>0</v>
      </c>
      <c r="I552">
        <v>13</v>
      </c>
      <c r="J552" s="17">
        <v>0.79881656804733725</v>
      </c>
      <c r="K552">
        <v>48</v>
      </c>
      <c r="L552">
        <v>42</v>
      </c>
      <c r="M552" s="17">
        <v>0.875</v>
      </c>
      <c r="N552" s="25">
        <v>13068.25</v>
      </c>
      <c r="O552" s="25">
        <v>2902.5</v>
      </c>
      <c r="P552" s="25">
        <v>9360</v>
      </c>
      <c r="Q552" s="25">
        <v>25330.75</v>
      </c>
      <c r="R552" s="18">
        <v>93.81759259259259</v>
      </c>
    </row>
    <row r="553" spans="1:18" x14ac:dyDescent="0.35">
      <c r="A553" s="13">
        <v>45703</v>
      </c>
      <c r="B553">
        <v>2025</v>
      </c>
      <c r="C553">
        <v>2</v>
      </c>
      <c r="D553" t="s">
        <v>3</v>
      </c>
      <c r="E553" t="s">
        <v>76</v>
      </c>
      <c r="F553">
        <v>271</v>
      </c>
      <c r="G553">
        <v>271</v>
      </c>
      <c r="H553">
        <v>0</v>
      </c>
      <c r="I553">
        <v>14</v>
      </c>
      <c r="J553" s="17">
        <v>0.74450549450549453</v>
      </c>
      <c r="K553">
        <v>48</v>
      </c>
      <c r="L553">
        <v>38</v>
      </c>
      <c r="M553" s="17">
        <v>0.79166666666666663</v>
      </c>
      <c r="N553" s="25">
        <v>14073.5</v>
      </c>
      <c r="O553" s="25">
        <v>2913.25</v>
      </c>
      <c r="P553" s="25">
        <v>9360</v>
      </c>
      <c r="Q553" s="25">
        <v>26346.75</v>
      </c>
      <c r="R553" s="18">
        <v>97.220479704797043</v>
      </c>
    </row>
    <row r="554" spans="1:18" x14ac:dyDescent="0.35">
      <c r="A554" s="13">
        <v>45710</v>
      </c>
      <c r="B554">
        <v>2025</v>
      </c>
      <c r="C554">
        <v>2</v>
      </c>
      <c r="D554" t="s">
        <v>3</v>
      </c>
      <c r="E554" t="s">
        <v>76</v>
      </c>
      <c r="F554">
        <v>277</v>
      </c>
      <c r="G554">
        <v>277</v>
      </c>
      <c r="H554">
        <v>0</v>
      </c>
      <c r="I554">
        <v>14</v>
      </c>
      <c r="J554" s="17">
        <v>0.76098901098901095</v>
      </c>
      <c r="K554">
        <v>48</v>
      </c>
      <c r="L554">
        <v>44</v>
      </c>
      <c r="M554" s="17">
        <v>0.91666666666666663</v>
      </c>
      <c r="N554" s="25">
        <v>14073.5</v>
      </c>
      <c r="O554" s="25">
        <v>2977.75</v>
      </c>
      <c r="P554" s="25">
        <v>9360</v>
      </c>
      <c r="Q554" s="25">
        <v>26411.25</v>
      </c>
      <c r="R554" s="18">
        <v>95.347472924187727</v>
      </c>
    </row>
    <row r="555" spans="1:18" x14ac:dyDescent="0.35">
      <c r="A555" s="13">
        <v>45717</v>
      </c>
      <c r="B555">
        <v>2025</v>
      </c>
      <c r="C555">
        <v>3</v>
      </c>
      <c r="D555" t="s">
        <v>3</v>
      </c>
      <c r="E555" t="s">
        <v>76</v>
      </c>
      <c r="F555">
        <v>288</v>
      </c>
      <c r="G555">
        <v>288</v>
      </c>
      <c r="H555">
        <v>0</v>
      </c>
      <c r="I555">
        <v>14</v>
      </c>
      <c r="J555" s="17">
        <v>0.79120879120879117</v>
      </c>
      <c r="K555">
        <v>48</v>
      </c>
      <c r="L555">
        <v>42</v>
      </c>
      <c r="M555" s="17">
        <v>0.875</v>
      </c>
      <c r="N555" s="25">
        <v>14073.5</v>
      </c>
      <c r="O555" s="25">
        <v>3096</v>
      </c>
      <c r="P555" s="25">
        <v>9360</v>
      </c>
      <c r="Q555" s="25">
        <v>26529.5</v>
      </c>
      <c r="R555" s="18">
        <v>92.116319444444443</v>
      </c>
    </row>
    <row r="556" spans="1:18" x14ac:dyDescent="0.35">
      <c r="A556" s="13">
        <v>45724</v>
      </c>
      <c r="B556">
        <v>2025</v>
      </c>
      <c r="C556">
        <v>3</v>
      </c>
      <c r="D556" t="s">
        <v>3</v>
      </c>
      <c r="E556" t="s">
        <v>76</v>
      </c>
      <c r="F556">
        <v>301</v>
      </c>
      <c r="G556">
        <v>301</v>
      </c>
      <c r="H556">
        <v>0</v>
      </c>
      <c r="I556">
        <v>15</v>
      </c>
      <c r="J556" s="17">
        <v>0.77179487179487183</v>
      </c>
      <c r="K556">
        <v>48</v>
      </c>
      <c r="L556">
        <v>47</v>
      </c>
      <c r="M556" s="17">
        <v>0.97916666666666663</v>
      </c>
      <c r="N556" s="25">
        <v>15078.75</v>
      </c>
      <c r="O556" s="25">
        <v>3235.75</v>
      </c>
      <c r="P556" s="25">
        <v>9360</v>
      </c>
      <c r="Q556" s="25">
        <v>27674.5</v>
      </c>
      <c r="R556" s="18">
        <v>91.941860465116278</v>
      </c>
    </row>
    <row r="557" spans="1:18" x14ac:dyDescent="0.35">
      <c r="A557" s="13">
        <v>45731</v>
      </c>
      <c r="B557">
        <v>2025</v>
      </c>
      <c r="C557">
        <v>3</v>
      </c>
      <c r="D557" t="s">
        <v>3</v>
      </c>
      <c r="E557" t="s">
        <v>76</v>
      </c>
      <c r="F557">
        <v>281</v>
      </c>
      <c r="G557">
        <v>281</v>
      </c>
      <c r="H557">
        <v>0</v>
      </c>
      <c r="I557">
        <v>14</v>
      </c>
      <c r="J557" s="17">
        <v>0.77197802197802201</v>
      </c>
      <c r="K557">
        <v>48</v>
      </c>
      <c r="L557">
        <v>48</v>
      </c>
      <c r="M557" s="17">
        <v>1</v>
      </c>
      <c r="N557" s="25">
        <v>14073.5</v>
      </c>
      <c r="O557" s="25">
        <v>3020.75</v>
      </c>
      <c r="P557" s="25">
        <v>9360</v>
      </c>
      <c r="Q557" s="25">
        <v>26454.25</v>
      </c>
      <c r="R557" s="18">
        <v>94.143238434163706</v>
      </c>
    </row>
    <row r="558" spans="1:18" x14ac:dyDescent="0.35">
      <c r="A558" s="13">
        <v>45738</v>
      </c>
      <c r="B558">
        <v>2025</v>
      </c>
      <c r="C558">
        <v>3</v>
      </c>
      <c r="D558" t="s">
        <v>3</v>
      </c>
      <c r="E558" t="s">
        <v>76</v>
      </c>
      <c r="F558">
        <v>288</v>
      </c>
      <c r="G558">
        <v>288</v>
      </c>
      <c r="H558">
        <v>0</v>
      </c>
      <c r="I558">
        <v>14</v>
      </c>
      <c r="J558" s="17">
        <v>0.79120879120879117</v>
      </c>
      <c r="K558">
        <v>48</v>
      </c>
      <c r="L558">
        <v>43</v>
      </c>
      <c r="M558" s="17">
        <v>0.89583333333333337</v>
      </c>
      <c r="N558" s="25">
        <v>14073.5</v>
      </c>
      <c r="O558" s="25">
        <v>3096</v>
      </c>
      <c r="P558" s="25">
        <v>9360</v>
      </c>
      <c r="Q558" s="25">
        <v>26529.5</v>
      </c>
      <c r="R558" s="18">
        <v>92.116319444444443</v>
      </c>
    </row>
    <row r="559" spans="1:18" x14ac:dyDescent="0.35">
      <c r="A559" s="13">
        <v>45745</v>
      </c>
      <c r="B559">
        <v>2025</v>
      </c>
      <c r="C559">
        <v>3</v>
      </c>
      <c r="D559" t="s">
        <v>3</v>
      </c>
      <c r="E559" t="s">
        <v>76</v>
      </c>
      <c r="F559">
        <v>285</v>
      </c>
      <c r="G559">
        <v>285</v>
      </c>
      <c r="H559">
        <v>0</v>
      </c>
      <c r="I559">
        <v>13</v>
      </c>
      <c r="J559" s="17">
        <v>0.84319526627218933</v>
      </c>
      <c r="K559">
        <v>48</v>
      </c>
      <c r="L559">
        <v>44</v>
      </c>
      <c r="M559" s="17">
        <v>0.91666666666666663</v>
      </c>
      <c r="N559" s="25">
        <v>13068.25</v>
      </c>
      <c r="O559" s="25">
        <v>3063.75</v>
      </c>
      <c r="P559" s="25">
        <v>9360</v>
      </c>
      <c r="Q559" s="25">
        <v>25492</v>
      </c>
      <c r="R559" s="18">
        <v>89.445614035087715</v>
      </c>
    </row>
    <row r="560" spans="1:18" x14ac:dyDescent="0.35">
      <c r="A560" s="13">
        <v>45752</v>
      </c>
      <c r="B560">
        <v>2025</v>
      </c>
      <c r="C560">
        <v>4</v>
      </c>
      <c r="D560" t="s">
        <v>3</v>
      </c>
      <c r="E560" t="s">
        <v>76</v>
      </c>
      <c r="F560">
        <v>281</v>
      </c>
      <c r="G560">
        <v>281</v>
      </c>
      <c r="H560">
        <v>0</v>
      </c>
      <c r="I560">
        <v>14</v>
      </c>
      <c r="J560" s="17">
        <v>0.77197802197802201</v>
      </c>
      <c r="K560">
        <v>48</v>
      </c>
      <c r="L560">
        <v>46</v>
      </c>
      <c r="M560" s="17">
        <v>0.95833333333333337</v>
      </c>
      <c r="N560" s="25">
        <v>14073.5</v>
      </c>
      <c r="O560" s="25">
        <v>3020.75</v>
      </c>
      <c r="P560" s="25">
        <v>9360</v>
      </c>
      <c r="Q560" s="25">
        <v>26454.25</v>
      </c>
      <c r="R560" s="18">
        <v>94.143238434163706</v>
      </c>
    </row>
    <row r="561" spans="1:18" x14ac:dyDescent="0.35">
      <c r="A561" s="13">
        <v>45759</v>
      </c>
      <c r="B561">
        <v>2025</v>
      </c>
      <c r="C561">
        <v>4</v>
      </c>
      <c r="D561" t="s">
        <v>3</v>
      </c>
      <c r="E561" t="s">
        <v>76</v>
      </c>
      <c r="F561">
        <v>297</v>
      </c>
      <c r="G561">
        <v>297</v>
      </c>
      <c r="H561">
        <v>0</v>
      </c>
      <c r="I561">
        <v>14</v>
      </c>
      <c r="J561" s="17">
        <v>0.81593406593406592</v>
      </c>
      <c r="K561">
        <v>48</v>
      </c>
      <c r="L561">
        <v>45</v>
      </c>
      <c r="M561" s="17">
        <v>0.9375</v>
      </c>
      <c r="N561" s="25">
        <v>14073.5</v>
      </c>
      <c r="O561" s="25">
        <v>3192.75</v>
      </c>
      <c r="P561" s="25">
        <v>9360</v>
      </c>
      <c r="Q561" s="25">
        <v>26626.25</v>
      </c>
      <c r="R561" s="18">
        <v>89.650673400673398</v>
      </c>
    </row>
    <row r="562" spans="1:18" x14ac:dyDescent="0.35">
      <c r="A562" s="13">
        <v>45766</v>
      </c>
      <c r="B562">
        <v>2025</v>
      </c>
      <c r="C562">
        <v>4</v>
      </c>
      <c r="D562" t="s">
        <v>3</v>
      </c>
      <c r="E562" t="s">
        <v>76</v>
      </c>
      <c r="F562">
        <v>301</v>
      </c>
      <c r="G562">
        <v>301</v>
      </c>
      <c r="H562">
        <v>0</v>
      </c>
      <c r="I562">
        <v>15</v>
      </c>
      <c r="J562" s="17">
        <v>0.77179487179487183</v>
      </c>
      <c r="K562">
        <v>48</v>
      </c>
      <c r="L562">
        <v>41</v>
      </c>
      <c r="M562" s="17">
        <v>0.85416666666666663</v>
      </c>
      <c r="N562" s="25">
        <v>15078.75</v>
      </c>
      <c r="O562" s="25">
        <v>3235.75</v>
      </c>
      <c r="P562" s="25">
        <v>9360</v>
      </c>
      <c r="Q562" s="25">
        <v>27674.5</v>
      </c>
      <c r="R562" s="18">
        <v>91.941860465116278</v>
      </c>
    </row>
    <row r="563" spans="1:18" x14ac:dyDescent="0.35">
      <c r="A563" s="13">
        <v>45773</v>
      </c>
      <c r="B563">
        <v>2025</v>
      </c>
      <c r="C563">
        <v>4</v>
      </c>
      <c r="D563" t="s">
        <v>3</v>
      </c>
      <c r="E563" t="s">
        <v>76</v>
      </c>
      <c r="F563">
        <v>292</v>
      </c>
      <c r="G563">
        <v>292</v>
      </c>
      <c r="H563">
        <v>0</v>
      </c>
      <c r="I563">
        <v>14</v>
      </c>
      <c r="J563" s="17">
        <v>0.80219780219780223</v>
      </c>
      <c r="K563">
        <v>48</v>
      </c>
      <c r="L563">
        <v>47</v>
      </c>
      <c r="M563" s="17">
        <v>0.97916666666666663</v>
      </c>
      <c r="N563" s="25">
        <v>14073.5</v>
      </c>
      <c r="O563" s="25">
        <v>3139</v>
      </c>
      <c r="P563" s="25">
        <v>9360</v>
      </c>
      <c r="Q563" s="25">
        <v>26572.5</v>
      </c>
      <c r="R563" s="18">
        <v>91.001712328767127</v>
      </c>
    </row>
    <row r="564" spans="1:18" x14ac:dyDescent="0.35">
      <c r="A564" s="13">
        <v>45780</v>
      </c>
      <c r="B564">
        <v>2025</v>
      </c>
      <c r="C564">
        <v>5</v>
      </c>
      <c r="D564" t="s">
        <v>3</v>
      </c>
      <c r="E564" t="s">
        <v>76</v>
      </c>
      <c r="F564">
        <v>318</v>
      </c>
      <c r="G564">
        <v>318</v>
      </c>
      <c r="H564">
        <v>0</v>
      </c>
      <c r="I564">
        <v>16</v>
      </c>
      <c r="J564" s="17">
        <v>0.76442307692307687</v>
      </c>
      <c r="K564">
        <v>48</v>
      </c>
      <c r="L564">
        <v>46</v>
      </c>
      <c r="M564" s="17">
        <v>0.95833333333333337</v>
      </c>
      <c r="N564" s="25">
        <v>16084</v>
      </c>
      <c r="O564" s="25">
        <v>3418.5</v>
      </c>
      <c r="P564" s="25">
        <v>9360</v>
      </c>
      <c r="Q564" s="25">
        <v>28862.5</v>
      </c>
      <c r="R564" s="18">
        <v>90.762578616352201</v>
      </c>
    </row>
    <row r="565" spans="1:18" x14ac:dyDescent="0.35">
      <c r="A565" s="13">
        <v>45787</v>
      </c>
      <c r="B565">
        <v>2025</v>
      </c>
      <c r="C565">
        <v>5</v>
      </c>
      <c r="D565" t="s">
        <v>3</v>
      </c>
      <c r="E565" t="s">
        <v>76</v>
      </c>
      <c r="F565">
        <v>319</v>
      </c>
      <c r="G565">
        <v>319</v>
      </c>
      <c r="H565">
        <v>0</v>
      </c>
      <c r="I565">
        <v>15</v>
      </c>
      <c r="J565" s="17">
        <v>0.81794871794871793</v>
      </c>
      <c r="K565">
        <v>48</v>
      </c>
      <c r="L565">
        <v>45</v>
      </c>
      <c r="M565" s="17">
        <v>0.9375</v>
      </c>
      <c r="N565" s="25">
        <v>15078.75</v>
      </c>
      <c r="O565" s="25">
        <v>3429.25</v>
      </c>
      <c r="P565" s="25">
        <v>9360</v>
      </c>
      <c r="Q565" s="25">
        <v>27868</v>
      </c>
      <c r="R565" s="18">
        <v>87.360501567398117</v>
      </c>
    </row>
    <row r="566" spans="1:18" x14ac:dyDescent="0.35">
      <c r="A566" s="13">
        <v>45794</v>
      </c>
      <c r="B566">
        <v>2025</v>
      </c>
      <c r="C566">
        <v>5</v>
      </c>
      <c r="D566" t="s">
        <v>3</v>
      </c>
      <c r="E566" t="s">
        <v>76</v>
      </c>
      <c r="F566">
        <v>318</v>
      </c>
      <c r="G566">
        <v>318</v>
      </c>
      <c r="H566">
        <v>0</v>
      </c>
      <c r="I566">
        <v>15</v>
      </c>
      <c r="J566" s="17">
        <v>0.81538461538461537</v>
      </c>
      <c r="K566">
        <v>48</v>
      </c>
      <c r="L566">
        <v>45</v>
      </c>
      <c r="M566" s="17">
        <v>0.9375</v>
      </c>
      <c r="N566" s="25">
        <v>15078.75</v>
      </c>
      <c r="O566" s="25">
        <v>3418.5</v>
      </c>
      <c r="P566" s="25">
        <v>9360</v>
      </c>
      <c r="Q566" s="25">
        <v>27857.25</v>
      </c>
      <c r="R566" s="18">
        <v>87.601415094339629</v>
      </c>
    </row>
    <row r="567" spans="1:18" x14ac:dyDescent="0.35">
      <c r="A567" s="13">
        <v>45801</v>
      </c>
      <c r="B567">
        <v>2025</v>
      </c>
      <c r="C567">
        <v>5</v>
      </c>
      <c r="D567" t="s">
        <v>3</v>
      </c>
      <c r="E567" t="s">
        <v>76</v>
      </c>
      <c r="F567">
        <v>324</v>
      </c>
      <c r="G567">
        <v>324</v>
      </c>
      <c r="H567">
        <v>0</v>
      </c>
      <c r="I567">
        <v>15</v>
      </c>
      <c r="J567" s="17">
        <v>0.83076923076923082</v>
      </c>
      <c r="K567">
        <v>48</v>
      </c>
      <c r="L567">
        <v>43</v>
      </c>
      <c r="M567" s="17">
        <v>0.89583333333333337</v>
      </c>
      <c r="N567" s="25">
        <v>15078.75</v>
      </c>
      <c r="O567" s="25">
        <v>3483</v>
      </c>
      <c r="P567" s="25">
        <v>9360</v>
      </c>
      <c r="Q567" s="25">
        <v>27921.75</v>
      </c>
      <c r="R567" s="18">
        <v>86.178240740740748</v>
      </c>
    </row>
    <row r="568" spans="1:18" x14ac:dyDescent="0.35">
      <c r="A568" s="13">
        <v>45808</v>
      </c>
      <c r="B568">
        <v>2025</v>
      </c>
      <c r="C568">
        <v>5</v>
      </c>
      <c r="D568" t="s">
        <v>3</v>
      </c>
      <c r="E568" t="s">
        <v>76</v>
      </c>
      <c r="F568">
        <v>318</v>
      </c>
      <c r="G568">
        <v>318</v>
      </c>
      <c r="H568">
        <v>0</v>
      </c>
      <c r="I568">
        <v>15</v>
      </c>
      <c r="J568" s="17">
        <v>0.81538461538461537</v>
      </c>
      <c r="K568">
        <v>48</v>
      </c>
      <c r="L568">
        <v>47</v>
      </c>
      <c r="M568" s="17">
        <v>0.97916666666666663</v>
      </c>
      <c r="N568" s="25">
        <v>15078.75</v>
      </c>
      <c r="O568" s="25">
        <v>3418.5</v>
      </c>
      <c r="P568" s="25">
        <v>9360</v>
      </c>
      <c r="Q568" s="25">
        <v>27857.25</v>
      </c>
      <c r="R568" s="18">
        <v>87.601415094339629</v>
      </c>
    </row>
    <row r="569" spans="1:18" x14ac:dyDescent="0.35">
      <c r="A569" s="13">
        <v>45815</v>
      </c>
      <c r="B569">
        <v>2025</v>
      </c>
      <c r="C569">
        <v>6</v>
      </c>
      <c r="D569" t="s">
        <v>3</v>
      </c>
      <c r="E569" t="s">
        <v>76</v>
      </c>
      <c r="F569">
        <v>309</v>
      </c>
      <c r="G569">
        <v>309</v>
      </c>
      <c r="H569">
        <v>0</v>
      </c>
      <c r="I569">
        <v>15</v>
      </c>
      <c r="J569" s="17">
        <v>0.79230769230769227</v>
      </c>
      <c r="K569">
        <v>48</v>
      </c>
      <c r="L569">
        <v>46</v>
      </c>
      <c r="M569" s="17">
        <v>0.95833333333333337</v>
      </c>
      <c r="N569" s="25">
        <v>15078.75</v>
      </c>
      <c r="O569" s="25">
        <v>3321.75</v>
      </c>
      <c r="P569" s="25">
        <v>9360</v>
      </c>
      <c r="Q569" s="25">
        <v>27760.5</v>
      </c>
      <c r="R569" s="18">
        <v>89.839805825242721</v>
      </c>
    </row>
    <row r="570" spans="1:18" x14ac:dyDescent="0.35">
      <c r="A570" s="13">
        <v>45822</v>
      </c>
      <c r="B570">
        <v>2025</v>
      </c>
      <c r="C570">
        <v>6</v>
      </c>
      <c r="D570" t="s">
        <v>3</v>
      </c>
      <c r="E570" t="s">
        <v>76</v>
      </c>
      <c r="F570">
        <v>302</v>
      </c>
      <c r="G570">
        <v>302</v>
      </c>
      <c r="H570">
        <v>0</v>
      </c>
      <c r="I570">
        <v>14</v>
      </c>
      <c r="J570" s="17">
        <v>0.82967032967032972</v>
      </c>
      <c r="K570">
        <v>48</v>
      </c>
      <c r="L570">
        <v>44</v>
      </c>
      <c r="M570" s="17">
        <v>0.91666666666666663</v>
      </c>
      <c r="N570" s="25">
        <v>14073.5</v>
      </c>
      <c r="O570" s="25">
        <v>3246.5</v>
      </c>
      <c r="P570" s="25">
        <v>9360</v>
      </c>
      <c r="Q570" s="25">
        <v>26680</v>
      </c>
      <c r="R570" s="18">
        <v>88.344370860927157</v>
      </c>
    </row>
    <row r="571" spans="1:18" x14ac:dyDescent="0.35">
      <c r="A571" s="13">
        <v>45829</v>
      </c>
      <c r="B571">
        <v>2025</v>
      </c>
      <c r="C571">
        <v>6</v>
      </c>
      <c r="D571" t="s">
        <v>3</v>
      </c>
      <c r="E571" t="s">
        <v>76</v>
      </c>
      <c r="F571">
        <v>294</v>
      </c>
      <c r="G571">
        <v>294</v>
      </c>
      <c r="H571">
        <v>0</v>
      </c>
      <c r="I571">
        <v>15</v>
      </c>
      <c r="J571" s="17">
        <v>0.75384615384615383</v>
      </c>
      <c r="K571">
        <v>48</v>
      </c>
      <c r="L571">
        <v>45</v>
      </c>
      <c r="M571" s="17">
        <v>0.9375</v>
      </c>
      <c r="N571" s="25">
        <v>15078.75</v>
      </c>
      <c r="O571" s="25">
        <v>3160.5</v>
      </c>
      <c r="P571" s="25">
        <v>9360</v>
      </c>
      <c r="Q571" s="25">
        <v>27599.25</v>
      </c>
      <c r="R571" s="18">
        <v>93.875</v>
      </c>
    </row>
    <row r="572" spans="1:18" x14ac:dyDescent="0.35">
      <c r="A572" s="13">
        <v>45836</v>
      </c>
      <c r="B572">
        <v>2025</v>
      </c>
      <c r="C572">
        <v>6</v>
      </c>
      <c r="D572" t="s">
        <v>3</v>
      </c>
      <c r="E572" t="s">
        <v>76</v>
      </c>
      <c r="F572">
        <v>321</v>
      </c>
      <c r="G572">
        <v>321</v>
      </c>
      <c r="H572">
        <v>0</v>
      </c>
      <c r="I572">
        <v>15</v>
      </c>
      <c r="J572" s="17">
        <v>0.82307692307692304</v>
      </c>
      <c r="K572">
        <v>48</v>
      </c>
      <c r="L572">
        <v>44</v>
      </c>
      <c r="M572" s="17">
        <v>0.91666666666666663</v>
      </c>
      <c r="N572" s="25">
        <v>15078.75</v>
      </c>
      <c r="O572" s="25">
        <v>3450.75</v>
      </c>
      <c r="P572" s="25">
        <v>9360</v>
      </c>
      <c r="Q572" s="25">
        <v>27889.5</v>
      </c>
      <c r="R572" s="18">
        <v>86.883177570093451</v>
      </c>
    </row>
    <row r="573" spans="1:18" x14ac:dyDescent="0.35">
      <c r="A573" s="13">
        <v>45843</v>
      </c>
      <c r="B573">
        <v>2025</v>
      </c>
      <c r="C573">
        <v>7</v>
      </c>
      <c r="D573" t="s">
        <v>3</v>
      </c>
      <c r="E573" t="s">
        <v>76</v>
      </c>
      <c r="F573">
        <v>303</v>
      </c>
      <c r="G573">
        <v>303</v>
      </c>
      <c r="H573">
        <v>0</v>
      </c>
      <c r="I573">
        <v>14</v>
      </c>
      <c r="J573" s="17">
        <v>0.83241758241758246</v>
      </c>
      <c r="K573">
        <v>48</v>
      </c>
      <c r="L573">
        <v>45</v>
      </c>
      <c r="M573" s="17">
        <v>0.9375</v>
      </c>
      <c r="N573" s="25">
        <v>14073.5</v>
      </c>
      <c r="O573" s="25">
        <v>3257.25</v>
      </c>
      <c r="P573" s="25">
        <v>9360</v>
      </c>
      <c r="Q573" s="25">
        <v>26690.75</v>
      </c>
      <c r="R573" s="18">
        <v>88.088283828382842</v>
      </c>
    </row>
    <row r="574" spans="1:18" x14ac:dyDescent="0.35">
      <c r="A574" s="13">
        <v>45850</v>
      </c>
      <c r="B574">
        <v>2025</v>
      </c>
      <c r="C574">
        <v>7</v>
      </c>
      <c r="D574" t="s">
        <v>3</v>
      </c>
      <c r="E574" t="s">
        <v>76</v>
      </c>
      <c r="F574">
        <v>307</v>
      </c>
      <c r="G574">
        <v>307</v>
      </c>
      <c r="H574">
        <v>0</v>
      </c>
      <c r="I574">
        <v>14</v>
      </c>
      <c r="J574" s="17">
        <v>0.84340659340659341</v>
      </c>
      <c r="K574">
        <v>48</v>
      </c>
      <c r="L574">
        <v>42</v>
      </c>
      <c r="M574" s="17">
        <v>0.875</v>
      </c>
      <c r="N574" s="25">
        <v>14073.5</v>
      </c>
      <c r="O574" s="25">
        <v>3300.25</v>
      </c>
      <c r="P574" s="25">
        <v>9360</v>
      </c>
      <c r="Q574" s="25">
        <v>26733.75</v>
      </c>
      <c r="R574" s="18">
        <v>87.080618892508141</v>
      </c>
    </row>
    <row r="575" spans="1:18" x14ac:dyDescent="0.35">
      <c r="A575" s="13">
        <v>45857</v>
      </c>
      <c r="B575">
        <v>2025</v>
      </c>
      <c r="C575">
        <v>7</v>
      </c>
      <c r="D575" t="s">
        <v>3</v>
      </c>
      <c r="E575" t="s">
        <v>76</v>
      </c>
      <c r="F575">
        <v>306</v>
      </c>
      <c r="G575">
        <v>306</v>
      </c>
      <c r="H575">
        <v>0</v>
      </c>
      <c r="I575">
        <v>14</v>
      </c>
      <c r="J575" s="17">
        <v>0.84065934065934067</v>
      </c>
      <c r="K575">
        <v>48</v>
      </c>
      <c r="L575">
        <v>42</v>
      </c>
      <c r="M575" s="17">
        <v>0.875</v>
      </c>
      <c r="N575" s="25">
        <v>14073.5</v>
      </c>
      <c r="O575" s="25">
        <v>3289.5</v>
      </c>
      <c r="P575" s="25">
        <v>9360</v>
      </c>
      <c r="Q575" s="25">
        <v>26723</v>
      </c>
      <c r="R575" s="18">
        <v>87.330065359477118</v>
      </c>
    </row>
    <row r="576" spans="1:18" x14ac:dyDescent="0.35">
      <c r="A576" s="13">
        <v>45864</v>
      </c>
      <c r="B576">
        <v>2025</v>
      </c>
      <c r="C576">
        <v>7</v>
      </c>
      <c r="D576" t="s">
        <v>3</v>
      </c>
      <c r="E576" t="s">
        <v>76</v>
      </c>
      <c r="F576">
        <v>322</v>
      </c>
      <c r="G576">
        <v>322</v>
      </c>
      <c r="H576">
        <v>0</v>
      </c>
      <c r="I576">
        <v>15</v>
      </c>
      <c r="J576" s="17">
        <v>0.82564102564102559</v>
      </c>
      <c r="K576">
        <v>48</v>
      </c>
      <c r="L576">
        <v>45</v>
      </c>
      <c r="M576" s="17">
        <v>0.9375</v>
      </c>
      <c r="N576" s="25">
        <v>15078.75</v>
      </c>
      <c r="O576" s="25">
        <v>3461.5</v>
      </c>
      <c r="P576" s="25">
        <v>9360</v>
      </c>
      <c r="Q576" s="25">
        <v>27900.25</v>
      </c>
      <c r="R576" s="18">
        <v>86.646739130434781</v>
      </c>
    </row>
    <row r="577" spans="1:18" x14ac:dyDescent="0.35">
      <c r="A577" s="13">
        <v>45871</v>
      </c>
      <c r="B577">
        <v>2025</v>
      </c>
      <c r="C577">
        <v>8</v>
      </c>
      <c r="D577" t="s">
        <v>3</v>
      </c>
      <c r="E577" t="s">
        <v>76</v>
      </c>
      <c r="F577">
        <v>329</v>
      </c>
      <c r="G577">
        <v>329</v>
      </c>
      <c r="H577">
        <v>0</v>
      </c>
      <c r="I577">
        <v>15</v>
      </c>
      <c r="J577" s="17">
        <v>0.84358974358974359</v>
      </c>
      <c r="K577">
        <v>48</v>
      </c>
      <c r="L577">
        <v>46</v>
      </c>
      <c r="M577" s="17">
        <v>0.95833333333333337</v>
      </c>
      <c r="N577" s="25">
        <v>15078.75</v>
      </c>
      <c r="O577" s="25">
        <v>3536.75</v>
      </c>
      <c r="P577" s="25">
        <v>9360</v>
      </c>
      <c r="Q577" s="25">
        <v>27975.5</v>
      </c>
      <c r="R577" s="18">
        <v>85.031914893617028</v>
      </c>
    </row>
    <row r="578" spans="1:18" x14ac:dyDescent="0.35">
      <c r="A578" s="13">
        <v>45878</v>
      </c>
      <c r="B578">
        <v>2025</v>
      </c>
      <c r="C578">
        <v>8</v>
      </c>
      <c r="D578" t="s">
        <v>3</v>
      </c>
      <c r="E578" t="s">
        <v>76</v>
      </c>
      <c r="F578">
        <v>311</v>
      </c>
      <c r="G578">
        <v>311</v>
      </c>
      <c r="H578">
        <v>0</v>
      </c>
      <c r="I578">
        <v>15</v>
      </c>
      <c r="J578" s="17">
        <v>0.79743589743589749</v>
      </c>
      <c r="K578">
        <v>48</v>
      </c>
      <c r="L578">
        <v>44</v>
      </c>
      <c r="M578" s="17">
        <v>0.91666666666666663</v>
      </c>
      <c r="N578" s="25">
        <v>15078.75</v>
      </c>
      <c r="O578" s="25">
        <v>3343.25</v>
      </c>
      <c r="P578" s="25">
        <v>9360</v>
      </c>
      <c r="Q578" s="25">
        <v>27782</v>
      </c>
      <c r="R578" s="18">
        <v>89.331189710610929</v>
      </c>
    </row>
    <row r="579" spans="1:18" x14ac:dyDescent="0.35">
      <c r="A579" s="13">
        <v>45885</v>
      </c>
      <c r="B579">
        <v>2025</v>
      </c>
      <c r="C579">
        <v>8</v>
      </c>
      <c r="D579" t="s">
        <v>3</v>
      </c>
      <c r="E579" t="s">
        <v>76</v>
      </c>
      <c r="F579">
        <v>321</v>
      </c>
      <c r="G579">
        <v>321</v>
      </c>
      <c r="H579">
        <v>0</v>
      </c>
      <c r="I579">
        <v>15</v>
      </c>
      <c r="J579" s="17">
        <v>0.82307692307692304</v>
      </c>
      <c r="K579">
        <v>48</v>
      </c>
      <c r="L579">
        <v>41</v>
      </c>
      <c r="M579" s="17">
        <v>0.85416666666666663</v>
      </c>
      <c r="N579" s="25">
        <v>15078.75</v>
      </c>
      <c r="O579" s="25">
        <v>3450.75</v>
      </c>
      <c r="P579" s="25">
        <v>9360</v>
      </c>
      <c r="Q579" s="25">
        <v>27889.5</v>
      </c>
      <c r="R579" s="18">
        <v>86.883177570093451</v>
      </c>
    </row>
    <row r="580" spans="1:18" x14ac:dyDescent="0.35">
      <c r="A580" s="13">
        <v>45892</v>
      </c>
      <c r="B580">
        <v>2025</v>
      </c>
      <c r="C580">
        <v>8</v>
      </c>
      <c r="D580" t="s">
        <v>3</v>
      </c>
      <c r="E580" t="s">
        <v>76</v>
      </c>
      <c r="F580">
        <v>308</v>
      </c>
      <c r="G580">
        <v>308</v>
      </c>
      <c r="H580">
        <v>0</v>
      </c>
      <c r="I580">
        <v>16</v>
      </c>
      <c r="J580" s="17">
        <v>0.74038461538461542</v>
      </c>
      <c r="K580">
        <v>48</v>
      </c>
      <c r="L580">
        <v>47</v>
      </c>
      <c r="M580" s="17">
        <v>0.97916666666666663</v>
      </c>
      <c r="N580" s="25">
        <v>16084</v>
      </c>
      <c r="O580" s="25">
        <v>3311</v>
      </c>
      <c r="P580" s="25">
        <v>9360</v>
      </c>
      <c r="Q580" s="25">
        <v>28755</v>
      </c>
      <c r="R580" s="18">
        <v>93.360389610389603</v>
      </c>
    </row>
    <row r="581" spans="1:18" x14ac:dyDescent="0.35">
      <c r="A581" s="13">
        <v>45899</v>
      </c>
      <c r="B581">
        <v>2025</v>
      </c>
      <c r="C581">
        <v>8</v>
      </c>
      <c r="D581" t="s">
        <v>3</v>
      </c>
      <c r="E581" t="s">
        <v>76</v>
      </c>
      <c r="F581">
        <v>304</v>
      </c>
      <c r="G581">
        <v>304</v>
      </c>
      <c r="H581">
        <v>0</v>
      </c>
      <c r="I581">
        <v>15</v>
      </c>
      <c r="J581" s="17">
        <v>0.77948717948717949</v>
      </c>
      <c r="K581">
        <v>48</v>
      </c>
      <c r="L581">
        <v>44</v>
      </c>
      <c r="M581" s="17">
        <v>0.91666666666666663</v>
      </c>
      <c r="N581" s="25">
        <v>15078.75</v>
      </c>
      <c r="O581" s="25">
        <v>3268</v>
      </c>
      <c r="P581" s="25">
        <v>9360</v>
      </c>
      <c r="Q581" s="25">
        <v>27706.75</v>
      </c>
      <c r="R581" s="18">
        <v>91.140625</v>
      </c>
    </row>
    <row r="582" spans="1:18" x14ac:dyDescent="0.35">
      <c r="A582" s="13">
        <v>45906</v>
      </c>
      <c r="B582">
        <v>2025</v>
      </c>
      <c r="C582">
        <v>9</v>
      </c>
      <c r="D582" t="s">
        <v>3</v>
      </c>
      <c r="E582" t="s">
        <v>76</v>
      </c>
      <c r="F582">
        <v>291</v>
      </c>
      <c r="G582">
        <v>291</v>
      </c>
      <c r="H582">
        <v>0</v>
      </c>
      <c r="I582">
        <v>14</v>
      </c>
      <c r="J582" s="17">
        <v>0.7994505494505495</v>
      </c>
      <c r="K582">
        <v>48</v>
      </c>
      <c r="L582">
        <v>44</v>
      </c>
      <c r="M582" s="17">
        <v>0.91666666666666663</v>
      </c>
      <c r="N582" s="25">
        <v>14073.5</v>
      </c>
      <c r="O582" s="25">
        <v>3128.25</v>
      </c>
      <c r="P582" s="25">
        <v>9360</v>
      </c>
      <c r="Q582" s="25">
        <v>26561.75</v>
      </c>
      <c r="R582" s="18">
        <v>91.277491408934708</v>
      </c>
    </row>
    <row r="583" spans="1:18" x14ac:dyDescent="0.35">
      <c r="A583" s="13">
        <v>45913</v>
      </c>
      <c r="B583">
        <v>2025</v>
      </c>
      <c r="C583">
        <v>9</v>
      </c>
      <c r="D583" t="s">
        <v>3</v>
      </c>
      <c r="E583" t="s">
        <v>76</v>
      </c>
      <c r="F583">
        <v>276</v>
      </c>
      <c r="G583">
        <v>276</v>
      </c>
      <c r="H583">
        <v>0</v>
      </c>
      <c r="I583">
        <v>14</v>
      </c>
      <c r="J583" s="17">
        <v>0.75824175824175821</v>
      </c>
      <c r="K583">
        <v>48</v>
      </c>
      <c r="L583">
        <v>46</v>
      </c>
      <c r="M583" s="17">
        <v>0.95833333333333337</v>
      </c>
      <c r="N583" s="25">
        <v>14073.5</v>
      </c>
      <c r="O583" s="25">
        <v>2967</v>
      </c>
      <c r="P583" s="25">
        <v>9360</v>
      </c>
      <c r="Q583" s="25">
        <v>26400.5</v>
      </c>
      <c r="R583" s="18">
        <v>95.653985507246375</v>
      </c>
    </row>
    <row r="584" spans="1:18" x14ac:dyDescent="0.35">
      <c r="A584" s="13">
        <v>45920</v>
      </c>
      <c r="B584">
        <v>2025</v>
      </c>
      <c r="C584">
        <v>9</v>
      </c>
      <c r="D584" t="s">
        <v>3</v>
      </c>
      <c r="E584" t="s">
        <v>76</v>
      </c>
      <c r="F584">
        <v>293</v>
      </c>
      <c r="G584">
        <v>293</v>
      </c>
      <c r="H584">
        <v>0</v>
      </c>
      <c r="I584">
        <v>15</v>
      </c>
      <c r="J584" s="17">
        <v>0.75128205128205128</v>
      </c>
      <c r="K584">
        <v>48</v>
      </c>
      <c r="L584">
        <v>43</v>
      </c>
      <c r="M584" s="17">
        <v>0.89583333333333337</v>
      </c>
      <c r="N584" s="25">
        <v>15078.75</v>
      </c>
      <c r="O584" s="25">
        <v>3149.75</v>
      </c>
      <c r="P584" s="25">
        <v>9360</v>
      </c>
      <c r="Q584" s="25">
        <v>27588.5</v>
      </c>
      <c r="R584" s="18">
        <v>94.158703071672349</v>
      </c>
    </row>
    <row r="585" spans="1:18" x14ac:dyDescent="0.35">
      <c r="A585" s="13">
        <v>45927</v>
      </c>
      <c r="B585">
        <v>2025</v>
      </c>
      <c r="C585">
        <v>9</v>
      </c>
      <c r="D585" t="s">
        <v>3</v>
      </c>
      <c r="E585" t="s">
        <v>76</v>
      </c>
      <c r="F585">
        <v>291</v>
      </c>
      <c r="G585">
        <v>291</v>
      </c>
      <c r="H585">
        <v>0</v>
      </c>
      <c r="I585">
        <v>14</v>
      </c>
      <c r="J585" s="17">
        <v>0.7994505494505495</v>
      </c>
      <c r="K585">
        <v>48</v>
      </c>
      <c r="L585">
        <v>44</v>
      </c>
      <c r="M585" s="17">
        <v>0.91666666666666663</v>
      </c>
      <c r="N585" s="25">
        <v>14073.5</v>
      </c>
      <c r="O585" s="25">
        <v>3128.25</v>
      </c>
      <c r="P585" s="25">
        <v>9360</v>
      </c>
      <c r="Q585" s="25">
        <v>26561.75</v>
      </c>
      <c r="R585" s="18">
        <v>91.277491408934708</v>
      </c>
    </row>
    <row r="586" spans="1:18" x14ac:dyDescent="0.35">
      <c r="A586" s="13">
        <v>45934</v>
      </c>
      <c r="B586">
        <v>2025</v>
      </c>
      <c r="C586">
        <v>10</v>
      </c>
      <c r="D586" t="s">
        <v>3</v>
      </c>
      <c r="E586" t="s">
        <v>76</v>
      </c>
      <c r="F586">
        <v>300</v>
      </c>
      <c r="G586">
        <v>300</v>
      </c>
      <c r="H586">
        <v>0</v>
      </c>
      <c r="I586">
        <v>14</v>
      </c>
      <c r="J586" s="17">
        <v>0.82417582417582413</v>
      </c>
      <c r="K586">
        <v>48</v>
      </c>
      <c r="L586">
        <v>45</v>
      </c>
      <c r="M586" s="17">
        <v>0.9375</v>
      </c>
      <c r="N586" s="25">
        <v>14073.5</v>
      </c>
      <c r="O586" s="25">
        <v>3225</v>
      </c>
      <c r="P586" s="25">
        <v>9360</v>
      </c>
      <c r="Q586" s="25">
        <v>26658.5</v>
      </c>
      <c r="R586" s="18">
        <v>88.861666666666665</v>
      </c>
    </row>
    <row r="587" spans="1:18" x14ac:dyDescent="0.35">
      <c r="A587" s="13">
        <v>45941</v>
      </c>
      <c r="B587">
        <v>2025</v>
      </c>
      <c r="C587">
        <v>10</v>
      </c>
      <c r="D587" t="s">
        <v>3</v>
      </c>
      <c r="E587" t="s">
        <v>76</v>
      </c>
      <c r="F587">
        <v>300</v>
      </c>
      <c r="G587">
        <v>300</v>
      </c>
      <c r="H587">
        <v>0</v>
      </c>
      <c r="I587">
        <v>15</v>
      </c>
      <c r="J587" s="17">
        <v>0.76923076923076927</v>
      </c>
      <c r="K587">
        <v>48</v>
      </c>
      <c r="L587">
        <v>47</v>
      </c>
      <c r="M587" s="17">
        <v>0.97916666666666663</v>
      </c>
      <c r="N587" s="25">
        <v>15078.75</v>
      </c>
      <c r="O587" s="25">
        <v>3225</v>
      </c>
      <c r="P587" s="25">
        <v>9360</v>
      </c>
      <c r="Q587" s="25">
        <v>27663.75</v>
      </c>
      <c r="R587" s="18">
        <v>92.212500000000006</v>
      </c>
    </row>
    <row r="588" spans="1:18" x14ac:dyDescent="0.35">
      <c r="A588" s="13">
        <v>45948</v>
      </c>
      <c r="B588">
        <v>2025</v>
      </c>
      <c r="C588">
        <v>10</v>
      </c>
      <c r="D588" t="s">
        <v>3</v>
      </c>
      <c r="E588" t="s">
        <v>76</v>
      </c>
      <c r="F588">
        <v>308</v>
      </c>
      <c r="G588">
        <v>308</v>
      </c>
      <c r="H588">
        <v>0</v>
      </c>
      <c r="I588">
        <v>15</v>
      </c>
      <c r="J588" s="17">
        <v>0.78974358974358971</v>
      </c>
      <c r="K588">
        <v>48</v>
      </c>
      <c r="L588">
        <v>43</v>
      </c>
      <c r="M588" s="17">
        <v>0.89583333333333337</v>
      </c>
      <c r="N588" s="25">
        <v>15078.75</v>
      </c>
      <c r="O588" s="25">
        <v>3311</v>
      </c>
      <c r="P588" s="25">
        <v>9360</v>
      </c>
      <c r="Q588" s="25">
        <v>27749.75</v>
      </c>
      <c r="R588" s="18">
        <v>90.096590909090907</v>
      </c>
    </row>
    <row r="589" spans="1:18" x14ac:dyDescent="0.35">
      <c r="A589" s="13">
        <v>45955</v>
      </c>
      <c r="B589">
        <v>2025</v>
      </c>
      <c r="C589">
        <v>10</v>
      </c>
      <c r="D589" t="s">
        <v>3</v>
      </c>
      <c r="E589" t="s">
        <v>76</v>
      </c>
      <c r="F589">
        <v>329</v>
      </c>
      <c r="G589">
        <v>329</v>
      </c>
      <c r="H589">
        <v>0</v>
      </c>
      <c r="I589">
        <v>16</v>
      </c>
      <c r="J589" s="17">
        <v>0.79086538461538458</v>
      </c>
      <c r="K589">
        <v>48</v>
      </c>
      <c r="L589">
        <v>44</v>
      </c>
      <c r="M589" s="17">
        <v>0.91666666666666663</v>
      </c>
      <c r="N589" s="25">
        <v>16084</v>
      </c>
      <c r="O589" s="25">
        <v>3536.75</v>
      </c>
      <c r="P589" s="25">
        <v>9360</v>
      </c>
      <c r="Q589" s="25">
        <v>28980.75</v>
      </c>
      <c r="R589" s="18">
        <v>88.087386018237083</v>
      </c>
    </row>
    <row r="590" spans="1:18" x14ac:dyDescent="0.35">
      <c r="A590" s="13">
        <v>45962</v>
      </c>
      <c r="B590">
        <v>2025</v>
      </c>
      <c r="C590">
        <v>11</v>
      </c>
      <c r="D590" t="s">
        <v>3</v>
      </c>
      <c r="E590" t="s">
        <v>76</v>
      </c>
      <c r="F590">
        <v>337</v>
      </c>
      <c r="G590">
        <v>337</v>
      </c>
      <c r="H590">
        <v>0</v>
      </c>
      <c r="I590">
        <v>16</v>
      </c>
      <c r="J590" s="17">
        <v>0.81009615384615385</v>
      </c>
      <c r="K590">
        <v>48</v>
      </c>
      <c r="L590">
        <v>46</v>
      </c>
      <c r="M590" s="17">
        <v>0.95833333333333337</v>
      </c>
      <c r="N590" s="25">
        <v>16084</v>
      </c>
      <c r="O590" s="25">
        <v>3622.75</v>
      </c>
      <c r="P590" s="25">
        <v>9360</v>
      </c>
      <c r="Q590" s="25">
        <v>29066.75</v>
      </c>
      <c r="R590" s="18">
        <v>86.251483679525222</v>
      </c>
    </row>
    <row r="591" spans="1:18" x14ac:dyDescent="0.35">
      <c r="A591" s="13">
        <v>45969</v>
      </c>
      <c r="B591">
        <v>2025</v>
      </c>
      <c r="C591">
        <v>11</v>
      </c>
      <c r="D591" t="s">
        <v>3</v>
      </c>
      <c r="E591" t="s">
        <v>76</v>
      </c>
      <c r="F591">
        <v>371</v>
      </c>
      <c r="G591">
        <v>370</v>
      </c>
      <c r="H591">
        <v>1</v>
      </c>
      <c r="I591">
        <v>17</v>
      </c>
      <c r="J591" s="17">
        <v>0.83710407239819007</v>
      </c>
      <c r="K591">
        <v>48</v>
      </c>
      <c r="L591">
        <v>38</v>
      </c>
      <c r="M591" s="17">
        <v>0.79166666666666663</v>
      </c>
      <c r="N591" s="25">
        <v>17089.25</v>
      </c>
      <c r="O591" s="25">
        <v>3977.5</v>
      </c>
      <c r="P591" s="25">
        <v>9360</v>
      </c>
      <c r="Q591" s="25">
        <v>30426.75</v>
      </c>
      <c r="R591" s="18">
        <v>82.234459459459458</v>
      </c>
    </row>
    <row r="592" spans="1:18" x14ac:dyDescent="0.35">
      <c r="A592" s="13">
        <v>45976</v>
      </c>
      <c r="B592">
        <v>2025</v>
      </c>
      <c r="C592">
        <v>11</v>
      </c>
      <c r="D592" t="s">
        <v>3</v>
      </c>
      <c r="E592" t="s">
        <v>76</v>
      </c>
      <c r="F592">
        <v>394</v>
      </c>
      <c r="G592">
        <v>383</v>
      </c>
      <c r="H592">
        <v>12</v>
      </c>
      <c r="I592">
        <v>18</v>
      </c>
      <c r="J592" s="17">
        <v>0.81837606837606836</v>
      </c>
      <c r="K592">
        <v>48</v>
      </c>
      <c r="L592">
        <v>46</v>
      </c>
      <c r="M592" s="17">
        <v>0.95833333333333337</v>
      </c>
      <c r="N592" s="25">
        <v>18094.5</v>
      </c>
      <c r="O592" s="25">
        <v>4117.25</v>
      </c>
      <c r="P592" s="25">
        <v>9360</v>
      </c>
      <c r="Q592" s="25">
        <v>31571.75</v>
      </c>
      <c r="R592" s="18">
        <v>82.432767624020883</v>
      </c>
    </row>
    <row r="593" spans="1:18" x14ac:dyDescent="0.35">
      <c r="A593" s="13">
        <v>45983</v>
      </c>
      <c r="B593">
        <v>2025</v>
      </c>
      <c r="C593">
        <v>11</v>
      </c>
      <c r="D593" t="s">
        <v>3</v>
      </c>
      <c r="E593" t="s">
        <v>76</v>
      </c>
      <c r="F593">
        <v>407</v>
      </c>
      <c r="G593">
        <v>392</v>
      </c>
      <c r="H593">
        <v>27</v>
      </c>
      <c r="I593">
        <v>18</v>
      </c>
      <c r="J593" s="17">
        <v>0.83760683760683763</v>
      </c>
      <c r="K593">
        <v>48</v>
      </c>
      <c r="L593">
        <v>44</v>
      </c>
      <c r="M593" s="17">
        <v>0.91666666666666663</v>
      </c>
      <c r="N593" s="25">
        <v>18094.5</v>
      </c>
      <c r="O593" s="25">
        <v>4214</v>
      </c>
      <c r="P593" s="25">
        <v>9360</v>
      </c>
      <c r="Q593" s="25">
        <v>31668.5</v>
      </c>
      <c r="R593" s="18">
        <v>80.786989795918373</v>
      </c>
    </row>
    <row r="594" spans="1:18" x14ac:dyDescent="0.35">
      <c r="A594" s="13">
        <v>45990</v>
      </c>
      <c r="B594">
        <v>2025</v>
      </c>
      <c r="C594">
        <v>11</v>
      </c>
      <c r="D594" t="s">
        <v>3</v>
      </c>
      <c r="E594" t="s">
        <v>76</v>
      </c>
      <c r="F594">
        <v>434</v>
      </c>
      <c r="G594">
        <v>410</v>
      </c>
      <c r="H594">
        <v>51</v>
      </c>
      <c r="I594">
        <v>18</v>
      </c>
      <c r="J594" s="17">
        <v>0.87606837606837606</v>
      </c>
      <c r="K594">
        <v>48</v>
      </c>
      <c r="L594">
        <v>43</v>
      </c>
      <c r="M594" s="17">
        <v>0.89583333333333337</v>
      </c>
      <c r="N594" s="25">
        <v>18094.5</v>
      </c>
      <c r="O594" s="25">
        <v>4407.5</v>
      </c>
      <c r="P594" s="25">
        <v>9360</v>
      </c>
      <c r="Q594" s="25">
        <v>31862</v>
      </c>
      <c r="R594" s="18">
        <v>77.712195121951225</v>
      </c>
    </row>
    <row r="595" spans="1:18" x14ac:dyDescent="0.35">
      <c r="A595" s="13">
        <v>45997</v>
      </c>
      <c r="B595">
        <v>2025</v>
      </c>
      <c r="C595">
        <v>12</v>
      </c>
      <c r="D595" t="s">
        <v>3</v>
      </c>
      <c r="E595" t="s">
        <v>76</v>
      </c>
      <c r="F595">
        <v>473</v>
      </c>
      <c r="G595">
        <v>411</v>
      </c>
      <c r="H595">
        <v>113</v>
      </c>
      <c r="I595">
        <v>19</v>
      </c>
      <c r="J595" s="17">
        <v>0.83198380566801622</v>
      </c>
      <c r="K595">
        <v>48</v>
      </c>
      <c r="L595">
        <v>44</v>
      </c>
      <c r="M595" s="17">
        <v>0.91666666666666663</v>
      </c>
      <c r="N595" s="25">
        <v>19099.75</v>
      </c>
      <c r="O595" s="25">
        <v>4418.25</v>
      </c>
      <c r="P595" s="25">
        <v>9360</v>
      </c>
      <c r="Q595" s="25">
        <v>32878</v>
      </c>
      <c r="R595" s="18">
        <v>79.995133819951334</v>
      </c>
    </row>
    <row r="596" spans="1:18" x14ac:dyDescent="0.35">
      <c r="A596" s="13">
        <v>46004</v>
      </c>
      <c r="B596">
        <v>2025</v>
      </c>
      <c r="C596">
        <v>12</v>
      </c>
      <c r="D596" t="s">
        <v>3</v>
      </c>
      <c r="E596" t="s">
        <v>76</v>
      </c>
      <c r="F596">
        <v>458</v>
      </c>
      <c r="G596">
        <v>409</v>
      </c>
      <c r="H596">
        <v>162</v>
      </c>
      <c r="I596">
        <v>19</v>
      </c>
      <c r="J596" s="17">
        <v>0.82793522267206476</v>
      </c>
      <c r="K596">
        <v>48</v>
      </c>
      <c r="L596">
        <v>44</v>
      </c>
      <c r="M596" s="17">
        <v>0.91666666666666663</v>
      </c>
      <c r="N596" s="25">
        <v>19099.75</v>
      </c>
      <c r="O596" s="25">
        <v>4396.75</v>
      </c>
      <c r="P596" s="25">
        <v>9360</v>
      </c>
      <c r="Q596" s="25">
        <v>32856.5</v>
      </c>
      <c r="R596" s="18">
        <v>80.333740831295842</v>
      </c>
    </row>
    <row r="597" spans="1:18" x14ac:dyDescent="0.35">
      <c r="A597" s="13">
        <v>46011</v>
      </c>
      <c r="B597">
        <v>2025</v>
      </c>
      <c r="C597">
        <v>12</v>
      </c>
      <c r="D597" t="s">
        <v>3</v>
      </c>
      <c r="E597" t="s">
        <v>76</v>
      </c>
      <c r="F597">
        <v>416</v>
      </c>
      <c r="G597">
        <v>411</v>
      </c>
      <c r="H597">
        <v>167</v>
      </c>
      <c r="I597">
        <v>19</v>
      </c>
      <c r="J597" s="17">
        <v>0.83198380566801622</v>
      </c>
      <c r="K597">
        <v>48</v>
      </c>
      <c r="L597">
        <v>43</v>
      </c>
      <c r="M597" s="17">
        <v>0.89583333333333337</v>
      </c>
      <c r="N597" s="25">
        <v>19099.75</v>
      </c>
      <c r="O597" s="25">
        <v>4418.25</v>
      </c>
      <c r="P597" s="25">
        <v>9360</v>
      </c>
      <c r="Q597" s="25">
        <v>32878</v>
      </c>
      <c r="R597" s="18">
        <v>79.995133819951334</v>
      </c>
    </row>
    <row r="598" spans="1:18" x14ac:dyDescent="0.35">
      <c r="A598" s="13">
        <v>46018</v>
      </c>
      <c r="B598">
        <v>2025</v>
      </c>
      <c r="C598">
        <v>12</v>
      </c>
      <c r="D598" t="s">
        <v>3</v>
      </c>
      <c r="E598" t="s">
        <v>76</v>
      </c>
      <c r="F598">
        <v>377</v>
      </c>
      <c r="G598">
        <v>406</v>
      </c>
      <c r="H598">
        <v>138</v>
      </c>
      <c r="I598">
        <v>18</v>
      </c>
      <c r="J598" s="17">
        <v>0.86752136752136755</v>
      </c>
      <c r="K598">
        <v>48</v>
      </c>
      <c r="L598">
        <v>47</v>
      </c>
      <c r="M598" s="17">
        <v>0.97916666666666663</v>
      </c>
      <c r="N598" s="25">
        <v>18094.5</v>
      </c>
      <c r="O598" s="25">
        <v>4364.5</v>
      </c>
      <c r="P598" s="25">
        <v>9360</v>
      </c>
      <c r="Q598" s="25">
        <v>31819</v>
      </c>
      <c r="R598" s="18">
        <v>78.371921182266007</v>
      </c>
    </row>
    <row r="599" spans="1:18" x14ac:dyDescent="0.35">
      <c r="A599" s="13">
        <v>46025</v>
      </c>
      <c r="B599">
        <v>2026</v>
      </c>
      <c r="C599">
        <v>1</v>
      </c>
      <c r="D599" t="s">
        <v>3</v>
      </c>
      <c r="E599" t="s">
        <v>76</v>
      </c>
      <c r="F599">
        <v>320</v>
      </c>
      <c r="G599">
        <v>386</v>
      </c>
      <c r="H599">
        <v>72</v>
      </c>
      <c r="I599">
        <v>18</v>
      </c>
      <c r="J599" s="17">
        <v>0.82478632478632474</v>
      </c>
      <c r="K599">
        <v>48</v>
      </c>
      <c r="L599">
        <v>47</v>
      </c>
      <c r="M599" s="17">
        <v>0.97916666666666663</v>
      </c>
      <c r="N599" s="25">
        <v>18094.5</v>
      </c>
      <c r="O599" s="25">
        <v>4149.5</v>
      </c>
      <c r="P599" s="25">
        <v>9360</v>
      </c>
      <c r="Q599" s="25">
        <v>31604</v>
      </c>
      <c r="R599" s="18">
        <v>81.875647668393782</v>
      </c>
    </row>
    <row r="600" spans="1:18" x14ac:dyDescent="0.35">
      <c r="A600" s="13">
        <v>46032</v>
      </c>
      <c r="B600">
        <v>2026</v>
      </c>
      <c r="C600">
        <v>1</v>
      </c>
      <c r="D600" t="s">
        <v>3</v>
      </c>
      <c r="E600" t="s">
        <v>76</v>
      </c>
      <c r="F600">
        <v>251</v>
      </c>
      <c r="G600">
        <v>313</v>
      </c>
      <c r="H600">
        <v>10</v>
      </c>
      <c r="I600">
        <v>16</v>
      </c>
      <c r="J600" s="17">
        <v>0.75240384615384615</v>
      </c>
      <c r="K600">
        <v>48</v>
      </c>
      <c r="L600">
        <v>42</v>
      </c>
      <c r="M600" s="17">
        <v>0.875</v>
      </c>
      <c r="N600" s="25">
        <v>16084</v>
      </c>
      <c r="O600" s="25">
        <v>3364.75</v>
      </c>
      <c r="P600" s="25">
        <v>9360</v>
      </c>
      <c r="Q600" s="25">
        <v>28808.75</v>
      </c>
      <c r="R600" s="18">
        <v>92.040734824281145</v>
      </c>
    </row>
    <row r="601" spans="1:18" x14ac:dyDescent="0.35">
      <c r="A601" s="13">
        <v>46039</v>
      </c>
      <c r="B601">
        <v>2026</v>
      </c>
      <c r="C601">
        <v>1</v>
      </c>
      <c r="D601" t="s">
        <v>3</v>
      </c>
      <c r="E601" t="s">
        <v>76</v>
      </c>
      <c r="F601">
        <v>245</v>
      </c>
      <c r="G601">
        <v>255</v>
      </c>
      <c r="H601">
        <v>0</v>
      </c>
      <c r="I601">
        <v>13</v>
      </c>
      <c r="J601" s="17">
        <v>0.75443786982248517</v>
      </c>
      <c r="K601">
        <v>48</v>
      </c>
      <c r="L601">
        <v>46</v>
      </c>
      <c r="M601" s="17">
        <v>0.95833333333333337</v>
      </c>
      <c r="N601" s="25">
        <v>13068.25</v>
      </c>
      <c r="O601" s="25">
        <v>2741.25</v>
      </c>
      <c r="P601" s="25">
        <v>9360</v>
      </c>
      <c r="Q601" s="25">
        <v>25169.5</v>
      </c>
      <c r="R601" s="18">
        <v>98.70392156862745</v>
      </c>
    </row>
    <row r="602" spans="1:18" x14ac:dyDescent="0.35">
      <c r="A602" s="13">
        <v>46046</v>
      </c>
      <c r="B602">
        <v>2026</v>
      </c>
      <c r="C602">
        <v>1</v>
      </c>
      <c r="D602" t="s">
        <v>3</v>
      </c>
      <c r="E602" t="s">
        <v>76</v>
      </c>
      <c r="F602">
        <v>257</v>
      </c>
      <c r="G602">
        <v>257</v>
      </c>
      <c r="H602">
        <v>0</v>
      </c>
      <c r="I602">
        <v>13</v>
      </c>
      <c r="J602" s="17">
        <v>0.76035502958579881</v>
      </c>
      <c r="K602">
        <v>48</v>
      </c>
      <c r="L602">
        <v>43</v>
      </c>
      <c r="M602" s="17">
        <v>0.89583333333333337</v>
      </c>
      <c r="N602" s="25">
        <v>13068.25</v>
      </c>
      <c r="O602" s="25">
        <v>2762.75</v>
      </c>
      <c r="P602" s="25">
        <v>9360</v>
      </c>
      <c r="Q602" s="25">
        <v>25191</v>
      </c>
      <c r="R602" s="18">
        <v>98.019455252918291</v>
      </c>
    </row>
    <row r="603" spans="1:18" x14ac:dyDescent="0.35">
      <c r="A603" s="13">
        <v>46053</v>
      </c>
      <c r="B603">
        <v>2026</v>
      </c>
      <c r="C603">
        <v>1</v>
      </c>
      <c r="D603" t="s">
        <v>3</v>
      </c>
      <c r="E603" t="s">
        <v>76</v>
      </c>
      <c r="F603">
        <v>271</v>
      </c>
      <c r="G603">
        <v>271</v>
      </c>
      <c r="H603">
        <v>0</v>
      </c>
      <c r="I603">
        <v>14</v>
      </c>
      <c r="J603" s="17">
        <v>0.74450549450549453</v>
      </c>
      <c r="K603">
        <v>48</v>
      </c>
      <c r="L603">
        <v>41</v>
      </c>
      <c r="M603" s="17">
        <v>0.85416666666666663</v>
      </c>
      <c r="N603" s="25">
        <v>14073.5</v>
      </c>
      <c r="O603" s="25">
        <v>2913.25</v>
      </c>
      <c r="P603" s="25">
        <v>9360</v>
      </c>
      <c r="Q603" s="25">
        <v>26346.75</v>
      </c>
      <c r="R603" s="18">
        <v>97.220479704797043</v>
      </c>
    </row>
    <row r="604" spans="1:18" x14ac:dyDescent="0.35">
      <c r="A604" s="13">
        <v>46060</v>
      </c>
      <c r="B604">
        <v>2026</v>
      </c>
      <c r="C604">
        <v>2</v>
      </c>
      <c r="D604" t="s">
        <v>3</v>
      </c>
      <c r="E604" t="s">
        <v>76</v>
      </c>
      <c r="F604">
        <v>294</v>
      </c>
      <c r="G604">
        <v>294</v>
      </c>
      <c r="H604">
        <v>0</v>
      </c>
      <c r="I604">
        <v>14</v>
      </c>
      <c r="J604" s="17">
        <v>0.80769230769230771</v>
      </c>
      <c r="K604">
        <v>48</v>
      </c>
      <c r="L604">
        <v>42</v>
      </c>
      <c r="M604" s="17">
        <v>0.875</v>
      </c>
      <c r="N604" s="25">
        <v>14073.5</v>
      </c>
      <c r="O604" s="25">
        <v>3160.5</v>
      </c>
      <c r="P604" s="25">
        <v>9360</v>
      </c>
      <c r="Q604" s="25">
        <v>26594</v>
      </c>
      <c r="R604" s="18">
        <v>90.455782312925166</v>
      </c>
    </row>
    <row r="605" spans="1:18" x14ac:dyDescent="0.35">
      <c r="A605" s="13">
        <v>46067</v>
      </c>
      <c r="B605">
        <v>2026</v>
      </c>
      <c r="C605">
        <v>2</v>
      </c>
      <c r="D605" t="s">
        <v>3</v>
      </c>
      <c r="E605" t="s">
        <v>76</v>
      </c>
      <c r="F605">
        <v>304</v>
      </c>
      <c r="G605">
        <v>304</v>
      </c>
      <c r="H605">
        <v>0</v>
      </c>
      <c r="I605">
        <v>14</v>
      </c>
      <c r="J605" s="17">
        <v>0.8351648351648352</v>
      </c>
      <c r="K605">
        <v>48</v>
      </c>
      <c r="L605">
        <v>39</v>
      </c>
      <c r="M605" s="17">
        <v>0.8125</v>
      </c>
      <c r="N605" s="25">
        <v>14073.5</v>
      </c>
      <c r="O605" s="25">
        <v>3268</v>
      </c>
      <c r="P605" s="25">
        <v>9360</v>
      </c>
      <c r="Q605" s="25">
        <v>26701.5</v>
      </c>
      <c r="R605" s="18">
        <v>87.83388157894737</v>
      </c>
    </row>
    <row r="606" spans="1:18" x14ac:dyDescent="0.35">
      <c r="A606" s="13">
        <v>46074</v>
      </c>
      <c r="B606">
        <v>2026</v>
      </c>
      <c r="C606">
        <v>2</v>
      </c>
      <c r="D606" t="s">
        <v>3</v>
      </c>
      <c r="E606" t="s">
        <v>76</v>
      </c>
      <c r="F606">
        <v>283</v>
      </c>
      <c r="G606">
        <v>283</v>
      </c>
      <c r="H606">
        <v>0</v>
      </c>
      <c r="I606">
        <v>14</v>
      </c>
      <c r="J606" s="17">
        <v>0.77747252747252749</v>
      </c>
      <c r="K606">
        <v>48</v>
      </c>
      <c r="L606">
        <v>47</v>
      </c>
      <c r="M606" s="17">
        <v>0.97916666666666663</v>
      </c>
      <c r="N606" s="25">
        <v>14073.5</v>
      </c>
      <c r="O606" s="25">
        <v>3042.25</v>
      </c>
      <c r="P606" s="25">
        <v>9360</v>
      </c>
      <c r="Q606" s="25">
        <v>26475.75</v>
      </c>
      <c r="R606" s="18">
        <v>93.553886925795055</v>
      </c>
    </row>
    <row r="607" spans="1:18" x14ac:dyDescent="0.35">
      <c r="A607" s="13">
        <v>46081</v>
      </c>
      <c r="B607">
        <v>2026</v>
      </c>
      <c r="C607">
        <v>2</v>
      </c>
      <c r="D607" t="s">
        <v>3</v>
      </c>
      <c r="E607" t="s">
        <v>76</v>
      </c>
      <c r="F607">
        <v>303</v>
      </c>
      <c r="G607">
        <v>303</v>
      </c>
      <c r="H607">
        <v>0</v>
      </c>
      <c r="I607">
        <v>15</v>
      </c>
      <c r="J607" s="17">
        <v>0.77692307692307694</v>
      </c>
      <c r="K607">
        <v>48</v>
      </c>
      <c r="L607">
        <v>43</v>
      </c>
      <c r="M607" s="17">
        <v>0.89583333333333337</v>
      </c>
      <c r="N607" s="25">
        <v>15078.75</v>
      </c>
      <c r="O607" s="25">
        <v>3257.25</v>
      </c>
      <c r="P607" s="25">
        <v>9360</v>
      </c>
      <c r="Q607" s="25">
        <v>27696</v>
      </c>
      <c r="R607" s="18">
        <v>91.405940594059402</v>
      </c>
    </row>
    <row r="608" spans="1:18" x14ac:dyDescent="0.35">
      <c r="A608" s="13">
        <v>46088</v>
      </c>
      <c r="B608">
        <v>2026</v>
      </c>
      <c r="C608">
        <v>3</v>
      </c>
      <c r="D608" t="s">
        <v>3</v>
      </c>
      <c r="E608" t="s">
        <v>76</v>
      </c>
      <c r="F608">
        <v>300</v>
      </c>
      <c r="G608">
        <v>300</v>
      </c>
      <c r="H608">
        <v>0</v>
      </c>
      <c r="I608">
        <v>14</v>
      </c>
      <c r="J608" s="17">
        <v>0.82417582417582413</v>
      </c>
      <c r="K608">
        <v>48</v>
      </c>
      <c r="L608">
        <v>43</v>
      </c>
      <c r="M608" s="17">
        <v>0.89583333333333337</v>
      </c>
      <c r="N608" s="25">
        <v>14073.5</v>
      </c>
      <c r="O608" s="25">
        <v>3225</v>
      </c>
      <c r="P608" s="25">
        <v>9360</v>
      </c>
      <c r="Q608" s="25">
        <v>26658.5</v>
      </c>
      <c r="R608" s="18">
        <v>88.861666666666665</v>
      </c>
    </row>
    <row r="609" spans="1:18" x14ac:dyDescent="0.35">
      <c r="A609" s="13">
        <v>46095</v>
      </c>
      <c r="B609">
        <v>2026</v>
      </c>
      <c r="C609">
        <v>3</v>
      </c>
      <c r="D609" t="s">
        <v>3</v>
      </c>
      <c r="E609" t="s">
        <v>76</v>
      </c>
      <c r="F609">
        <v>302</v>
      </c>
      <c r="G609">
        <v>302</v>
      </c>
      <c r="H609">
        <v>0</v>
      </c>
      <c r="I609">
        <v>14</v>
      </c>
      <c r="J609" s="17">
        <v>0.82967032967032972</v>
      </c>
      <c r="K609">
        <v>48</v>
      </c>
      <c r="L609">
        <v>43</v>
      </c>
      <c r="M609" s="17">
        <v>0.89583333333333337</v>
      </c>
      <c r="N609" s="25">
        <v>14073.5</v>
      </c>
      <c r="O609" s="25">
        <v>3246.5</v>
      </c>
      <c r="P609" s="25">
        <v>9360</v>
      </c>
      <c r="Q609" s="25">
        <v>26680</v>
      </c>
      <c r="R609" s="18">
        <v>88.344370860927157</v>
      </c>
    </row>
    <row r="610" spans="1:18" x14ac:dyDescent="0.35">
      <c r="A610" s="13">
        <v>46102</v>
      </c>
      <c r="B610">
        <v>2026</v>
      </c>
      <c r="C610">
        <v>3</v>
      </c>
      <c r="D610" t="s">
        <v>3</v>
      </c>
      <c r="E610" t="s">
        <v>76</v>
      </c>
      <c r="F610">
        <v>315</v>
      </c>
      <c r="G610">
        <v>315</v>
      </c>
      <c r="H610">
        <v>0</v>
      </c>
      <c r="I610">
        <v>15</v>
      </c>
      <c r="J610" s="17">
        <v>0.80769230769230771</v>
      </c>
      <c r="K610">
        <v>48</v>
      </c>
      <c r="L610">
        <v>46</v>
      </c>
      <c r="M610" s="17">
        <v>0.95833333333333337</v>
      </c>
      <c r="N610" s="25">
        <v>15078.75</v>
      </c>
      <c r="O610" s="25">
        <v>3386.25</v>
      </c>
      <c r="P610" s="25">
        <v>9360</v>
      </c>
      <c r="Q610" s="25">
        <v>27825</v>
      </c>
      <c r="R610" s="18">
        <v>88.333333333333329</v>
      </c>
    </row>
    <row r="611" spans="1:18" x14ac:dyDescent="0.35">
      <c r="A611" s="13">
        <v>46109</v>
      </c>
      <c r="B611">
        <v>2026</v>
      </c>
      <c r="C611">
        <v>3</v>
      </c>
      <c r="D611" t="s">
        <v>3</v>
      </c>
      <c r="E611" t="s">
        <v>76</v>
      </c>
      <c r="F611">
        <v>307</v>
      </c>
      <c r="G611">
        <v>307</v>
      </c>
      <c r="H611">
        <v>0</v>
      </c>
      <c r="I611">
        <v>15</v>
      </c>
      <c r="J611" s="17">
        <v>0.78717948717948716</v>
      </c>
      <c r="K611">
        <v>48</v>
      </c>
      <c r="L611">
        <v>45</v>
      </c>
      <c r="M611" s="17">
        <v>0.9375</v>
      </c>
      <c r="N611" s="25">
        <v>15078.75</v>
      </c>
      <c r="O611" s="25">
        <v>3300.25</v>
      </c>
      <c r="P611" s="25">
        <v>9360</v>
      </c>
      <c r="Q611" s="25">
        <v>27739</v>
      </c>
      <c r="R611" s="18">
        <v>90.355048859934854</v>
      </c>
    </row>
    <row r="612" spans="1:18" x14ac:dyDescent="0.35">
      <c r="A612" s="13">
        <v>46116</v>
      </c>
      <c r="B612">
        <v>2026</v>
      </c>
      <c r="C612">
        <v>4</v>
      </c>
      <c r="D612" t="s">
        <v>3</v>
      </c>
      <c r="E612" t="s">
        <v>76</v>
      </c>
      <c r="F612">
        <v>318</v>
      </c>
      <c r="G612">
        <v>317</v>
      </c>
      <c r="H612">
        <v>1</v>
      </c>
      <c r="I612">
        <v>15</v>
      </c>
      <c r="J612" s="17">
        <v>0.81282051282051282</v>
      </c>
      <c r="K612">
        <v>48</v>
      </c>
      <c r="L612">
        <v>46</v>
      </c>
      <c r="M612" s="17">
        <v>0.95833333333333337</v>
      </c>
      <c r="N612" s="25">
        <v>15078.75</v>
      </c>
      <c r="O612" s="25">
        <v>3407.75</v>
      </c>
      <c r="P612" s="25">
        <v>9360</v>
      </c>
      <c r="Q612" s="25">
        <v>27846.5</v>
      </c>
      <c r="R612" s="18">
        <v>87.843848580441644</v>
      </c>
    </row>
    <row r="613" spans="1:18" x14ac:dyDescent="0.35">
      <c r="A613" s="13">
        <v>46123</v>
      </c>
      <c r="B613">
        <v>2026</v>
      </c>
      <c r="C613">
        <v>4</v>
      </c>
      <c r="D613" t="s">
        <v>3</v>
      </c>
      <c r="E613" t="s">
        <v>76</v>
      </c>
      <c r="F613">
        <v>302</v>
      </c>
      <c r="G613">
        <v>303</v>
      </c>
      <c r="H613">
        <v>0</v>
      </c>
      <c r="I613">
        <v>15</v>
      </c>
      <c r="J613" s="17">
        <v>0.77692307692307694</v>
      </c>
      <c r="K613">
        <v>48</v>
      </c>
      <c r="L613">
        <v>44</v>
      </c>
      <c r="M613" s="17">
        <v>0.91666666666666663</v>
      </c>
      <c r="N613" s="25">
        <v>15078.75</v>
      </c>
      <c r="O613" s="25">
        <v>3257.25</v>
      </c>
      <c r="P613" s="25">
        <v>9360</v>
      </c>
      <c r="Q613" s="25">
        <v>27696</v>
      </c>
      <c r="R613" s="18">
        <v>91.405940594059402</v>
      </c>
    </row>
    <row r="614" spans="1:18" x14ac:dyDescent="0.35">
      <c r="A614" s="13">
        <v>46130</v>
      </c>
      <c r="B614">
        <v>2026</v>
      </c>
      <c r="C614">
        <v>4</v>
      </c>
      <c r="D614" t="s">
        <v>3</v>
      </c>
      <c r="E614" t="s">
        <v>76</v>
      </c>
      <c r="F614">
        <v>302</v>
      </c>
      <c r="G614">
        <v>302</v>
      </c>
      <c r="H614">
        <v>0</v>
      </c>
      <c r="I614">
        <v>15</v>
      </c>
      <c r="J614" s="17">
        <v>0.77435897435897438</v>
      </c>
      <c r="K614">
        <v>48</v>
      </c>
      <c r="L614">
        <v>46</v>
      </c>
      <c r="M614" s="17">
        <v>0.95833333333333337</v>
      </c>
      <c r="N614" s="25">
        <v>15078.75</v>
      </c>
      <c r="O614" s="25">
        <v>3246.5</v>
      </c>
      <c r="P614" s="25">
        <v>9360</v>
      </c>
      <c r="Q614" s="25">
        <v>27685.25</v>
      </c>
      <c r="R614" s="18">
        <v>91.673013245033118</v>
      </c>
    </row>
    <row r="615" spans="1:18" x14ac:dyDescent="0.35">
      <c r="A615" s="13">
        <v>46137</v>
      </c>
      <c r="B615">
        <v>2026</v>
      </c>
      <c r="C615">
        <v>4</v>
      </c>
      <c r="D615" t="s">
        <v>3</v>
      </c>
      <c r="E615" t="s">
        <v>76</v>
      </c>
      <c r="F615">
        <v>331</v>
      </c>
      <c r="G615">
        <v>331</v>
      </c>
      <c r="H615">
        <v>0</v>
      </c>
      <c r="I615">
        <v>15</v>
      </c>
      <c r="J615" s="17">
        <v>0.8487179487179487</v>
      </c>
      <c r="K615">
        <v>48</v>
      </c>
      <c r="L615">
        <v>46</v>
      </c>
      <c r="M615" s="17">
        <v>0.95833333333333337</v>
      </c>
      <c r="N615" s="25">
        <v>15078.75</v>
      </c>
      <c r="O615" s="25">
        <v>3558.25</v>
      </c>
      <c r="P615" s="25">
        <v>9360</v>
      </c>
      <c r="Q615" s="25">
        <v>27997</v>
      </c>
      <c r="R615" s="18">
        <v>84.583081570996981</v>
      </c>
    </row>
    <row r="616" spans="1:18" x14ac:dyDescent="0.35">
      <c r="A616" s="13">
        <v>46144</v>
      </c>
      <c r="B616">
        <v>2026</v>
      </c>
      <c r="C616">
        <v>5</v>
      </c>
      <c r="D616" t="s">
        <v>3</v>
      </c>
      <c r="E616" t="s">
        <v>76</v>
      </c>
      <c r="F616">
        <v>325</v>
      </c>
      <c r="G616">
        <v>325</v>
      </c>
      <c r="H616">
        <v>0</v>
      </c>
      <c r="I616">
        <v>15</v>
      </c>
      <c r="J616" s="17">
        <v>0.83333333333333337</v>
      </c>
      <c r="K616">
        <v>48</v>
      </c>
      <c r="L616">
        <v>44</v>
      </c>
      <c r="M616" s="17">
        <v>0.91666666666666663</v>
      </c>
      <c r="N616" s="25">
        <v>15078.75</v>
      </c>
      <c r="O616" s="25">
        <v>3493.75</v>
      </c>
      <c r="P616" s="25">
        <v>9360</v>
      </c>
      <c r="Q616" s="25">
        <v>27932.5</v>
      </c>
      <c r="R616" s="18">
        <v>85.946153846153848</v>
      </c>
    </row>
    <row r="617" spans="1:18" x14ac:dyDescent="0.35">
      <c r="A617" s="13">
        <v>46151</v>
      </c>
      <c r="B617">
        <v>2026</v>
      </c>
      <c r="C617">
        <v>5</v>
      </c>
      <c r="D617" t="s">
        <v>3</v>
      </c>
      <c r="E617" t="s">
        <v>76</v>
      </c>
      <c r="F617">
        <v>329</v>
      </c>
      <c r="G617">
        <v>329</v>
      </c>
      <c r="H617">
        <v>0</v>
      </c>
      <c r="I617">
        <v>16</v>
      </c>
      <c r="J617" s="17">
        <v>0.79086538461538458</v>
      </c>
      <c r="K617">
        <v>48</v>
      </c>
      <c r="L617">
        <v>42</v>
      </c>
      <c r="M617" s="17">
        <v>0.875</v>
      </c>
      <c r="N617" s="25">
        <v>16084</v>
      </c>
      <c r="O617" s="25">
        <v>3536.75</v>
      </c>
      <c r="P617" s="25">
        <v>9360</v>
      </c>
      <c r="Q617" s="25">
        <v>28980.75</v>
      </c>
      <c r="R617" s="18">
        <v>88.087386018237083</v>
      </c>
    </row>
    <row r="618" spans="1:18" x14ac:dyDescent="0.35">
      <c r="A618" s="13">
        <v>46158</v>
      </c>
      <c r="B618">
        <v>2026</v>
      </c>
      <c r="C618">
        <v>5</v>
      </c>
      <c r="D618" t="s">
        <v>3</v>
      </c>
      <c r="E618" t="s">
        <v>76</v>
      </c>
      <c r="F618">
        <v>344</v>
      </c>
      <c r="G618">
        <v>344</v>
      </c>
      <c r="H618">
        <v>0</v>
      </c>
      <c r="I618">
        <v>17</v>
      </c>
      <c r="J618" s="17">
        <v>0.77828054298642535</v>
      </c>
      <c r="K618">
        <v>48</v>
      </c>
      <c r="L618">
        <v>44</v>
      </c>
      <c r="M618" s="17">
        <v>0.91666666666666663</v>
      </c>
      <c r="N618" s="25">
        <v>17089.25</v>
      </c>
      <c r="O618" s="25">
        <v>3698</v>
      </c>
      <c r="P618" s="25">
        <v>9360</v>
      </c>
      <c r="Q618" s="25">
        <v>30147.25</v>
      </c>
      <c r="R618" s="18">
        <v>87.637354651162795</v>
      </c>
    </row>
    <row r="619" spans="1:18" x14ac:dyDescent="0.35">
      <c r="A619" s="13">
        <v>46165</v>
      </c>
      <c r="B619">
        <v>2026</v>
      </c>
      <c r="C619">
        <v>5</v>
      </c>
      <c r="D619" t="s">
        <v>3</v>
      </c>
      <c r="E619" t="s">
        <v>76</v>
      </c>
      <c r="F619">
        <v>341</v>
      </c>
      <c r="G619">
        <v>341</v>
      </c>
      <c r="H619">
        <v>0</v>
      </c>
      <c r="I619">
        <v>16</v>
      </c>
      <c r="J619" s="17">
        <v>0.81971153846153844</v>
      </c>
      <c r="K619">
        <v>48</v>
      </c>
      <c r="L619">
        <v>45</v>
      </c>
      <c r="M619" s="17">
        <v>0.9375</v>
      </c>
      <c r="N619" s="25">
        <v>16084</v>
      </c>
      <c r="O619" s="25">
        <v>3665.75</v>
      </c>
      <c r="P619" s="25">
        <v>9360</v>
      </c>
      <c r="Q619" s="25">
        <v>29109.75</v>
      </c>
      <c r="R619" s="18">
        <v>85.365835777126094</v>
      </c>
    </row>
    <row r="620" spans="1:18" x14ac:dyDescent="0.35">
      <c r="A620" s="13">
        <v>46172</v>
      </c>
      <c r="B620">
        <v>2026</v>
      </c>
      <c r="C620">
        <v>5</v>
      </c>
      <c r="D620" t="s">
        <v>3</v>
      </c>
      <c r="E620" t="s">
        <v>76</v>
      </c>
      <c r="F620">
        <v>329</v>
      </c>
      <c r="G620">
        <v>329</v>
      </c>
      <c r="H620">
        <v>0</v>
      </c>
      <c r="I620">
        <v>16</v>
      </c>
      <c r="J620" s="17">
        <v>0.79086538461538458</v>
      </c>
      <c r="K620">
        <v>48</v>
      </c>
      <c r="L620">
        <v>42</v>
      </c>
      <c r="M620" s="17">
        <v>0.875</v>
      </c>
      <c r="N620" s="25">
        <v>16084</v>
      </c>
      <c r="O620" s="25">
        <v>3536.75</v>
      </c>
      <c r="P620" s="25">
        <v>9360</v>
      </c>
      <c r="Q620" s="25">
        <v>28980.75</v>
      </c>
      <c r="R620" s="18">
        <v>88.087386018237083</v>
      </c>
    </row>
    <row r="621" spans="1:18" x14ac:dyDescent="0.35">
      <c r="A621" s="13">
        <v>46179</v>
      </c>
      <c r="B621">
        <v>2026</v>
      </c>
      <c r="C621">
        <v>6</v>
      </c>
      <c r="D621" t="s">
        <v>3</v>
      </c>
      <c r="E621" t="s">
        <v>76</v>
      </c>
      <c r="F621">
        <v>328</v>
      </c>
      <c r="G621">
        <v>326</v>
      </c>
      <c r="H621">
        <v>2</v>
      </c>
      <c r="I621">
        <v>15</v>
      </c>
      <c r="J621" s="17">
        <v>0.83589743589743593</v>
      </c>
      <c r="K621">
        <v>48</v>
      </c>
      <c r="L621">
        <v>47</v>
      </c>
      <c r="M621" s="17">
        <v>0.97916666666666663</v>
      </c>
      <c r="N621" s="25">
        <v>15078.75</v>
      </c>
      <c r="O621" s="25">
        <v>3504.5</v>
      </c>
      <c r="P621" s="25">
        <v>9360</v>
      </c>
      <c r="Q621" s="25">
        <v>27943.25</v>
      </c>
      <c r="R621" s="18">
        <v>85.715490797546011</v>
      </c>
    </row>
    <row r="622" spans="1:18" x14ac:dyDescent="0.35">
      <c r="A622" s="13">
        <v>46186</v>
      </c>
      <c r="B622">
        <v>2026</v>
      </c>
      <c r="C622">
        <v>6</v>
      </c>
      <c r="D622" t="s">
        <v>3</v>
      </c>
      <c r="E622" t="s">
        <v>76</v>
      </c>
      <c r="F622">
        <v>307</v>
      </c>
      <c r="G622">
        <v>309</v>
      </c>
      <c r="H622">
        <v>0</v>
      </c>
      <c r="I622">
        <v>15</v>
      </c>
      <c r="J622" s="17">
        <v>0.79230769230769227</v>
      </c>
      <c r="K622">
        <v>48</v>
      </c>
      <c r="L622">
        <v>44</v>
      </c>
      <c r="M622" s="17">
        <v>0.91666666666666663</v>
      </c>
      <c r="N622" s="25">
        <v>15078.75</v>
      </c>
      <c r="O622" s="25">
        <v>3321.75</v>
      </c>
      <c r="P622" s="25">
        <v>9360</v>
      </c>
      <c r="Q622" s="25">
        <v>27760.5</v>
      </c>
      <c r="R622" s="18">
        <v>89.839805825242721</v>
      </c>
    </row>
    <row r="623" spans="1:18" x14ac:dyDescent="0.35">
      <c r="A623" s="13">
        <v>46193</v>
      </c>
      <c r="B623">
        <v>2026</v>
      </c>
      <c r="C623">
        <v>6</v>
      </c>
      <c r="D623" t="s">
        <v>3</v>
      </c>
      <c r="E623" t="s">
        <v>76</v>
      </c>
      <c r="F623">
        <v>302</v>
      </c>
      <c r="G623">
        <v>302</v>
      </c>
      <c r="H623">
        <v>0</v>
      </c>
      <c r="I623">
        <v>15</v>
      </c>
      <c r="J623" s="17">
        <v>0.77435897435897438</v>
      </c>
      <c r="K623">
        <v>48</v>
      </c>
      <c r="L623">
        <v>47</v>
      </c>
      <c r="M623" s="17">
        <v>0.97916666666666663</v>
      </c>
      <c r="N623" s="25">
        <v>15078.75</v>
      </c>
      <c r="O623" s="25">
        <v>3246.5</v>
      </c>
      <c r="P623" s="25">
        <v>9360</v>
      </c>
      <c r="Q623" s="25">
        <v>27685.25</v>
      </c>
      <c r="R623" s="18">
        <v>91.673013245033118</v>
      </c>
    </row>
    <row r="624" spans="1:18" x14ac:dyDescent="0.35">
      <c r="A624" s="13">
        <v>46200</v>
      </c>
      <c r="B624">
        <v>2026</v>
      </c>
      <c r="C624">
        <v>6</v>
      </c>
      <c r="D624" t="s">
        <v>3</v>
      </c>
      <c r="E624" t="s">
        <v>76</v>
      </c>
      <c r="F624">
        <v>308</v>
      </c>
      <c r="G624">
        <v>308</v>
      </c>
      <c r="H624">
        <v>0</v>
      </c>
      <c r="I624">
        <v>15</v>
      </c>
      <c r="J624" s="17">
        <v>0.78974358974358971</v>
      </c>
      <c r="K624">
        <v>48</v>
      </c>
      <c r="L624">
        <v>48</v>
      </c>
      <c r="M624" s="17">
        <v>1</v>
      </c>
      <c r="N624" s="25">
        <v>15078.75</v>
      </c>
      <c r="O624" s="25">
        <v>3311</v>
      </c>
      <c r="P624" s="25">
        <v>9360</v>
      </c>
      <c r="Q624" s="25">
        <v>27749.75</v>
      </c>
      <c r="R624" s="18">
        <v>90.096590909090907</v>
      </c>
    </row>
    <row r="625" spans="1:18" x14ac:dyDescent="0.35">
      <c r="A625" s="13">
        <v>46207</v>
      </c>
      <c r="B625">
        <v>2026</v>
      </c>
      <c r="C625">
        <v>7</v>
      </c>
      <c r="D625" t="s">
        <v>3</v>
      </c>
      <c r="E625" t="s">
        <v>76</v>
      </c>
      <c r="F625">
        <v>335</v>
      </c>
      <c r="G625">
        <v>335</v>
      </c>
      <c r="H625">
        <v>0</v>
      </c>
      <c r="I625">
        <v>16</v>
      </c>
      <c r="J625" s="17">
        <v>0.80528846153846156</v>
      </c>
      <c r="K625">
        <v>48</v>
      </c>
      <c r="L625">
        <v>46</v>
      </c>
      <c r="M625" s="17">
        <v>0.95833333333333337</v>
      </c>
      <c r="N625" s="25">
        <v>16084</v>
      </c>
      <c r="O625" s="25">
        <v>3601.25</v>
      </c>
      <c r="P625" s="25">
        <v>9360</v>
      </c>
      <c r="Q625" s="25">
        <v>29045.25</v>
      </c>
      <c r="R625" s="18">
        <v>86.702238805970154</v>
      </c>
    </row>
    <row r="626" spans="1:18" x14ac:dyDescent="0.35">
      <c r="A626" s="13">
        <v>46214</v>
      </c>
      <c r="B626">
        <v>2026</v>
      </c>
      <c r="C626">
        <v>7</v>
      </c>
      <c r="D626" t="s">
        <v>3</v>
      </c>
      <c r="E626" t="s">
        <v>76</v>
      </c>
      <c r="F626">
        <v>319</v>
      </c>
      <c r="G626">
        <v>319</v>
      </c>
      <c r="H626">
        <v>0</v>
      </c>
      <c r="I626">
        <v>15</v>
      </c>
      <c r="J626" s="17">
        <v>0.81794871794871793</v>
      </c>
      <c r="K626">
        <v>48</v>
      </c>
      <c r="L626">
        <v>47</v>
      </c>
      <c r="M626" s="17">
        <v>0.97916666666666663</v>
      </c>
      <c r="N626" s="25">
        <v>15078.75</v>
      </c>
      <c r="O626" s="25">
        <v>3429.25</v>
      </c>
      <c r="P626" s="25">
        <v>9360</v>
      </c>
      <c r="Q626" s="25">
        <v>27868</v>
      </c>
      <c r="R626" s="18">
        <v>87.360501567398117</v>
      </c>
    </row>
    <row r="627" spans="1:18" x14ac:dyDescent="0.35">
      <c r="A627" s="13">
        <v>46221</v>
      </c>
      <c r="B627">
        <v>2026</v>
      </c>
      <c r="C627">
        <v>7</v>
      </c>
      <c r="D627" t="s">
        <v>3</v>
      </c>
      <c r="E627" t="s">
        <v>76</v>
      </c>
      <c r="F627">
        <v>314</v>
      </c>
      <c r="G627">
        <v>314</v>
      </c>
      <c r="H627">
        <v>0</v>
      </c>
      <c r="I627">
        <v>15</v>
      </c>
      <c r="J627" s="17">
        <v>0.80512820512820515</v>
      </c>
      <c r="K627">
        <v>48</v>
      </c>
      <c r="L627">
        <v>44</v>
      </c>
      <c r="M627" s="17">
        <v>0.91666666666666663</v>
      </c>
      <c r="N627" s="25">
        <v>15078.75</v>
      </c>
      <c r="O627" s="25">
        <v>3375.5</v>
      </c>
      <c r="P627" s="25">
        <v>9360</v>
      </c>
      <c r="Q627" s="25">
        <v>27814.25</v>
      </c>
      <c r="R627" s="18">
        <v>88.580414012738856</v>
      </c>
    </row>
    <row r="628" spans="1:18" x14ac:dyDescent="0.35">
      <c r="A628" s="13">
        <v>46228</v>
      </c>
      <c r="B628">
        <v>2026</v>
      </c>
      <c r="C628">
        <v>7</v>
      </c>
      <c r="D628" t="s">
        <v>3</v>
      </c>
      <c r="E628" t="s">
        <v>76</v>
      </c>
      <c r="F628">
        <v>329</v>
      </c>
      <c r="G628">
        <v>329</v>
      </c>
      <c r="H628">
        <v>0</v>
      </c>
      <c r="I628">
        <v>15</v>
      </c>
      <c r="J628" s="17">
        <v>0.84358974358974359</v>
      </c>
      <c r="K628">
        <v>48</v>
      </c>
      <c r="L628">
        <v>48</v>
      </c>
      <c r="M628" s="17">
        <v>1</v>
      </c>
      <c r="N628" s="25">
        <v>15078.75</v>
      </c>
      <c r="O628" s="25">
        <v>3536.75</v>
      </c>
      <c r="P628" s="25">
        <v>9360</v>
      </c>
      <c r="Q628" s="25">
        <v>27975.5</v>
      </c>
      <c r="R628" s="18">
        <v>85.031914893617028</v>
      </c>
    </row>
    <row r="629" spans="1:18" x14ac:dyDescent="0.35">
      <c r="A629" s="13">
        <v>44779</v>
      </c>
      <c r="B629">
        <v>2022</v>
      </c>
      <c r="C629">
        <v>8</v>
      </c>
      <c r="D629" t="s">
        <v>77</v>
      </c>
      <c r="E629" t="s">
        <v>79</v>
      </c>
      <c r="F629">
        <v>178</v>
      </c>
      <c r="G629">
        <v>178</v>
      </c>
      <c r="H629">
        <v>0</v>
      </c>
      <c r="I629">
        <v>10</v>
      </c>
      <c r="J629" s="17">
        <v>0.68461538461538463</v>
      </c>
      <c r="K629">
        <v>35</v>
      </c>
      <c r="L629">
        <v>32</v>
      </c>
      <c r="M629" s="17">
        <v>0.91428571428571426</v>
      </c>
      <c r="N629" s="25">
        <v>6840</v>
      </c>
      <c r="O629" s="25">
        <v>1557.5</v>
      </c>
      <c r="P629" s="25">
        <v>5250</v>
      </c>
      <c r="Q629" s="25">
        <v>13647.5</v>
      </c>
      <c r="R629" s="18">
        <v>76.671348314606746</v>
      </c>
    </row>
    <row r="630" spans="1:18" x14ac:dyDescent="0.35">
      <c r="A630" s="13">
        <v>44786</v>
      </c>
      <c r="B630">
        <v>2022</v>
      </c>
      <c r="C630">
        <v>8</v>
      </c>
      <c r="D630" t="s">
        <v>77</v>
      </c>
      <c r="E630" t="s">
        <v>79</v>
      </c>
      <c r="F630">
        <v>187</v>
      </c>
      <c r="G630">
        <v>187</v>
      </c>
      <c r="H630">
        <v>0</v>
      </c>
      <c r="I630">
        <v>11</v>
      </c>
      <c r="J630" s="17">
        <v>0.65384615384615385</v>
      </c>
      <c r="K630">
        <v>35</v>
      </c>
      <c r="L630">
        <v>33</v>
      </c>
      <c r="M630" s="17">
        <v>0.94285714285714284</v>
      </c>
      <c r="N630" s="25">
        <v>7524</v>
      </c>
      <c r="O630" s="25">
        <v>1636.25</v>
      </c>
      <c r="P630" s="25">
        <v>5250</v>
      </c>
      <c r="Q630" s="25">
        <v>14410.25</v>
      </c>
      <c r="R630" s="18">
        <v>77.060160427807489</v>
      </c>
    </row>
    <row r="631" spans="1:18" x14ac:dyDescent="0.35">
      <c r="A631" s="13">
        <v>44793</v>
      </c>
      <c r="B631">
        <v>2022</v>
      </c>
      <c r="C631">
        <v>8</v>
      </c>
      <c r="D631" t="s">
        <v>77</v>
      </c>
      <c r="E631" t="s">
        <v>79</v>
      </c>
      <c r="F631">
        <v>184</v>
      </c>
      <c r="G631">
        <v>184</v>
      </c>
      <c r="H631">
        <v>0</v>
      </c>
      <c r="I631">
        <v>10</v>
      </c>
      <c r="J631" s="17">
        <v>0.70769230769230773</v>
      </c>
      <c r="K631">
        <v>35</v>
      </c>
      <c r="L631">
        <v>34</v>
      </c>
      <c r="M631" s="17">
        <v>0.97142857142857142</v>
      </c>
      <c r="N631" s="25">
        <v>6840</v>
      </c>
      <c r="O631" s="25">
        <v>1610</v>
      </c>
      <c r="P631" s="25">
        <v>5250</v>
      </c>
      <c r="Q631" s="25">
        <v>13700</v>
      </c>
      <c r="R631" s="18">
        <v>74.456521739130437</v>
      </c>
    </row>
    <row r="632" spans="1:18" x14ac:dyDescent="0.35">
      <c r="A632" s="13">
        <v>44800</v>
      </c>
      <c r="B632">
        <v>2022</v>
      </c>
      <c r="C632">
        <v>8</v>
      </c>
      <c r="D632" t="s">
        <v>77</v>
      </c>
      <c r="E632" t="s">
        <v>79</v>
      </c>
      <c r="F632">
        <v>186</v>
      </c>
      <c r="G632">
        <v>186</v>
      </c>
      <c r="H632">
        <v>0</v>
      </c>
      <c r="I632">
        <v>11</v>
      </c>
      <c r="J632" s="17">
        <v>0.65034965034965031</v>
      </c>
      <c r="K632">
        <v>35</v>
      </c>
      <c r="L632">
        <v>33</v>
      </c>
      <c r="M632" s="17">
        <v>0.94285714285714284</v>
      </c>
      <c r="N632" s="25">
        <v>7524</v>
      </c>
      <c r="O632" s="25">
        <v>1627.5</v>
      </c>
      <c r="P632" s="25">
        <v>5250</v>
      </c>
      <c r="Q632" s="25">
        <v>14401.5</v>
      </c>
      <c r="R632" s="18">
        <v>77.427419354838705</v>
      </c>
    </row>
    <row r="633" spans="1:18" x14ac:dyDescent="0.35">
      <c r="A633" s="13">
        <v>44807</v>
      </c>
      <c r="B633">
        <v>2022</v>
      </c>
      <c r="C633">
        <v>9</v>
      </c>
      <c r="D633" t="s">
        <v>77</v>
      </c>
      <c r="E633" t="s">
        <v>79</v>
      </c>
      <c r="F633">
        <v>181</v>
      </c>
      <c r="G633">
        <v>181</v>
      </c>
      <c r="H633">
        <v>0</v>
      </c>
      <c r="I633">
        <v>10</v>
      </c>
      <c r="J633" s="17">
        <v>0.69615384615384612</v>
      </c>
      <c r="K633">
        <v>35</v>
      </c>
      <c r="L633">
        <v>32</v>
      </c>
      <c r="M633" s="17">
        <v>0.91428571428571426</v>
      </c>
      <c r="N633" s="25">
        <v>6840</v>
      </c>
      <c r="O633" s="25">
        <v>1583.75</v>
      </c>
      <c r="P633" s="25">
        <v>5250</v>
      </c>
      <c r="Q633" s="25">
        <v>13673.75</v>
      </c>
      <c r="R633" s="18">
        <v>75.545580110497241</v>
      </c>
    </row>
    <row r="634" spans="1:18" x14ac:dyDescent="0.35">
      <c r="A634" s="13">
        <v>44814</v>
      </c>
      <c r="B634">
        <v>2022</v>
      </c>
      <c r="C634">
        <v>9</v>
      </c>
      <c r="D634" t="s">
        <v>77</v>
      </c>
      <c r="E634" t="s">
        <v>79</v>
      </c>
      <c r="F634">
        <v>181</v>
      </c>
      <c r="G634">
        <v>181</v>
      </c>
      <c r="H634">
        <v>0</v>
      </c>
      <c r="I634">
        <v>11</v>
      </c>
      <c r="J634" s="17">
        <v>0.63286713286713292</v>
      </c>
      <c r="K634">
        <v>35</v>
      </c>
      <c r="L634">
        <v>35</v>
      </c>
      <c r="M634" s="17">
        <v>1</v>
      </c>
      <c r="N634" s="25">
        <v>7524</v>
      </c>
      <c r="O634" s="25">
        <v>1583.75</v>
      </c>
      <c r="P634" s="25">
        <v>5250</v>
      </c>
      <c r="Q634" s="25">
        <v>14357.75</v>
      </c>
      <c r="R634" s="18">
        <v>79.324585635359114</v>
      </c>
    </row>
    <row r="635" spans="1:18" x14ac:dyDescent="0.35">
      <c r="A635" s="13">
        <v>44821</v>
      </c>
      <c r="B635">
        <v>2022</v>
      </c>
      <c r="C635">
        <v>9</v>
      </c>
      <c r="D635" t="s">
        <v>77</v>
      </c>
      <c r="E635" t="s">
        <v>79</v>
      </c>
      <c r="F635">
        <v>181</v>
      </c>
      <c r="G635">
        <v>181</v>
      </c>
      <c r="H635">
        <v>0</v>
      </c>
      <c r="I635">
        <v>10</v>
      </c>
      <c r="J635" s="17">
        <v>0.69615384615384612</v>
      </c>
      <c r="K635">
        <v>35</v>
      </c>
      <c r="L635">
        <v>31</v>
      </c>
      <c r="M635" s="17">
        <v>0.88571428571428568</v>
      </c>
      <c r="N635" s="25">
        <v>6840</v>
      </c>
      <c r="O635" s="25">
        <v>1583.75</v>
      </c>
      <c r="P635" s="25">
        <v>5250</v>
      </c>
      <c r="Q635" s="25">
        <v>13673.75</v>
      </c>
      <c r="R635" s="18">
        <v>75.545580110497241</v>
      </c>
    </row>
    <row r="636" spans="1:18" x14ac:dyDescent="0.35">
      <c r="A636" s="13">
        <v>44828</v>
      </c>
      <c r="B636">
        <v>2022</v>
      </c>
      <c r="C636">
        <v>9</v>
      </c>
      <c r="D636" t="s">
        <v>77</v>
      </c>
      <c r="E636" t="s">
        <v>79</v>
      </c>
      <c r="F636">
        <v>178</v>
      </c>
      <c r="G636">
        <v>178</v>
      </c>
      <c r="H636">
        <v>0</v>
      </c>
      <c r="I636">
        <v>10</v>
      </c>
      <c r="J636" s="17">
        <v>0.68461538461538463</v>
      </c>
      <c r="K636">
        <v>35</v>
      </c>
      <c r="L636">
        <v>33</v>
      </c>
      <c r="M636" s="17">
        <v>0.94285714285714284</v>
      </c>
      <c r="N636" s="25">
        <v>6840</v>
      </c>
      <c r="O636" s="25">
        <v>1557.5</v>
      </c>
      <c r="P636" s="25">
        <v>5250</v>
      </c>
      <c r="Q636" s="25">
        <v>13647.5</v>
      </c>
      <c r="R636" s="18">
        <v>76.671348314606746</v>
      </c>
    </row>
    <row r="637" spans="1:18" x14ac:dyDescent="0.35">
      <c r="A637" s="13">
        <v>44835</v>
      </c>
      <c r="B637">
        <v>2022</v>
      </c>
      <c r="C637">
        <v>10</v>
      </c>
      <c r="D637" t="s">
        <v>77</v>
      </c>
      <c r="E637" t="s">
        <v>79</v>
      </c>
      <c r="F637">
        <v>178</v>
      </c>
      <c r="G637">
        <v>178</v>
      </c>
      <c r="H637">
        <v>0</v>
      </c>
      <c r="I637">
        <v>10</v>
      </c>
      <c r="J637" s="17">
        <v>0.68461538461538463</v>
      </c>
      <c r="K637">
        <v>35</v>
      </c>
      <c r="L637">
        <v>35</v>
      </c>
      <c r="M637" s="17">
        <v>1</v>
      </c>
      <c r="N637" s="25">
        <v>6840</v>
      </c>
      <c r="O637" s="25">
        <v>1557.5</v>
      </c>
      <c r="P637" s="25">
        <v>5250</v>
      </c>
      <c r="Q637" s="25">
        <v>13647.5</v>
      </c>
      <c r="R637" s="18">
        <v>76.671348314606746</v>
      </c>
    </row>
    <row r="638" spans="1:18" x14ac:dyDescent="0.35">
      <c r="A638" s="13">
        <v>44842</v>
      </c>
      <c r="B638">
        <v>2022</v>
      </c>
      <c r="C638">
        <v>10</v>
      </c>
      <c r="D638" t="s">
        <v>77</v>
      </c>
      <c r="E638" t="s">
        <v>79</v>
      </c>
      <c r="F638">
        <v>185</v>
      </c>
      <c r="G638">
        <v>185</v>
      </c>
      <c r="H638">
        <v>0</v>
      </c>
      <c r="I638">
        <v>11</v>
      </c>
      <c r="J638" s="17">
        <v>0.64685314685314688</v>
      </c>
      <c r="K638">
        <v>35</v>
      </c>
      <c r="L638">
        <v>35</v>
      </c>
      <c r="M638" s="17">
        <v>1</v>
      </c>
      <c r="N638" s="25">
        <v>7524</v>
      </c>
      <c r="O638" s="25">
        <v>1618.75</v>
      </c>
      <c r="P638" s="25">
        <v>5250</v>
      </c>
      <c r="Q638" s="25">
        <v>14392.75</v>
      </c>
      <c r="R638" s="18">
        <v>77.798648648648651</v>
      </c>
    </row>
    <row r="639" spans="1:18" x14ac:dyDescent="0.35">
      <c r="A639" s="13">
        <v>44849</v>
      </c>
      <c r="B639">
        <v>2022</v>
      </c>
      <c r="C639">
        <v>10</v>
      </c>
      <c r="D639" t="s">
        <v>77</v>
      </c>
      <c r="E639" t="s">
        <v>79</v>
      </c>
      <c r="F639">
        <v>184</v>
      </c>
      <c r="G639">
        <v>184</v>
      </c>
      <c r="H639">
        <v>0</v>
      </c>
      <c r="I639">
        <v>10</v>
      </c>
      <c r="J639" s="17">
        <v>0.70769230769230773</v>
      </c>
      <c r="K639">
        <v>35</v>
      </c>
      <c r="L639">
        <v>34</v>
      </c>
      <c r="M639" s="17">
        <v>0.97142857142857142</v>
      </c>
      <c r="N639" s="25">
        <v>6840</v>
      </c>
      <c r="O639" s="25">
        <v>1610</v>
      </c>
      <c r="P639" s="25">
        <v>5250</v>
      </c>
      <c r="Q639" s="25">
        <v>13700</v>
      </c>
      <c r="R639" s="18">
        <v>74.456521739130437</v>
      </c>
    </row>
    <row r="640" spans="1:18" x14ac:dyDescent="0.35">
      <c r="A640" s="13">
        <v>44856</v>
      </c>
      <c r="B640">
        <v>2022</v>
      </c>
      <c r="C640">
        <v>10</v>
      </c>
      <c r="D640" t="s">
        <v>77</v>
      </c>
      <c r="E640" t="s">
        <v>79</v>
      </c>
      <c r="F640">
        <v>193</v>
      </c>
      <c r="G640">
        <v>193</v>
      </c>
      <c r="H640">
        <v>0</v>
      </c>
      <c r="I640">
        <v>11</v>
      </c>
      <c r="J640" s="17">
        <v>0.67482517482517479</v>
      </c>
      <c r="K640">
        <v>35</v>
      </c>
      <c r="L640">
        <v>34</v>
      </c>
      <c r="M640" s="17">
        <v>0.97142857142857142</v>
      </c>
      <c r="N640" s="25">
        <v>7524</v>
      </c>
      <c r="O640" s="25">
        <v>1688.75</v>
      </c>
      <c r="P640" s="25">
        <v>5250</v>
      </c>
      <c r="Q640" s="25">
        <v>14462.75</v>
      </c>
      <c r="R640" s="18">
        <v>74.936528497409327</v>
      </c>
    </row>
    <row r="641" spans="1:18" x14ac:dyDescent="0.35">
      <c r="A641" s="13">
        <v>44863</v>
      </c>
      <c r="B641">
        <v>2022</v>
      </c>
      <c r="C641">
        <v>10</v>
      </c>
      <c r="D641" t="s">
        <v>77</v>
      </c>
      <c r="E641" t="s">
        <v>79</v>
      </c>
      <c r="F641">
        <v>203</v>
      </c>
      <c r="G641">
        <v>203</v>
      </c>
      <c r="H641">
        <v>0</v>
      </c>
      <c r="I641">
        <v>11</v>
      </c>
      <c r="J641" s="17">
        <v>0.70979020979020979</v>
      </c>
      <c r="K641">
        <v>35</v>
      </c>
      <c r="L641">
        <v>35</v>
      </c>
      <c r="M641" s="17">
        <v>1</v>
      </c>
      <c r="N641" s="25">
        <v>7524</v>
      </c>
      <c r="O641" s="25">
        <v>1776.25</v>
      </c>
      <c r="P641" s="25">
        <v>5250</v>
      </c>
      <c r="Q641" s="25">
        <v>14550.25</v>
      </c>
      <c r="R641" s="18">
        <v>71.676108374384242</v>
      </c>
    </row>
    <row r="642" spans="1:18" x14ac:dyDescent="0.35">
      <c r="A642" s="13">
        <v>44870</v>
      </c>
      <c r="B642">
        <v>2022</v>
      </c>
      <c r="C642">
        <v>11</v>
      </c>
      <c r="D642" t="s">
        <v>77</v>
      </c>
      <c r="E642" t="s">
        <v>79</v>
      </c>
      <c r="F642">
        <v>206</v>
      </c>
      <c r="G642">
        <v>206</v>
      </c>
      <c r="H642">
        <v>0</v>
      </c>
      <c r="I642">
        <v>11</v>
      </c>
      <c r="J642" s="17">
        <v>0.72027972027972031</v>
      </c>
      <c r="K642">
        <v>35</v>
      </c>
      <c r="L642">
        <v>35</v>
      </c>
      <c r="M642" s="17">
        <v>1</v>
      </c>
      <c r="N642" s="25">
        <v>7524</v>
      </c>
      <c r="O642" s="25">
        <v>1802.5</v>
      </c>
      <c r="P642" s="25">
        <v>5250</v>
      </c>
      <c r="Q642" s="25">
        <v>14576.5</v>
      </c>
      <c r="R642" s="18">
        <v>70.759708737864074</v>
      </c>
    </row>
    <row r="643" spans="1:18" x14ac:dyDescent="0.35">
      <c r="A643" s="13">
        <v>44877</v>
      </c>
      <c r="B643">
        <v>2022</v>
      </c>
      <c r="C643">
        <v>11</v>
      </c>
      <c r="D643" t="s">
        <v>77</v>
      </c>
      <c r="E643" t="s">
        <v>79</v>
      </c>
      <c r="F643">
        <v>218</v>
      </c>
      <c r="G643">
        <v>218</v>
      </c>
      <c r="H643">
        <v>0</v>
      </c>
      <c r="I643">
        <v>12</v>
      </c>
      <c r="J643" s="17">
        <v>0.69871794871794868</v>
      </c>
      <c r="K643">
        <v>35</v>
      </c>
      <c r="L643">
        <v>32</v>
      </c>
      <c r="M643" s="17">
        <v>0.91428571428571426</v>
      </c>
      <c r="N643" s="25">
        <v>8208</v>
      </c>
      <c r="O643" s="25">
        <v>1907.5</v>
      </c>
      <c r="P643" s="25">
        <v>5250</v>
      </c>
      <c r="Q643" s="25">
        <v>15365.5</v>
      </c>
      <c r="R643" s="18">
        <v>70.483944954128447</v>
      </c>
    </row>
    <row r="644" spans="1:18" x14ac:dyDescent="0.35">
      <c r="A644" s="13">
        <v>44884</v>
      </c>
      <c r="B644">
        <v>2022</v>
      </c>
      <c r="C644">
        <v>11</v>
      </c>
      <c r="D644" t="s">
        <v>77</v>
      </c>
      <c r="E644" t="s">
        <v>79</v>
      </c>
      <c r="F644">
        <v>227</v>
      </c>
      <c r="G644">
        <v>227</v>
      </c>
      <c r="H644">
        <v>0</v>
      </c>
      <c r="I644">
        <v>11</v>
      </c>
      <c r="J644" s="17">
        <v>0.79370629370629375</v>
      </c>
      <c r="K644">
        <v>35</v>
      </c>
      <c r="L644">
        <v>32</v>
      </c>
      <c r="M644" s="17">
        <v>0.91428571428571426</v>
      </c>
      <c r="N644" s="25">
        <v>7524</v>
      </c>
      <c r="O644" s="25">
        <v>1986.25</v>
      </c>
      <c r="P644" s="25">
        <v>5250</v>
      </c>
      <c r="Q644" s="25">
        <v>14760.25</v>
      </c>
      <c r="R644" s="18">
        <v>65.023127753303967</v>
      </c>
    </row>
    <row r="645" spans="1:18" x14ac:dyDescent="0.35">
      <c r="A645" s="13">
        <v>44891</v>
      </c>
      <c r="B645">
        <v>2022</v>
      </c>
      <c r="C645">
        <v>11</v>
      </c>
      <c r="D645" t="s">
        <v>77</v>
      </c>
      <c r="E645" t="s">
        <v>79</v>
      </c>
      <c r="F645">
        <v>254</v>
      </c>
      <c r="G645">
        <v>250</v>
      </c>
      <c r="H645">
        <v>4</v>
      </c>
      <c r="I645">
        <v>13</v>
      </c>
      <c r="J645" s="17">
        <v>0.73964497041420119</v>
      </c>
      <c r="K645">
        <v>35</v>
      </c>
      <c r="L645">
        <v>34</v>
      </c>
      <c r="M645" s="17">
        <v>0.97142857142857142</v>
      </c>
      <c r="N645" s="25">
        <v>8892</v>
      </c>
      <c r="O645" s="25">
        <v>2187.5</v>
      </c>
      <c r="P645" s="25">
        <v>5250</v>
      </c>
      <c r="Q645" s="25">
        <v>16329.5</v>
      </c>
      <c r="R645" s="18">
        <v>65.317999999999998</v>
      </c>
    </row>
    <row r="646" spans="1:18" x14ac:dyDescent="0.35">
      <c r="A646" s="13">
        <v>44898</v>
      </c>
      <c r="B646">
        <v>2022</v>
      </c>
      <c r="C646">
        <v>12</v>
      </c>
      <c r="D646" t="s">
        <v>77</v>
      </c>
      <c r="E646" t="s">
        <v>79</v>
      </c>
      <c r="F646">
        <v>261</v>
      </c>
      <c r="G646">
        <v>255</v>
      </c>
      <c r="H646">
        <v>10</v>
      </c>
      <c r="I646">
        <v>13</v>
      </c>
      <c r="J646" s="17">
        <v>0.75443786982248517</v>
      </c>
      <c r="K646">
        <v>35</v>
      </c>
      <c r="L646">
        <v>33</v>
      </c>
      <c r="M646" s="17">
        <v>0.94285714285714284</v>
      </c>
      <c r="N646" s="25">
        <v>8892</v>
      </c>
      <c r="O646" s="25">
        <v>2231.25</v>
      </c>
      <c r="P646" s="25">
        <v>5250</v>
      </c>
      <c r="Q646" s="25">
        <v>16373.25</v>
      </c>
      <c r="R646" s="18">
        <v>64.20882352941176</v>
      </c>
    </row>
    <row r="647" spans="1:18" x14ac:dyDescent="0.35">
      <c r="A647" s="13">
        <v>44905</v>
      </c>
      <c r="B647">
        <v>2022</v>
      </c>
      <c r="C647">
        <v>12</v>
      </c>
      <c r="D647" t="s">
        <v>77</v>
      </c>
      <c r="E647" t="s">
        <v>79</v>
      </c>
      <c r="F647">
        <v>284</v>
      </c>
      <c r="G647">
        <v>269</v>
      </c>
      <c r="H647">
        <v>25</v>
      </c>
      <c r="I647">
        <v>13</v>
      </c>
      <c r="J647" s="17">
        <v>0.79585798816568043</v>
      </c>
      <c r="K647">
        <v>35</v>
      </c>
      <c r="L647">
        <v>35</v>
      </c>
      <c r="M647" s="17">
        <v>1</v>
      </c>
      <c r="N647" s="25">
        <v>8892</v>
      </c>
      <c r="O647" s="25">
        <v>2353.75</v>
      </c>
      <c r="P647" s="25">
        <v>5250</v>
      </c>
      <c r="Q647" s="25">
        <v>16495.75</v>
      </c>
      <c r="R647" s="18">
        <v>61.322490706319712</v>
      </c>
    </row>
    <row r="648" spans="1:18" x14ac:dyDescent="0.35">
      <c r="A648" s="13">
        <v>44912</v>
      </c>
      <c r="B648">
        <v>2022</v>
      </c>
      <c r="C648">
        <v>12</v>
      </c>
      <c r="D648" t="s">
        <v>77</v>
      </c>
      <c r="E648" t="s">
        <v>79</v>
      </c>
      <c r="F648">
        <v>271</v>
      </c>
      <c r="G648">
        <v>272</v>
      </c>
      <c r="H648">
        <v>24</v>
      </c>
      <c r="I648">
        <v>13</v>
      </c>
      <c r="J648" s="17">
        <v>0.80473372781065089</v>
      </c>
      <c r="K648">
        <v>35</v>
      </c>
      <c r="L648">
        <v>31</v>
      </c>
      <c r="M648" s="17">
        <v>0.88571428571428568</v>
      </c>
      <c r="N648" s="25">
        <v>8892</v>
      </c>
      <c r="O648" s="25">
        <v>2380</v>
      </c>
      <c r="P648" s="25">
        <v>5250</v>
      </c>
      <c r="Q648" s="25">
        <v>16522</v>
      </c>
      <c r="R648" s="18">
        <v>60.742647058823529</v>
      </c>
    </row>
    <row r="649" spans="1:18" x14ac:dyDescent="0.35">
      <c r="A649" s="13">
        <v>44919</v>
      </c>
      <c r="B649">
        <v>2022</v>
      </c>
      <c r="C649">
        <v>12</v>
      </c>
      <c r="D649" t="s">
        <v>77</v>
      </c>
      <c r="E649" t="s">
        <v>79</v>
      </c>
      <c r="F649">
        <v>227</v>
      </c>
      <c r="G649">
        <v>243</v>
      </c>
      <c r="H649">
        <v>8</v>
      </c>
      <c r="I649">
        <v>12</v>
      </c>
      <c r="J649" s="17">
        <v>0.77884615384615385</v>
      </c>
      <c r="K649">
        <v>35</v>
      </c>
      <c r="L649">
        <v>35</v>
      </c>
      <c r="M649" s="17">
        <v>1</v>
      </c>
      <c r="N649" s="25">
        <v>8208</v>
      </c>
      <c r="O649" s="25">
        <v>2126.25</v>
      </c>
      <c r="P649" s="25">
        <v>5250</v>
      </c>
      <c r="Q649" s="25">
        <v>15584.25</v>
      </c>
      <c r="R649" s="18">
        <v>64.132716049382722</v>
      </c>
    </row>
    <row r="650" spans="1:18" x14ac:dyDescent="0.35">
      <c r="A650" s="13">
        <v>44926</v>
      </c>
      <c r="B650">
        <v>2022</v>
      </c>
      <c r="C650">
        <v>12</v>
      </c>
      <c r="D650" t="s">
        <v>77</v>
      </c>
      <c r="E650" t="s">
        <v>79</v>
      </c>
      <c r="F650">
        <v>194</v>
      </c>
      <c r="G650">
        <v>202</v>
      </c>
      <c r="H650">
        <v>0</v>
      </c>
      <c r="I650">
        <v>11</v>
      </c>
      <c r="J650" s="17">
        <v>0.70629370629370625</v>
      </c>
      <c r="K650">
        <v>35</v>
      </c>
      <c r="L650">
        <v>35</v>
      </c>
      <c r="M650" s="17">
        <v>1</v>
      </c>
      <c r="N650" s="25">
        <v>7524</v>
      </c>
      <c r="O650" s="25">
        <v>1767.5</v>
      </c>
      <c r="P650" s="25">
        <v>5250</v>
      </c>
      <c r="Q650" s="25">
        <v>14541.5</v>
      </c>
      <c r="R650" s="18">
        <v>71.987623762376231</v>
      </c>
    </row>
    <row r="651" spans="1:18" x14ac:dyDescent="0.35">
      <c r="A651" s="13">
        <v>44933</v>
      </c>
      <c r="B651">
        <v>2023</v>
      </c>
      <c r="C651">
        <v>1</v>
      </c>
      <c r="D651" t="s">
        <v>77</v>
      </c>
      <c r="E651" t="s">
        <v>79</v>
      </c>
      <c r="F651">
        <v>168</v>
      </c>
      <c r="G651">
        <v>168</v>
      </c>
      <c r="H651">
        <v>0</v>
      </c>
      <c r="I651">
        <v>10</v>
      </c>
      <c r="J651" s="17">
        <v>0.64615384615384619</v>
      </c>
      <c r="K651">
        <v>35</v>
      </c>
      <c r="L651">
        <v>33</v>
      </c>
      <c r="M651" s="17">
        <v>0.94285714285714284</v>
      </c>
      <c r="N651" s="25">
        <v>6840</v>
      </c>
      <c r="O651" s="25">
        <v>1470</v>
      </c>
      <c r="P651" s="25">
        <v>5250</v>
      </c>
      <c r="Q651" s="25">
        <v>13560</v>
      </c>
      <c r="R651" s="18">
        <v>80.714285714285708</v>
      </c>
    </row>
    <row r="652" spans="1:18" x14ac:dyDescent="0.35">
      <c r="A652" s="13">
        <v>44940</v>
      </c>
      <c r="B652">
        <v>2023</v>
      </c>
      <c r="C652">
        <v>1</v>
      </c>
      <c r="D652" t="s">
        <v>77</v>
      </c>
      <c r="E652" t="s">
        <v>79</v>
      </c>
      <c r="F652">
        <v>154</v>
      </c>
      <c r="G652">
        <v>154</v>
      </c>
      <c r="H652">
        <v>0</v>
      </c>
      <c r="I652">
        <v>8</v>
      </c>
      <c r="J652" s="17">
        <v>0.74038461538461542</v>
      </c>
      <c r="K652">
        <v>35</v>
      </c>
      <c r="L652">
        <v>35</v>
      </c>
      <c r="M652" s="17">
        <v>1</v>
      </c>
      <c r="N652" s="25">
        <v>5472</v>
      </c>
      <c r="O652" s="25">
        <v>1347.5</v>
      </c>
      <c r="P652" s="25">
        <v>5250</v>
      </c>
      <c r="Q652" s="25">
        <v>12069.5</v>
      </c>
      <c r="R652" s="18">
        <v>78.373376623376629</v>
      </c>
    </row>
    <row r="653" spans="1:18" x14ac:dyDescent="0.35">
      <c r="A653" s="13">
        <v>44947</v>
      </c>
      <c r="B653">
        <v>2023</v>
      </c>
      <c r="C653">
        <v>1</v>
      </c>
      <c r="D653" t="s">
        <v>77</v>
      </c>
      <c r="E653" t="s">
        <v>79</v>
      </c>
      <c r="F653">
        <v>147</v>
      </c>
      <c r="G653">
        <v>147</v>
      </c>
      <c r="H653">
        <v>0</v>
      </c>
      <c r="I653">
        <v>8</v>
      </c>
      <c r="J653" s="17">
        <v>0.70673076923076927</v>
      </c>
      <c r="K653">
        <v>35</v>
      </c>
      <c r="L653">
        <v>35</v>
      </c>
      <c r="M653" s="17">
        <v>1</v>
      </c>
      <c r="N653" s="25">
        <v>5472</v>
      </c>
      <c r="O653" s="25">
        <v>1286.25</v>
      </c>
      <c r="P653" s="25">
        <v>5250</v>
      </c>
      <c r="Q653" s="25">
        <v>12008.25</v>
      </c>
      <c r="R653" s="18">
        <v>81.688775510204081</v>
      </c>
    </row>
    <row r="654" spans="1:18" x14ac:dyDescent="0.35">
      <c r="A654" s="13">
        <v>44954</v>
      </c>
      <c r="B654">
        <v>2023</v>
      </c>
      <c r="C654">
        <v>1</v>
      </c>
      <c r="D654" t="s">
        <v>77</v>
      </c>
      <c r="E654" t="s">
        <v>79</v>
      </c>
      <c r="F654">
        <v>151</v>
      </c>
      <c r="G654">
        <v>151</v>
      </c>
      <c r="H654">
        <v>0</v>
      </c>
      <c r="I654">
        <v>9</v>
      </c>
      <c r="J654" s="17">
        <v>0.64529914529914534</v>
      </c>
      <c r="K654">
        <v>35</v>
      </c>
      <c r="L654">
        <v>34</v>
      </c>
      <c r="M654" s="17">
        <v>0.97142857142857142</v>
      </c>
      <c r="N654" s="25">
        <v>6156</v>
      </c>
      <c r="O654" s="25">
        <v>1321.25</v>
      </c>
      <c r="P654" s="25">
        <v>5250</v>
      </c>
      <c r="Q654" s="25">
        <v>12727.25</v>
      </c>
      <c r="R654" s="18">
        <v>84.286423841059602</v>
      </c>
    </row>
    <row r="655" spans="1:18" x14ac:dyDescent="0.35">
      <c r="A655" s="13">
        <v>44961</v>
      </c>
      <c r="B655">
        <v>2023</v>
      </c>
      <c r="C655">
        <v>2</v>
      </c>
      <c r="D655" t="s">
        <v>77</v>
      </c>
      <c r="E655" t="s">
        <v>79</v>
      </c>
      <c r="F655">
        <v>168</v>
      </c>
      <c r="G655">
        <v>168</v>
      </c>
      <c r="H655">
        <v>0</v>
      </c>
      <c r="I655">
        <v>10</v>
      </c>
      <c r="J655" s="17">
        <v>0.64615384615384619</v>
      </c>
      <c r="K655">
        <v>35</v>
      </c>
      <c r="L655">
        <v>32</v>
      </c>
      <c r="M655" s="17">
        <v>0.91428571428571426</v>
      </c>
      <c r="N655" s="25">
        <v>6840</v>
      </c>
      <c r="O655" s="25">
        <v>1470</v>
      </c>
      <c r="P655" s="25">
        <v>5250</v>
      </c>
      <c r="Q655" s="25">
        <v>13560</v>
      </c>
      <c r="R655" s="18">
        <v>80.714285714285708</v>
      </c>
    </row>
    <row r="656" spans="1:18" x14ac:dyDescent="0.35">
      <c r="A656" s="13">
        <v>44968</v>
      </c>
      <c r="B656">
        <v>2023</v>
      </c>
      <c r="C656">
        <v>2</v>
      </c>
      <c r="D656" t="s">
        <v>77</v>
      </c>
      <c r="E656" t="s">
        <v>79</v>
      </c>
      <c r="F656">
        <v>175</v>
      </c>
      <c r="G656">
        <v>175</v>
      </c>
      <c r="H656">
        <v>0</v>
      </c>
      <c r="I656">
        <v>10</v>
      </c>
      <c r="J656" s="17">
        <v>0.67307692307692313</v>
      </c>
      <c r="K656">
        <v>35</v>
      </c>
      <c r="L656">
        <v>33</v>
      </c>
      <c r="M656" s="17">
        <v>0.94285714285714284</v>
      </c>
      <c r="N656" s="25">
        <v>6840</v>
      </c>
      <c r="O656" s="25">
        <v>1531.25</v>
      </c>
      <c r="P656" s="25">
        <v>5250</v>
      </c>
      <c r="Q656" s="25">
        <v>13621.25</v>
      </c>
      <c r="R656" s="18">
        <v>77.835714285714289</v>
      </c>
    </row>
    <row r="657" spans="1:18" x14ac:dyDescent="0.35">
      <c r="A657" s="13">
        <v>44975</v>
      </c>
      <c r="B657">
        <v>2023</v>
      </c>
      <c r="C657">
        <v>2</v>
      </c>
      <c r="D657" t="s">
        <v>77</v>
      </c>
      <c r="E657" t="s">
        <v>79</v>
      </c>
      <c r="F657">
        <v>182</v>
      </c>
      <c r="G657">
        <v>182</v>
      </c>
      <c r="H657">
        <v>0</v>
      </c>
      <c r="I657">
        <v>11</v>
      </c>
      <c r="J657" s="17">
        <v>0.63636363636363635</v>
      </c>
      <c r="K657">
        <v>35</v>
      </c>
      <c r="L657">
        <v>33</v>
      </c>
      <c r="M657" s="17">
        <v>0.94285714285714284</v>
      </c>
      <c r="N657" s="25">
        <v>7524</v>
      </c>
      <c r="O657" s="25">
        <v>1592.5</v>
      </c>
      <c r="P657" s="25">
        <v>5250</v>
      </c>
      <c r="Q657" s="25">
        <v>14366.5</v>
      </c>
      <c r="R657" s="18">
        <v>78.936813186813183</v>
      </c>
    </row>
    <row r="658" spans="1:18" x14ac:dyDescent="0.35">
      <c r="A658" s="13">
        <v>44982</v>
      </c>
      <c r="B658">
        <v>2023</v>
      </c>
      <c r="C658">
        <v>2</v>
      </c>
      <c r="D658" t="s">
        <v>77</v>
      </c>
      <c r="E658" t="s">
        <v>79</v>
      </c>
      <c r="F658">
        <v>181</v>
      </c>
      <c r="G658">
        <v>181</v>
      </c>
      <c r="H658">
        <v>0</v>
      </c>
      <c r="I658">
        <v>10</v>
      </c>
      <c r="J658" s="17">
        <v>0.69615384615384612</v>
      </c>
      <c r="K658">
        <v>35</v>
      </c>
      <c r="L658">
        <v>34</v>
      </c>
      <c r="M658" s="17">
        <v>0.97142857142857142</v>
      </c>
      <c r="N658" s="25">
        <v>6840</v>
      </c>
      <c r="O658" s="25">
        <v>1583.75</v>
      </c>
      <c r="P658" s="25">
        <v>5250</v>
      </c>
      <c r="Q658" s="25">
        <v>13673.75</v>
      </c>
      <c r="R658" s="18">
        <v>75.545580110497241</v>
      </c>
    </row>
    <row r="659" spans="1:18" x14ac:dyDescent="0.35">
      <c r="A659" s="13">
        <v>44989</v>
      </c>
      <c r="B659">
        <v>2023</v>
      </c>
      <c r="C659">
        <v>3</v>
      </c>
      <c r="D659" t="s">
        <v>77</v>
      </c>
      <c r="E659" t="s">
        <v>79</v>
      </c>
      <c r="F659">
        <v>177</v>
      </c>
      <c r="G659">
        <v>177</v>
      </c>
      <c r="H659">
        <v>0</v>
      </c>
      <c r="I659">
        <v>10</v>
      </c>
      <c r="J659" s="17">
        <v>0.68076923076923079</v>
      </c>
      <c r="K659">
        <v>35</v>
      </c>
      <c r="L659">
        <v>35</v>
      </c>
      <c r="M659" s="17">
        <v>1</v>
      </c>
      <c r="N659" s="25">
        <v>6840</v>
      </c>
      <c r="O659" s="25">
        <v>1548.75</v>
      </c>
      <c r="P659" s="25">
        <v>5250</v>
      </c>
      <c r="Q659" s="25">
        <v>13638.75</v>
      </c>
      <c r="R659" s="18">
        <v>77.055084745762713</v>
      </c>
    </row>
    <row r="660" spans="1:18" x14ac:dyDescent="0.35">
      <c r="A660" s="13">
        <v>44996</v>
      </c>
      <c r="B660">
        <v>2023</v>
      </c>
      <c r="C660">
        <v>3</v>
      </c>
      <c r="D660" t="s">
        <v>77</v>
      </c>
      <c r="E660" t="s">
        <v>79</v>
      </c>
      <c r="F660">
        <v>187</v>
      </c>
      <c r="G660">
        <v>187</v>
      </c>
      <c r="H660">
        <v>0</v>
      </c>
      <c r="I660">
        <v>11</v>
      </c>
      <c r="J660" s="17">
        <v>0.65384615384615385</v>
      </c>
      <c r="K660">
        <v>35</v>
      </c>
      <c r="L660">
        <v>35</v>
      </c>
      <c r="M660" s="17">
        <v>1</v>
      </c>
      <c r="N660" s="25">
        <v>7524</v>
      </c>
      <c r="O660" s="25">
        <v>1636.25</v>
      </c>
      <c r="P660" s="25">
        <v>5250</v>
      </c>
      <c r="Q660" s="25">
        <v>14410.25</v>
      </c>
      <c r="R660" s="18">
        <v>77.060160427807489</v>
      </c>
    </row>
    <row r="661" spans="1:18" x14ac:dyDescent="0.35">
      <c r="A661" s="13">
        <v>45003</v>
      </c>
      <c r="B661">
        <v>2023</v>
      </c>
      <c r="C661">
        <v>3</v>
      </c>
      <c r="D661" t="s">
        <v>77</v>
      </c>
      <c r="E661" t="s">
        <v>79</v>
      </c>
      <c r="F661">
        <v>186</v>
      </c>
      <c r="G661">
        <v>186</v>
      </c>
      <c r="H661">
        <v>0</v>
      </c>
      <c r="I661">
        <v>11</v>
      </c>
      <c r="J661" s="17">
        <v>0.65034965034965031</v>
      </c>
      <c r="K661">
        <v>35</v>
      </c>
      <c r="L661">
        <v>34</v>
      </c>
      <c r="M661" s="17">
        <v>0.97142857142857142</v>
      </c>
      <c r="N661" s="25">
        <v>7524</v>
      </c>
      <c r="O661" s="25">
        <v>1627.5</v>
      </c>
      <c r="P661" s="25">
        <v>5250</v>
      </c>
      <c r="Q661" s="25">
        <v>14401.5</v>
      </c>
      <c r="R661" s="18">
        <v>77.427419354838705</v>
      </c>
    </row>
    <row r="662" spans="1:18" x14ac:dyDescent="0.35">
      <c r="A662" s="13">
        <v>45010</v>
      </c>
      <c r="B662">
        <v>2023</v>
      </c>
      <c r="C662">
        <v>3</v>
      </c>
      <c r="D662" t="s">
        <v>77</v>
      </c>
      <c r="E662" t="s">
        <v>79</v>
      </c>
      <c r="F662">
        <v>179</v>
      </c>
      <c r="G662">
        <v>179</v>
      </c>
      <c r="H662">
        <v>0</v>
      </c>
      <c r="I662">
        <v>11</v>
      </c>
      <c r="J662" s="17">
        <v>0.62587412587412583</v>
      </c>
      <c r="K662">
        <v>35</v>
      </c>
      <c r="L662">
        <v>34</v>
      </c>
      <c r="M662" s="17">
        <v>0.97142857142857142</v>
      </c>
      <c r="N662" s="25">
        <v>7524</v>
      </c>
      <c r="O662" s="25">
        <v>1566.25</v>
      </c>
      <c r="P662" s="25">
        <v>5250</v>
      </c>
      <c r="Q662" s="25">
        <v>14340.25</v>
      </c>
      <c r="R662" s="18">
        <v>80.113128491620117</v>
      </c>
    </row>
    <row r="663" spans="1:18" x14ac:dyDescent="0.35">
      <c r="A663" s="13">
        <v>45017</v>
      </c>
      <c r="B663">
        <v>2023</v>
      </c>
      <c r="C663">
        <v>4</v>
      </c>
      <c r="D663" t="s">
        <v>77</v>
      </c>
      <c r="E663" t="s">
        <v>79</v>
      </c>
      <c r="F663">
        <v>186</v>
      </c>
      <c r="G663">
        <v>186</v>
      </c>
      <c r="H663">
        <v>0</v>
      </c>
      <c r="I663">
        <v>10</v>
      </c>
      <c r="J663" s="17">
        <v>0.7153846153846154</v>
      </c>
      <c r="K663">
        <v>35</v>
      </c>
      <c r="L663">
        <v>35</v>
      </c>
      <c r="M663" s="17">
        <v>1</v>
      </c>
      <c r="N663" s="25">
        <v>6840</v>
      </c>
      <c r="O663" s="25">
        <v>1627.5</v>
      </c>
      <c r="P663" s="25">
        <v>5250</v>
      </c>
      <c r="Q663" s="25">
        <v>13717.5</v>
      </c>
      <c r="R663" s="18">
        <v>73.75</v>
      </c>
    </row>
    <row r="664" spans="1:18" x14ac:dyDescent="0.35">
      <c r="A664" s="13">
        <v>45024</v>
      </c>
      <c r="B664">
        <v>2023</v>
      </c>
      <c r="C664">
        <v>4</v>
      </c>
      <c r="D664" t="s">
        <v>77</v>
      </c>
      <c r="E664" t="s">
        <v>79</v>
      </c>
      <c r="F664">
        <v>181</v>
      </c>
      <c r="G664">
        <v>181</v>
      </c>
      <c r="H664">
        <v>0</v>
      </c>
      <c r="I664">
        <v>10</v>
      </c>
      <c r="J664" s="17">
        <v>0.69615384615384612</v>
      </c>
      <c r="K664">
        <v>35</v>
      </c>
      <c r="L664">
        <v>35</v>
      </c>
      <c r="M664" s="17">
        <v>1</v>
      </c>
      <c r="N664" s="25">
        <v>6840</v>
      </c>
      <c r="O664" s="25">
        <v>1583.75</v>
      </c>
      <c r="P664" s="25">
        <v>5250</v>
      </c>
      <c r="Q664" s="25">
        <v>13673.75</v>
      </c>
      <c r="R664" s="18">
        <v>75.545580110497241</v>
      </c>
    </row>
    <row r="665" spans="1:18" x14ac:dyDescent="0.35">
      <c r="A665" s="13">
        <v>45031</v>
      </c>
      <c r="B665">
        <v>2023</v>
      </c>
      <c r="C665">
        <v>4</v>
      </c>
      <c r="D665" t="s">
        <v>77</v>
      </c>
      <c r="E665" t="s">
        <v>79</v>
      </c>
      <c r="F665">
        <v>185</v>
      </c>
      <c r="G665">
        <v>185</v>
      </c>
      <c r="H665">
        <v>0</v>
      </c>
      <c r="I665">
        <v>11</v>
      </c>
      <c r="J665" s="17">
        <v>0.64685314685314688</v>
      </c>
      <c r="K665">
        <v>35</v>
      </c>
      <c r="L665">
        <v>34</v>
      </c>
      <c r="M665" s="17">
        <v>0.97142857142857142</v>
      </c>
      <c r="N665" s="25">
        <v>7524</v>
      </c>
      <c r="O665" s="25">
        <v>1618.75</v>
      </c>
      <c r="P665" s="25">
        <v>5250</v>
      </c>
      <c r="Q665" s="25">
        <v>14392.75</v>
      </c>
      <c r="R665" s="18">
        <v>77.798648648648651</v>
      </c>
    </row>
    <row r="666" spans="1:18" x14ac:dyDescent="0.35">
      <c r="A666" s="13">
        <v>45038</v>
      </c>
      <c r="B666">
        <v>2023</v>
      </c>
      <c r="C666">
        <v>4</v>
      </c>
      <c r="D666" t="s">
        <v>77</v>
      </c>
      <c r="E666" t="s">
        <v>79</v>
      </c>
      <c r="F666">
        <v>177</v>
      </c>
      <c r="G666">
        <v>177</v>
      </c>
      <c r="H666">
        <v>0</v>
      </c>
      <c r="I666">
        <v>10</v>
      </c>
      <c r="J666" s="17">
        <v>0.68076923076923079</v>
      </c>
      <c r="K666">
        <v>35</v>
      </c>
      <c r="L666">
        <v>33</v>
      </c>
      <c r="M666" s="17">
        <v>0.94285714285714284</v>
      </c>
      <c r="N666" s="25">
        <v>6840</v>
      </c>
      <c r="O666" s="25">
        <v>1548.75</v>
      </c>
      <c r="P666" s="25">
        <v>5250</v>
      </c>
      <c r="Q666" s="25">
        <v>13638.75</v>
      </c>
      <c r="R666" s="18">
        <v>77.055084745762713</v>
      </c>
    </row>
    <row r="667" spans="1:18" x14ac:dyDescent="0.35">
      <c r="A667" s="13">
        <v>45045</v>
      </c>
      <c r="B667">
        <v>2023</v>
      </c>
      <c r="C667">
        <v>4</v>
      </c>
      <c r="D667" t="s">
        <v>77</v>
      </c>
      <c r="E667" t="s">
        <v>79</v>
      </c>
      <c r="F667">
        <v>195</v>
      </c>
      <c r="G667">
        <v>195</v>
      </c>
      <c r="H667">
        <v>0</v>
      </c>
      <c r="I667">
        <v>10</v>
      </c>
      <c r="J667" s="17">
        <v>0.75</v>
      </c>
      <c r="K667">
        <v>35</v>
      </c>
      <c r="L667">
        <v>35</v>
      </c>
      <c r="M667" s="17">
        <v>1</v>
      </c>
      <c r="N667" s="25">
        <v>6840</v>
      </c>
      <c r="O667" s="25">
        <v>1706.25</v>
      </c>
      <c r="P667" s="25">
        <v>5250</v>
      </c>
      <c r="Q667" s="25">
        <v>13796.25</v>
      </c>
      <c r="R667" s="18">
        <v>70.75</v>
      </c>
    </row>
    <row r="668" spans="1:18" x14ac:dyDescent="0.35">
      <c r="A668" s="13">
        <v>45052</v>
      </c>
      <c r="B668">
        <v>2023</v>
      </c>
      <c r="C668">
        <v>5</v>
      </c>
      <c r="D668" t="s">
        <v>77</v>
      </c>
      <c r="E668" t="s">
        <v>79</v>
      </c>
      <c r="F668">
        <v>189</v>
      </c>
      <c r="G668">
        <v>189</v>
      </c>
      <c r="H668">
        <v>0</v>
      </c>
      <c r="I668">
        <v>10</v>
      </c>
      <c r="J668" s="17">
        <v>0.72692307692307689</v>
      </c>
      <c r="K668">
        <v>35</v>
      </c>
      <c r="L668">
        <v>32</v>
      </c>
      <c r="M668" s="17">
        <v>0.91428571428571426</v>
      </c>
      <c r="N668" s="25">
        <v>6840</v>
      </c>
      <c r="O668" s="25">
        <v>1653.75</v>
      </c>
      <c r="P668" s="25">
        <v>5250</v>
      </c>
      <c r="Q668" s="25">
        <v>13743.75</v>
      </c>
      <c r="R668" s="18">
        <v>72.718253968253961</v>
      </c>
    </row>
    <row r="669" spans="1:18" x14ac:dyDescent="0.35">
      <c r="A669" s="13">
        <v>45059</v>
      </c>
      <c r="B669">
        <v>2023</v>
      </c>
      <c r="C669">
        <v>5</v>
      </c>
      <c r="D669" t="s">
        <v>77</v>
      </c>
      <c r="E669" t="s">
        <v>79</v>
      </c>
      <c r="F669">
        <v>197</v>
      </c>
      <c r="G669">
        <v>197</v>
      </c>
      <c r="H669">
        <v>0</v>
      </c>
      <c r="I669">
        <v>11</v>
      </c>
      <c r="J669" s="17">
        <v>0.68881118881118886</v>
      </c>
      <c r="K669">
        <v>35</v>
      </c>
      <c r="L669">
        <v>34</v>
      </c>
      <c r="M669" s="17">
        <v>0.97142857142857142</v>
      </c>
      <c r="N669" s="25">
        <v>7524</v>
      </c>
      <c r="O669" s="25">
        <v>1723.75</v>
      </c>
      <c r="P669" s="25">
        <v>5250</v>
      </c>
      <c r="Q669" s="25">
        <v>14497.75</v>
      </c>
      <c r="R669" s="18">
        <v>73.592639593908629</v>
      </c>
    </row>
    <row r="670" spans="1:18" x14ac:dyDescent="0.35">
      <c r="A670" s="13">
        <v>45066</v>
      </c>
      <c r="B670">
        <v>2023</v>
      </c>
      <c r="C670">
        <v>5</v>
      </c>
      <c r="D670" t="s">
        <v>77</v>
      </c>
      <c r="E670" t="s">
        <v>79</v>
      </c>
      <c r="F670">
        <v>194</v>
      </c>
      <c r="G670">
        <v>194</v>
      </c>
      <c r="H670">
        <v>0</v>
      </c>
      <c r="I670">
        <v>11</v>
      </c>
      <c r="J670" s="17">
        <v>0.67832167832167833</v>
      </c>
      <c r="K670">
        <v>35</v>
      </c>
      <c r="L670">
        <v>33</v>
      </c>
      <c r="M670" s="17">
        <v>0.94285714285714284</v>
      </c>
      <c r="N670" s="25">
        <v>7524</v>
      </c>
      <c r="O670" s="25">
        <v>1697.5</v>
      </c>
      <c r="P670" s="25">
        <v>5250</v>
      </c>
      <c r="Q670" s="25">
        <v>14471.5</v>
      </c>
      <c r="R670" s="18">
        <v>74.595360824742272</v>
      </c>
    </row>
    <row r="671" spans="1:18" x14ac:dyDescent="0.35">
      <c r="A671" s="13">
        <v>45073</v>
      </c>
      <c r="B671">
        <v>2023</v>
      </c>
      <c r="C671">
        <v>5</v>
      </c>
      <c r="D671" t="s">
        <v>77</v>
      </c>
      <c r="E671" t="s">
        <v>79</v>
      </c>
      <c r="F671">
        <v>191</v>
      </c>
      <c r="G671">
        <v>191</v>
      </c>
      <c r="H671">
        <v>0</v>
      </c>
      <c r="I671">
        <v>10</v>
      </c>
      <c r="J671" s="17">
        <v>0.73461538461538467</v>
      </c>
      <c r="K671">
        <v>35</v>
      </c>
      <c r="L671">
        <v>35</v>
      </c>
      <c r="M671" s="17">
        <v>1</v>
      </c>
      <c r="N671" s="25">
        <v>6840</v>
      </c>
      <c r="O671" s="25">
        <v>1671.25</v>
      </c>
      <c r="P671" s="25">
        <v>5250</v>
      </c>
      <c r="Q671" s="25">
        <v>13761.25</v>
      </c>
      <c r="R671" s="18">
        <v>72.048429319371721</v>
      </c>
    </row>
    <row r="672" spans="1:18" x14ac:dyDescent="0.35">
      <c r="A672" s="13">
        <v>45080</v>
      </c>
      <c r="B672">
        <v>2023</v>
      </c>
      <c r="C672">
        <v>6</v>
      </c>
      <c r="D672" t="s">
        <v>77</v>
      </c>
      <c r="E672" t="s">
        <v>79</v>
      </c>
      <c r="F672">
        <v>190</v>
      </c>
      <c r="G672">
        <v>190</v>
      </c>
      <c r="H672">
        <v>0</v>
      </c>
      <c r="I672">
        <v>11</v>
      </c>
      <c r="J672" s="17">
        <v>0.66433566433566438</v>
      </c>
      <c r="K672">
        <v>35</v>
      </c>
      <c r="L672">
        <v>35</v>
      </c>
      <c r="M672" s="17">
        <v>1</v>
      </c>
      <c r="N672" s="25">
        <v>7524</v>
      </c>
      <c r="O672" s="25">
        <v>1662.5</v>
      </c>
      <c r="P672" s="25">
        <v>5250</v>
      </c>
      <c r="Q672" s="25">
        <v>14436.5</v>
      </c>
      <c r="R672" s="18">
        <v>75.981578947368419</v>
      </c>
    </row>
    <row r="673" spans="1:18" x14ac:dyDescent="0.35">
      <c r="A673" s="13">
        <v>45087</v>
      </c>
      <c r="B673">
        <v>2023</v>
      </c>
      <c r="C673">
        <v>6</v>
      </c>
      <c r="D673" t="s">
        <v>77</v>
      </c>
      <c r="E673" t="s">
        <v>79</v>
      </c>
      <c r="F673">
        <v>187</v>
      </c>
      <c r="G673">
        <v>187</v>
      </c>
      <c r="H673">
        <v>0</v>
      </c>
      <c r="I673">
        <v>11</v>
      </c>
      <c r="J673" s="17">
        <v>0.65384615384615385</v>
      </c>
      <c r="K673">
        <v>35</v>
      </c>
      <c r="L673">
        <v>33</v>
      </c>
      <c r="M673" s="17">
        <v>0.94285714285714284</v>
      </c>
      <c r="N673" s="25">
        <v>7524</v>
      </c>
      <c r="O673" s="25">
        <v>1636.25</v>
      </c>
      <c r="P673" s="25">
        <v>5250</v>
      </c>
      <c r="Q673" s="25">
        <v>14410.25</v>
      </c>
      <c r="R673" s="18">
        <v>77.060160427807489</v>
      </c>
    </row>
    <row r="674" spans="1:18" x14ac:dyDescent="0.35">
      <c r="A674" s="13">
        <v>45094</v>
      </c>
      <c r="B674">
        <v>2023</v>
      </c>
      <c r="C674">
        <v>6</v>
      </c>
      <c r="D674" t="s">
        <v>77</v>
      </c>
      <c r="E674" t="s">
        <v>79</v>
      </c>
      <c r="F674">
        <v>188</v>
      </c>
      <c r="G674">
        <v>188</v>
      </c>
      <c r="H674">
        <v>0</v>
      </c>
      <c r="I674">
        <v>10</v>
      </c>
      <c r="J674" s="17">
        <v>0.72307692307692306</v>
      </c>
      <c r="K674">
        <v>35</v>
      </c>
      <c r="L674">
        <v>35</v>
      </c>
      <c r="M674" s="17">
        <v>1</v>
      </c>
      <c r="N674" s="25">
        <v>6840</v>
      </c>
      <c r="O674" s="25">
        <v>1645</v>
      </c>
      <c r="P674" s="25">
        <v>5250</v>
      </c>
      <c r="Q674" s="25">
        <v>13735</v>
      </c>
      <c r="R674" s="18">
        <v>73.058510638297875</v>
      </c>
    </row>
    <row r="675" spans="1:18" x14ac:dyDescent="0.35">
      <c r="A675" s="13">
        <v>45101</v>
      </c>
      <c r="B675">
        <v>2023</v>
      </c>
      <c r="C675">
        <v>6</v>
      </c>
      <c r="D675" t="s">
        <v>77</v>
      </c>
      <c r="E675" t="s">
        <v>79</v>
      </c>
      <c r="F675">
        <v>183</v>
      </c>
      <c r="G675">
        <v>183</v>
      </c>
      <c r="H675">
        <v>0</v>
      </c>
      <c r="I675">
        <v>10</v>
      </c>
      <c r="J675" s="17">
        <v>0.7038461538461539</v>
      </c>
      <c r="K675">
        <v>35</v>
      </c>
      <c r="L675">
        <v>33</v>
      </c>
      <c r="M675" s="17">
        <v>0.94285714285714284</v>
      </c>
      <c r="N675" s="25">
        <v>6840</v>
      </c>
      <c r="O675" s="25">
        <v>1601.25</v>
      </c>
      <c r="P675" s="25">
        <v>5250</v>
      </c>
      <c r="Q675" s="25">
        <v>13691.25</v>
      </c>
      <c r="R675" s="18">
        <v>74.81557377049181</v>
      </c>
    </row>
    <row r="676" spans="1:18" x14ac:dyDescent="0.35">
      <c r="A676" s="13">
        <v>45108</v>
      </c>
      <c r="B676">
        <v>2023</v>
      </c>
      <c r="C676">
        <v>7</v>
      </c>
      <c r="D676" t="s">
        <v>77</v>
      </c>
      <c r="E676" t="s">
        <v>79</v>
      </c>
      <c r="F676">
        <v>193</v>
      </c>
      <c r="G676">
        <v>193</v>
      </c>
      <c r="H676">
        <v>0</v>
      </c>
      <c r="I676">
        <v>11</v>
      </c>
      <c r="J676" s="17">
        <v>0.67482517482517479</v>
      </c>
      <c r="K676">
        <v>35</v>
      </c>
      <c r="L676">
        <v>35</v>
      </c>
      <c r="M676" s="17">
        <v>1</v>
      </c>
      <c r="N676" s="25">
        <v>7524</v>
      </c>
      <c r="O676" s="25">
        <v>1688.75</v>
      </c>
      <c r="P676" s="25">
        <v>5250</v>
      </c>
      <c r="Q676" s="25">
        <v>14462.75</v>
      </c>
      <c r="R676" s="18">
        <v>74.936528497409327</v>
      </c>
    </row>
    <row r="677" spans="1:18" x14ac:dyDescent="0.35">
      <c r="A677" s="13">
        <v>45115</v>
      </c>
      <c r="B677">
        <v>2023</v>
      </c>
      <c r="C677">
        <v>7</v>
      </c>
      <c r="D677" t="s">
        <v>77</v>
      </c>
      <c r="E677" t="s">
        <v>79</v>
      </c>
      <c r="F677">
        <v>188</v>
      </c>
      <c r="G677">
        <v>188</v>
      </c>
      <c r="H677">
        <v>0</v>
      </c>
      <c r="I677">
        <v>10</v>
      </c>
      <c r="J677" s="17">
        <v>0.72307692307692306</v>
      </c>
      <c r="K677">
        <v>35</v>
      </c>
      <c r="L677">
        <v>33</v>
      </c>
      <c r="M677" s="17">
        <v>0.94285714285714284</v>
      </c>
      <c r="N677" s="25">
        <v>6840</v>
      </c>
      <c r="O677" s="25">
        <v>1645</v>
      </c>
      <c r="P677" s="25">
        <v>5250</v>
      </c>
      <c r="Q677" s="25">
        <v>13735</v>
      </c>
      <c r="R677" s="18">
        <v>73.058510638297875</v>
      </c>
    </row>
    <row r="678" spans="1:18" x14ac:dyDescent="0.35">
      <c r="A678" s="13">
        <v>45122</v>
      </c>
      <c r="B678">
        <v>2023</v>
      </c>
      <c r="C678">
        <v>7</v>
      </c>
      <c r="D678" t="s">
        <v>77</v>
      </c>
      <c r="E678" t="s">
        <v>79</v>
      </c>
      <c r="F678">
        <v>190</v>
      </c>
      <c r="G678">
        <v>190</v>
      </c>
      <c r="H678">
        <v>0</v>
      </c>
      <c r="I678">
        <v>11</v>
      </c>
      <c r="J678" s="17">
        <v>0.66433566433566438</v>
      </c>
      <c r="K678">
        <v>35</v>
      </c>
      <c r="L678">
        <v>34</v>
      </c>
      <c r="M678" s="17">
        <v>0.97142857142857142</v>
      </c>
      <c r="N678" s="25">
        <v>7524</v>
      </c>
      <c r="O678" s="25">
        <v>1662.5</v>
      </c>
      <c r="P678" s="25">
        <v>5250</v>
      </c>
      <c r="Q678" s="25">
        <v>14436.5</v>
      </c>
      <c r="R678" s="18">
        <v>75.981578947368419</v>
      </c>
    </row>
    <row r="679" spans="1:18" x14ac:dyDescent="0.35">
      <c r="A679" s="13">
        <v>45129</v>
      </c>
      <c r="B679">
        <v>2023</v>
      </c>
      <c r="C679">
        <v>7</v>
      </c>
      <c r="D679" t="s">
        <v>77</v>
      </c>
      <c r="E679" t="s">
        <v>79</v>
      </c>
      <c r="F679">
        <v>190</v>
      </c>
      <c r="G679">
        <v>190</v>
      </c>
      <c r="H679">
        <v>0</v>
      </c>
      <c r="I679">
        <v>10</v>
      </c>
      <c r="J679" s="17">
        <v>0.73076923076923073</v>
      </c>
      <c r="K679">
        <v>35</v>
      </c>
      <c r="L679">
        <v>34</v>
      </c>
      <c r="M679" s="17">
        <v>0.97142857142857142</v>
      </c>
      <c r="N679" s="25">
        <v>6840</v>
      </c>
      <c r="O679" s="25">
        <v>1662.5</v>
      </c>
      <c r="P679" s="25">
        <v>5250</v>
      </c>
      <c r="Q679" s="25">
        <v>13752.5</v>
      </c>
      <c r="R679" s="18">
        <v>72.381578947368425</v>
      </c>
    </row>
    <row r="680" spans="1:18" x14ac:dyDescent="0.35">
      <c r="A680" s="13">
        <v>45136</v>
      </c>
      <c r="B680">
        <v>2023</v>
      </c>
      <c r="C680">
        <v>7</v>
      </c>
      <c r="D680" t="s">
        <v>77</v>
      </c>
      <c r="E680" t="s">
        <v>79</v>
      </c>
      <c r="F680">
        <v>189</v>
      </c>
      <c r="G680">
        <v>189</v>
      </c>
      <c r="H680">
        <v>0</v>
      </c>
      <c r="I680">
        <v>11</v>
      </c>
      <c r="J680" s="17">
        <v>0.66083916083916083</v>
      </c>
      <c r="K680">
        <v>35</v>
      </c>
      <c r="L680">
        <v>35</v>
      </c>
      <c r="M680" s="17">
        <v>1</v>
      </c>
      <c r="N680" s="25">
        <v>7524</v>
      </c>
      <c r="O680" s="25">
        <v>1653.75</v>
      </c>
      <c r="P680" s="25">
        <v>5250</v>
      </c>
      <c r="Q680" s="25">
        <v>14427.75</v>
      </c>
      <c r="R680" s="18">
        <v>76.337301587301582</v>
      </c>
    </row>
    <row r="681" spans="1:18" x14ac:dyDescent="0.35">
      <c r="A681" s="13">
        <v>45143</v>
      </c>
      <c r="B681">
        <v>2023</v>
      </c>
      <c r="C681">
        <v>8</v>
      </c>
      <c r="D681" t="s">
        <v>77</v>
      </c>
      <c r="E681" t="s">
        <v>79</v>
      </c>
      <c r="F681">
        <v>192</v>
      </c>
      <c r="G681">
        <v>192</v>
      </c>
      <c r="H681">
        <v>0</v>
      </c>
      <c r="I681">
        <v>11</v>
      </c>
      <c r="J681" s="17">
        <v>0.67132867132867136</v>
      </c>
      <c r="K681">
        <v>35</v>
      </c>
      <c r="L681">
        <v>35</v>
      </c>
      <c r="M681" s="17">
        <v>1</v>
      </c>
      <c r="N681" s="25">
        <v>7524</v>
      </c>
      <c r="O681" s="25">
        <v>1680</v>
      </c>
      <c r="P681" s="25">
        <v>5250</v>
      </c>
      <c r="Q681" s="25">
        <v>14454</v>
      </c>
      <c r="R681" s="18">
        <v>75.28125</v>
      </c>
    </row>
    <row r="682" spans="1:18" x14ac:dyDescent="0.35">
      <c r="A682" s="13">
        <v>45150</v>
      </c>
      <c r="B682">
        <v>2023</v>
      </c>
      <c r="C682">
        <v>8</v>
      </c>
      <c r="D682" t="s">
        <v>77</v>
      </c>
      <c r="E682" t="s">
        <v>79</v>
      </c>
      <c r="F682">
        <v>199</v>
      </c>
      <c r="G682">
        <v>199</v>
      </c>
      <c r="H682">
        <v>0</v>
      </c>
      <c r="I682">
        <v>11</v>
      </c>
      <c r="J682" s="17">
        <v>0.69580419580419584</v>
      </c>
      <c r="K682">
        <v>35</v>
      </c>
      <c r="L682">
        <v>34</v>
      </c>
      <c r="M682" s="17">
        <v>0.97142857142857142</v>
      </c>
      <c r="N682" s="25">
        <v>7524</v>
      </c>
      <c r="O682" s="25">
        <v>1741.25</v>
      </c>
      <c r="P682" s="25">
        <v>5250</v>
      </c>
      <c r="Q682" s="25">
        <v>14515.25</v>
      </c>
      <c r="R682" s="18">
        <v>72.94095477386935</v>
      </c>
    </row>
    <row r="683" spans="1:18" x14ac:dyDescent="0.35">
      <c r="A683" s="13">
        <v>45157</v>
      </c>
      <c r="B683">
        <v>2023</v>
      </c>
      <c r="C683">
        <v>8</v>
      </c>
      <c r="D683" t="s">
        <v>77</v>
      </c>
      <c r="E683" t="s">
        <v>79</v>
      </c>
      <c r="F683">
        <v>198</v>
      </c>
      <c r="G683">
        <v>198</v>
      </c>
      <c r="H683">
        <v>0</v>
      </c>
      <c r="I683">
        <v>11</v>
      </c>
      <c r="J683" s="17">
        <v>0.69230769230769229</v>
      </c>
      <c r="K683">
        <v>35</v>
      </c>
      <c r="L683">
        <v>33</v>
      </c>
      <c r="M683" s="17">
        <v>0.94285714285714284</v>
      </c>
      <c r="N683" s="25">
        <v>7524</v>
      </c>
      <c r="O683" s="25">
        <v>1732.5</v>
      </c>
      <c r="P683" s="25">
        <v>5250</v>
      </c>
      <c r="Q683" s="25">
        <v>14506.5</v>
      </c>
      <c r="R683" s="18">
        <v>73.265151515151516</v>
      </c>
    </row>
    <row r="684" spans="1:18" x14ac:dyDescent="0.35">
      <c r="A684" s="13">
        <v>45164</v>
      </c>
      <c r="B684">
        <v>2023</v>
      </c>
      <c r="C684">
        <v>8</v>
      </c>
      <c r="D684" t="s">
        <v>77</v>
      </c>
      <c r="E684" t="s">
        <v>79</v>
      </c>
      <c r="F684">
        <v>185</v>
      </c>
      <c r="G684">
        <v>185</v>
      </c>
      <c r="H684">
        <v>0</v>
      </c>
      <c r="I684">
        <v>10</v>
      </c>
      <c r="J684" s="17">
        <v>0.71153846153846156</v>
      </c>
      <c r="K684">
        <v>35</v>
      </c>
      <c r="L684">
        <v>33</v>
      </c>
      <c r="M684" s="17">
        <v>0.94285714285714284</v>
      </c>
      <c r="N684" s="25">
        <v>6840</v>
      </c>
      <c r="O684" s="25">
        <v>1618.75</v>
      </c>
      <c r="P684" s="25">
        <v>5250</v>
      </c>
      <c r="Q684" s="25">
        <v>13708.75</v>
      </c>
      <c r="R684" s="18">
        <v>74.101351351351354</v>
      </c>
    </row>
    <row r="685" spans="1:18" x14ac:dyDescent="0.35">
      <c r="A685" s="13">
        <v>45171</v>
      </c>
      <c r="B685">
        <v>2023</v>
      </c>
      <c r="C685">
        <v>9</v>
      </c>
      <c r="D685" t="s">
        <v>77</v>
      </c>
      <c r="E685" t="s">
        <v>79</v>
      </c>
      <c r="F685">
        <v>184</v>
      </c>
      <c r="G685">
        <v>184</v>
      </c>
      <c r="H685">
        <v>0</v>
      </c>
      <c r="I685">
        <v>10</v>
      </c>
      <c r="J685" s="17">
        <v>0.70769230769230773</v>
      </c>
      <c r="K685">
        <v>35</v>
      </c>
      <c r="L685">
        <v>35</v>
      </c>
      <c r="M685" s="17">
        <v>1</v>
      </c>
      <c r="N685" s="25">
        <v>6840</v>
      </c>
      <c r="O685" s="25">
        <v>1610</v>
      </c>
      <c r="P685" s="25">
        <v>5250</v>
      </c>
      <c r="Q685" s="25">
        <v>13700</v>
      </c>
      <c r="R685" s="18">
        <v>74.456521739130437</v>
      </c>
    </row>
    <row r="686" spans="1:18" x14ac:dyDescent="0.35">
      <c r="A686" s="13">
        <v>45178</v>
      </c>
      <c r="B686">
        <v>2023</v>
      </c>
      <c r="C686">
        <v>9</v>
      </c>
      <c r="D686" t="s">
        <v>77</v>
      </c>
      <c r="E686" t="s">
        <v>79</v>
      </c>
      <c r="F686">
        <v>181</v>
      </c>
      <c r="G686">
        <v>181</v>
      </c>
      <c r="H686">
        <v>0</v>
      </c>
      <c r="I686">
        <v>10</v>
      </c>
      <c r="J686" s="17">
        <v>0.69615384615384612</v>
      </c>
      <c r="K686">
        <v>35</v>
      </c>
      <c r="L686">
        <v>35</v>
      </c>
      <c r="M686" s="17">
        <v>1</v>
      </c>
      <c r="N686" s="25">
        <v>6840</v>
      </c>
      <c r="O686" s="25">
        <v>1583.75</v>
      </c>
      <c r="P686" s="25">
        <v>5250</v>
      </c>
      <c r="Q686" s="25">
        <v>13673.75</v>
      </c>
      <c r="R686" s="18">
        <v>75.545580110497241</v>
      </c>
    </row>
    <row r="687" spans="1:18" x14ac:dyDescent="0.35">
      <c r="A687" s="13">
        <v>45185</v>
      </c>
      <c r="B687">
        <v>2023</v>
      </c>
      <c r="C687">
        <v>9</v>
      </c>
      <c r="D687" t="s">
        <v>77</v>
      </c>
      <c r="E687" t="s">
        <v>79</v>
      </c>
      <c r="F687">
        <v>181</v>
      </c>
      <c r="G687">
        <v>181</v>
      </c>
      <c r="H687">
        <v>0</v>
      </c>
      <c r="I687">
        <v>10</v>
      </c>
      <c r="J687" s="17">
        <v>0.69615384615384612</v>
      </c>
      <c r="K687">
        <v>35</v>
      </c>
      <c r="L687">
        <v>31</v>
      </c>
      <c r="M687" s="17">
        <v>0.88571428571428568</v>
      </c>
      <c r="N687" s="25">
        <v>6840</v>
      </c>
      <c r="O687" s="25">
        <v>1583.75</v>
      </c>
      <c r="P687" s="25">
        <v>5250</v>
      </c>
      <c r="Q687" s="25">
        <v>13673.75</v>
      </c>
      <c r="R687" s="18">
        <v>75.545580110497241</v>
      </c>
    </row>
    <row r="688" spans="1:18" x14ac:dyDescent="0.35">
      <c r="A688" s="13">
        <v>45192</v>
      </c>
      <c r="B688">
        <v>2023</v>
      </c>
      <c r="C688">
        <v>9</v>
      </c>
      <c r="D688" t="s">
        <v>77</v>
      </c>
      <c r="E688" t="s">
        <v>79</v>
      </c>
      <c r="F688">
        <v>182</v>
      </c>
      <c r="G688">
        <v>182</v>
      </c>
      <c r="H688">
        <v>0</v>
      </c>
      <c r="I688">
        <v>10</v>
      </c>
      <c r="J688" s="17">
        <v>0.7</v>
      </c>
      <c r="K688">
        <v>35</v>
      </c>
      <c r="L688">
        <v>35</v>
      </c>
      <c r="M688" s="17">
        <v>1</v>
      </c>
      <c r="N688" s="25">
        <v>6840</v>
      </c>
      <c r="O688" s="25">
        <v>1592.5</v>
      </c>
      <c r="P688" s="25">
        <v>5250</v>
      </c>
      <c r="Q688" s="25">
        <v>13682.5</v>
      </c>
      <c r="R688" s="18">
        <v>75.178571428571431</v>
      </c>
    </row>
    <row r="689" spans="1:18" x14ac:dyDescent="0.35">
      <c r="A689" s="13">
        <v>45199</v>
      </c>
      <c r="B689">
        <v>2023</v>
      </c>
      <c r="C689">
        <v>9</v>
      </c>
      <c r="D689" t="s">
        <v>77</v>
      </c>
      <c r="E689" t="s">
        <v>79</v>
      </c>
      <c r="F689">
        <v>176</v>
      </c>
      <c r="G689">
        <v>176</v>
      </c>
      <c r="H689">
        <v>0</v>
      </c>
      <c r="I689">
        <v>10</v>
      </c>
      <c r="J689" s="17">
        <v>0.67692307692307696</v>
      </c>
      <c r="K689">
        <v>35</v>
      </c>
      <c r="L689">
        <v>35</v>
      </c>
      <c r="M689" s="17">
        <v>1</v>
      </c>
      <c r="N689" s="25">
        <v>6840</v>
      </c>
      <c r="O689" s="25">
        <v>1540</v>
      </c>
      <c r="P689" s="25">
        <v>5250</v>
      </c>
      <c r="Q689" s="25">
        <v>13630</v>
      </c>
      <c r="R689" s="18">
        <v>77.443181818181813</v>
      </c>
    </row>
    <row r="690" spans="1:18" x14ac:dyDescent="0.35">
      <c r="A690" s="13">
        <v>45206</v>
      </c>
      <c r="B690">
        <v>2023</v>
      </c>
      <c r="C690">
        <v>10</v>
      </c>
      <c r="D690" t="s">
        <v>77</v>
      </c>
      <c r="E690" t="s">
        <v>79</v>
      </c>
      <c r="F690">
        <v>179</v>
      </c>
      <c r="G690">
        <v>179</v>
      </c>
      <c r="H690">
        <v>0</v>
      </c>
      <c r="I690">
        <v>10</v>
      </c>
      <c r="J690" s="17">
        <v>0.68846153846153846</v>
      </c>
      <c r="K690">
        <v>35</v>
      </c>
      <c r="L690">
        <v>33</v>
      </c>
      <c r="M690" s="17">
        <v>0.94285714285714284</v>
      </c>
      <c r="N690" s="25">
        <v>6840</v>
      </c>
      <c r="O690" s="25">
        <v>1566.25</v>
      </c>
      <c r="P690" s="25">
        <v>5250</v>
      </c>
      <c r="Q690" s="25">
        <v>13656.25</v>
      </c>
      <c r="R690" s="18">
        <v>76.291899441340789</v>
      </c>
    </row>
    <row r="691" spans="1:18" x14ac:dyDescent="0.35">
      <c r="A691" s="13">
        <v>45213</v>
      </c>
      <c r="B691">
        <v>2023</v>
      </c>
      <c r="C691">
        <v>10</v>
      </c>
      <c r="D691" t="s">
        <v>77</v>
      </c>
      <c r="E691" t="s">
        <v>79</v>
      </c>
      <c r="F691">
        <v>184</v>
      </c>
      <c r="G691">
        <v>184</v>
      </c>
      <c r="H691">
        <v>0</v>
      </c>
      <c r="I691">
        <v>10</v>
      </c>
      <c r="J691" s="17">
        <v>0.70769230769230773</v>
      </c>
      <c r="K691">
        <v>35</v>
      </c>
      <c r="L691">
        <v>35</v>
      </c>
      <c r="M691" s="17">
        <v>1</v>
      </c>
      <c r="N691" s="25">
        <v>6840</v>
      </c>
      <c r="O691" s="25">
        <v>1610</v>
      </c>
      <c r="P691" s="25">
        <v>5250</v>
      </c>
      <c r="Q691" s="25">
        <v>13700</v>
      </c>
      <c r="R691" s="18">
        <v>74.456521739130437</v>
      </c>
    </row>
    <row r="692" spans="1:18" x14ac:dyDescent="0.35">
      <c r="A692" s="13">
        <v>45220</v>
      </c>
      <c r="B692">
        <v>2023</v>
      </c>
      <c r="C692">
        <v>10</v>
      </c>
      <c r="D692" t="s">
        <v>77</v>
      </c>
      <c r="E692" t="s">
        <v>79</v>
      </c>
      <c r="F692">
        <v>202</v>
      </c>
      <c r="G692">
        <v>202</v>
      </c>
      <c r="H692">
        <v>0</v>
      </c>
      <c r="I692">
        <v>11</v>
      </c>
      <c r="J692" s="17">
        <v>0.70629370629370625</v>
      </c>
      <c r="K692">
        <v>35</v>
      </c>
      <c r="L692">
        <v>35</v>
      </c>
      <c r="M692" s="17">
        <v>1</v>
      </c>
      <c r="N692" s="25">
        <v>7524</v>
      </c>
      <c r="O692" s="25">
        <v>1767.5</v>
      </c>
      <c r="P692" s="25">
        <v>5250</v>
      </c>
      <c r="Q692" s="25">
        <v>14541.5</v>
      </c>
      <c r="R692" s="18">
        <v>71.987623762376231</v>
      </c>
    </row>
    <row r="693" spans="1:18" x14ac:dyDescent="0.35">
      <c r="A693" s="13">
        <v>45227</v>
      </c>
      <c r="B693">
        <v>2023</v>
      </c>
      <c r="C693">
        <v>10</v>
      </c>
      <c r="D693" t="s">
        <v>77</v>
      </c>
      <c r="E693" t="s">
        <v>79</v>
      </c>
      <c r="F693">
        <v>194</v>
      </c>
      <c r="G693">
        <v>194</v>
      </c>
      <c r="H693">
        <v>0</v>
      </c>
      <c r="I693">
        <v>11</v>
      </c>
      <c r="J693" s="17">
        <v>0.67832167832167833</v>
      </c>
      <c r="K693">
        <v>35</v>
      </c>
      <c r="L693">
        <v>34</v>
      </c>
      <c r="M693" s="17">
        <v>0.97142857142857142</v>
      </c>
      <c r="N693" s="25">
        <v>7524</v>
      </c>
      <c r="O693" s="25">
        <v>1697.5</v>
      </c>
      <c r="P693" s="25">
        <v>5250</v>
      </c>
      <c r="Q693" s="25">
        <v>14471.5</v>
      </c>
      <c r="R693" s="18">
        <v>74.595360824742272</v>
      </c>
    </row>
    <row r="694" spans="1:18" x14ac:dyDescent="0.35">
      <c r="A694" s="13">
        <v>45234</v>
      </c>
      <c r="B694">
        <v>2023</v>
      </c>
      <c r="C694">
        <v>11</v>
      </c>
      <c r="D694" t="s">
        <v>77</v>
      </c>
      <c r="E694" t="s">
        <v>79</v>
      </c>
      <c r="F694">
        <v>207</v>
      </c>
      <c r="G694">
        <v>207</v>
      </c>
      <c r="H694">
        <v>0</v>
      </c>
      <c r="I694">
        <v>11</v>
      </c>
      <c r="J694" s="17">
        <v>0.72377622377622375</v>
      </c>
      <c r="K694">
        <v>35</v>
      </c>
      <c r="L694">
        <v>34</v>
      </c>
      <c r="M694" s="17">
        <v>0.97142857142857142</v>
      </c>
      <c r="N694" s="25">
        <v>7524</v>
      </c>
      <c r="O694" s="25">
        <v>1811.25</v>
      </c>
      <c r="P694" s="25">
        <v>5250</v>
      </c>
      <c r="Q694" s="25">
        <v>14585.25</v>
      </c>
      <c r="R694" s="18">
        <v>70.460144927536234</v>
      </c>
    </row>
    <row r="695" spans="1:18" x14ac:dyDescent="0.35">
      <c r="A695" s="13">
        <v>45241</v>
      </c>
      <c r="B695">
        <v>2023</v>
      </c>
      <c r="C695">
        <v>11</v>
      </c>
      <c r="D695" t="s">
        <v>77</v>
      </c>
      <c r="E695" t="s">
        <v>79</v>
      </c>
      <c r="F695">
        <v>208</v>
      </c>
      <c r="G695">
        <v>208</v>
      </c>
      <c r="H695">
        <v>0</v>
      </c>
      <c r="I695">
        <v>11</v>
      </c>
      <c r="J695" s="17">
        <v>0.72727272727272729</v>
      </c>
      <c r="K695">
        <v>35</v>
      </c>
      <c r="L695">
        <v>34</v>
      </c>
      <c r="M695" s="17">
        <v>0.97142857142857142</v>
      </c>
      <c r="N695" s="25">
        <v>7524</v>
      </c>
      <c r="O695" s="25">
        <v>1820</v>
      </c>
      <c r="P695" s="25">
        <v>5250</v>
      </c>
      <c r="Q695" s="25">
        <v>14594</v>
      </c>
      <c r="R695" s="18">
        <v>70.163461538461533</v>
      </c>
    </row>
    <row r="696" spans="1:18" x14ac:dyDescent="0.35">
      <c r="A696" s="13">
        <v>45248</v>
      </c>
      <c r="B696">
        <v>2023</v>
      </c>
      <c r="C696">
        <v>11</v>
      </c>
      <c r="D696" t="s">
        <v>77</v>
      </c>
      <c r="E696" t="s">
        <v>79</v>
      </c>
      <c r="F696">
        <v>241</v>
      </c>
      <c r="G696">
        <v>240</v>
      </c>
      <c r="H696">
        <v>1</v>
      </c>
      <c r="I696">
        <v>13</v>
      </c>
      <c r="J696" s="17">
        <v>0.7100591715976331</v>
      </c>
      <c r="K696">
        <v>35</v>
      </c>
      <c r="L696">
        <v>35</v>
      </c>
      <c r="M696" s="17">
        <v>1</v>
      </c>
      <c r="N696" s="25">
        <v>8892</v>
      </c>
      <c r="O696" s="25">
        <v>2100</v>
      </c>
      <c r="P696" s="25">
        <v>5250</v>
      </c>
      <c r="Q696" s="25">
        <v>16242</v>
      </c>
      <c r="R696" s="18">
        <v>67.674999999999997</v>
      </c>
    </row>
    <row r="697" spans="1:18" x14ac:dyDescent="0.35">
      <c r="A697" s="13">
        <v>45255</v>
      </c>
      <c r="B697">
        <v>2023</v>
      </c>
      <c r="C697">
        <v>11</v>
      </c>
      <c r="D697" t="s">
        <v>77</v>
      </c>
      <c r="E697" t="s">
        <v>79</v>
      </c>
      <c r="F697">
        <v>258</v>
      </c>
      <c r="G697">
        <v>254</v>
      </c>
      <c r="H697">
        <v>5</v>
      </c>
      <c r="I697">
        <v>13</v>
      </c>
      <c r="J697" s="17">
        <v>0.75147928994082835</v>
      </c>
      <c r="K697">
        <v>35</v>
      </c>
      <c r="L697">
        <v>34</v>
      </c>
      <c r="M697" s="17">
        <v>0.97142857142857142</v>
      </c>
      <c r="N697" s="25">
        <v>8892</v>
      </c>
      <c r="O697" s="25">
        <v>2222.5</v>
      </c>
      <c r="P697" s="25">
        <v>5250</v>
      </c>
      <c r="Q697" s="25">
        <v>16364.5</v>
      </c>
      <c r="R697" s="18">
        <v>64.427165354330711</v>
      </c>
    </row>
    <row r="698" spans="1:18" x14ac:dyDescent="0.35">
      <c r="A698" s="13">
        <v>45262</v>
      </c>
      <c r="B698">
        <v>2023</v>
      </c>
      <c r="C698">
        <v>12</v>
      </c>
      <c r="D698" t="s">
        <v>77</v>
      </c>
      <c r="E698" t="s">
        <v>79</v>
      </c>
      <c r="F698">
        <v>290</v>
      </c>
      <c r="G698">
        <v>272</v>
      </c>
      <c r="H698">
        <v>23</v>
      </c>
      <c r="I698">
        <v>13</v>
      </c>
      <c r="J698" s="17">
        <v>0.80473372781065089</v>
      </c>
      <c r="K698">
        <v>35</v>
      </c>
      <c r="L698">
        <v>33</v>
      </c>
      <c r="M698" s="17">
        <v>0.94285714285714284</v>
      </c>
      <c r="N698" s="25">
        <v>8892</v>
      </c>
      <c r="O698" s="25">
        <v>2380</v>
      </c>
      <c r="P698" s="25">
        <v>5250</v>
      </c>
      <c r="Q698" s="25">
        <v>16522</v>
      </c>
      <c r="R698" s="18">
        <v>60.742647058823529</v>
      </c>
    </row>
    <row r="699" spans="1:18" x14ac:dyDescent="0.35">
      <c r="A699" s="13">
        <v>45269</v>
      </c>
      <c r="B699">
        <v>2023</v>
      </c>
      <c r="C699">
        <v>12</v>
      </c>
      <c r="D699" t="s">
        <v>77</v>
      </c>
      <c r="E699" t="s">
        <v>79</v>
      </c>
      <c r="F699">
        <v>290</v>
      </c>
      <c r="G699">
        <v>276</v>
      </c>
      <c r="H699">
        <v>37</v>
      </c>
      <c r="I699">
        <v>13</v>
      </c>
      <c r="J699" s="17">
        <v>0.81656804733727806</v>
      </c>
      <c r="K699">
        <v>35</v>
      </c>
      <c r="L699">
        <v>34</v>
      </c>
      <c r="M699" s="17">
        <v>0.97142857142857142</v>
      </c>
      <c r="N699" s="25">
        <v>8892</v>
      </c>
      <c r="O699" s="25">
        <v>2415</v>
      </c>
      <c r="P699" s="25">
        <v>5250</v>
      </c>
      <c r="Q699" s="25">
        <v>16557</v>
      </c>
      <c r="R699" s="18">
        <v>59.989130434782609</v>
      </c>
    </row>
    <row r="700" spans="1:18" x14ac:dyDescent="0.35">
      <c r="A700" s="13">
        <v>45276</v>
      </c>
      <c r="B700">
        <v>2023</v>
      </c>
      <c r="C700">
        <v>12</v>
      </c>
      <c r="D700" t="s">
        <v>77</v>
      </c>
      <c r="E700" t="s">
        <v>79</v>
      </c>
      <c r="F700">
        <v>305</v>
      </c>
      <c r="G700">
        <v>279</v>
      </c>
      <c r="H700">
        <v>63</v>
      </c>
      <c r="I700">
        <v>13</v>
      </c>
      <c r="J700" s="17">
        <v>0.82544378698224852</v>
      </c>
      <c r="K700">
        <v>35</v>
      </c>
      <c r="L700">
        <v>35</v>
      </c>
      <c r="M700" s="17">
        <v>1</v>
      </c>
      <c r="N700" s="25">
        <v>8892</v>
      </c>
      <c r="O700" s="25">
        <v>2441.25</v>
      </c>
      <c r="P700" s="25">
        <v>5250</v>
      </c>
      <c r="Q700" s="25">
        <v>16583.25</v>
      </c>
      <c r="R700" s="18">
        <v>59.438172043010752</v>
      </c>
    </row>
    <row r="701" spans="1:18" x14ac:dyDescent="0.35">
      <c r="A701" s="13">
        <v>45283</v>
      </c>
      <c r="B701">
        <v>2023</v>
      </c>
      <c r="C701">
        <v>12</v>
      </c>
      <c r="D701" t="s">
        <v>77</v>
      </c>
      <c r="E701" t="s">
        <v>79</v>
      </c>
      <c r="F701">
        <v>239</v>
      </c>
      <c r="G701">
        <v>269</v>
      </c>
      <c r="H701">
        <v>33</v>
      </c>
      <c r="I701">
        <v>13</v>
      </c>
      <c r="J701" s="17">
        <v>0.79585798816568043</v>
      </c>
      <c r="K701">
        <v>35</v>
      </c>
      <c r="L701">
        <v>35</v>
      </c>
      <c r="M701" s="17">
        <v>1</v>
      </c>
      <c r="N701" s="25">
        <v>8892</v>
      </c>
      <c r="O701" s="25">
        <v>2353.75</v>
      </c>
      <c r="P701" s="25">
        <v>5250</v>
      </c>
      <c r="Q701" s="25">
        <v>16495.75</v>
      </c>
      <c r="R701" s="18">
        <v>61.322490706319712</v>
      </c>
    </row>
    <row r="702" spans="1:18" x14ac:dyDescent="0.35">
      <c r="A702" s="13">
        <v>45290</v>
      </c>
      <c r="B702">
        <v>2023</v>
      </c>
      <c r="C702">
        <v>12</v>
      </c>
      <c r="D702" t="s">
        <v>77</v>
      </c>
      <c r="E702" t="s">
        <v>79</v>
      </c>
      <c r="F702">
        <v>217</v>
      </c>
      <c r="G702">
        <v>244</v>
      </c>
      <c r="H702">
        <v>6</v>
      </c>
      <c r="I702">
        <v>12</v>
      </c>
      <c r="J702" s="17">
        <v>0.78205128205128205</v>
      </c>
      <c r="K702">
        <v>35</v>
      </c>
      <c r="L702">
        <v>33</v>
      </c>
      <c r="M702" s="17">
        <v>0.94285714285714284</v>
      </c>
      <c r="N702" s="25">
        <v>8208</v>
      </c>
      <c r="O702" s="25">
        <v>2135</v>
      </c>
      <c r="P702" s="25">
        <v>5250</v>
      </c>
      <c r="Q702" s="25">
        <v>15593</v>
      </c>
      <c r="R702" s="18">
        <v>63.905737704918032</v>
      </c>
    </row>
    <row r="703" spans="1:18" x14ac:dyDescent="0.35">
      <c r="A703" s="13">
        <v>45297</v>
      </c>
      <c r="B703">
        <v>2024</v>
      </c>
      <c r="C703">
        <v>1</v>
      </c>
      <c r="D703" t="s">
        <v>77</v>
      </c>
      <c r="E703" t="s">
        <v>79</v>
      </c>
      <c r="F703">
        <v>183</v>
      </c>
      <c r="G703">
        <v>189</v>
      </c>
      <c r="H703">
        <v>0</v>
      </c>
      <c r="I703">
        <v>11</v>
      </c>
      <c r="J703" s="17">
        <v>0.66083916083916083</v>
      </c>
      <c r="K703">
        <v>35</v>
      </c>
      <c r="L703">
        <v>33</v>
      </c>
      <c r="M703" s="17">
        <v>0.94285714285714284</v>
      </c>
      <c r="N703" s="25">
        <v>7524</v>
      </c>
      <c r="O703" s="25">
        <v>1653.75</v>
      </c>
      <c r="P703" s="25">
        <v>5250</v>
      </c>
      <c r="Q703" s="25">
        <v>14427.75</v>
      </c>
      <c r="R703" s="18">
        <v>76.337301587301582</v>
      </c>
    </row>
    <row r="704" spans="1:18" x14ac:dyDescent="0.35">
      <c r="A704" s="13">
        <v>45304</v>
      </c>
      <c r="B704">
        <v>2024</v>
      </c>
      <c r="C704">
        <v>1</v>
      </c>
      <c r="D704" t="s">
        <v>77</v>
      </c>
      <c r="E704" t="s">
        <v>79</v>
      </c>
      <c r="F704">
        <v>145</v>
      </c>
      <c r="G704">
        <v>145</v>
      </c>
      <c r="H704">
        <v>0</v>
      </c>
      <c r="I704">
        <v>8</v>
      </c>
      <c r="J704" s="17">
        <v>0.69711538461538458</v>
      </c>
      <c r="K704">
        <v>35</v>
      </c>
      <c r="L704">
        <v>35</v>
      </c>
      <c r="M704" s="17">
        <v>1</v>
      </c>
      <c r="N704" s="25">
        <v>5472</v>
      </c>
      <c r="O704" s="25">
        <v>1268.75</v>
      </c>
      <c r="P704" s="25">
        <v>5250</v>
      </c>
      <c r="Q704" s="25">
        <v>11990.75</v>
      </c>
      <c r="R704" s="18">
        <v>82.694827586206898</v>
      </c>
    </row>
    <row r="705" spans="1:18" x14ac:dyDescent="0.35">
      <c r="A705" s="13">
        <v>45311</v>
      </c>
      <c r="B705">
        <v>2024</v>
      </c>
      <c r="C705">
        <v>1</v>
      </c>
      <c r="D705" t="s">
        <v>77</v>
      </c>
      <c r="E705" t="s">
        <v>79</v>
      </c>
      <c r="F705">
        <v>149</v>
      </c>
      <c r="G705">
        <v>149</v>
      </c>
      <c r="H705">
        <v>0</v>
      </c>
      <c r="I705">
        <v>8</v>
      </c>
      <c r="J705" s="17">
        <v>0.71634615384615385</v>
      </c>
      <c r="K705">
        <v>35</v>
      </c>
      <c r="L705">
        <v>32</v>
      </c>
      <c r="M705" s="17">
        <v>0.91428571428571426</v>
      </c>
      <c r="N705" s="25">
        <v>5472</v>
      </c>
      <c r="O705" s="25">
        <v>1303.75</v>
      </c>
      <c r="P705" s="25">
        <v>5250</v>
      </c>
      <c r="Q705" s="25">
        <v>12025.75</v>
      </c>
      <c r="R705" s="18">
        <v>80.709731543624159</v>
      </c>
    </row>
    <row r="706" spans="1:18" x14ac:dyDescent="0.35">
      <c r="A706" s="13">
        <v>45318</v>
      </c>
      <c r="B706">
        <v>2024</v>
      </c>
      <c r="C706">
        <v>1</v>
      </c>
      <c r="D706" t="s">
        <v>77</v>
      </c>
      <c r="E706" t="s">
        <v>79</v>
      </c>
      <c r="F706">
        <v>159</v>
      </c>
      <c r="G706">
        <v>159</v>
      </c>
      <c r="H706">
        <v>0</v>
      </c>
      <c r="I706">
        <v>10</v>
      </c>
      <c r="J706" s="17">
        <v>0.61153846153846159</v>
      </c>
      <c r="K706">
        <v>35</v>
      </c>
      <c r="L706">
        <v>33</v>
      </c>
      <c r="M706" s="17">
        <v>0.94285714285714284</v>
      </c>
      <c r="N706" s="25">
        <v>6840</v>
      </c>
      <c r="O706" s="25">
        <v>1391.25</v>
      </c>
      <c r="P706" s="25">
        <v>5250</v>
      </c>
      <c r="Q706" s="25">
        <v>13481.25</v>
      </c>
      <c r="R706" s="18">
        <v>84.787735849056602</v>
      </c>
    </row>
    <row r="707" spans="1:18" x14ac:dyDescent="0.35">
      <c r="A707" s="13">
        <v>45325</v>
      </c>
      <c r="B707">
        <v>2024</v>
      </c>
      <c r="C707">
        <v>2</v>
      </c>
      <c r="D707" t="s">
        <v>77</v>
      </c>
      <c r="E707" t="s">
        <v>79</v>
      </c>
      <c r="F707">
        <v>165</v>
      </c>
      <c r="G707">
        <v>165</v>
      </c>
      <c r="H707">
        <v>0</v>
      </c>
      <c r="I707">
        <v>10</v>
      </c>
      <c r="J707" s="17">
        <v>0.63461538461538458</v>
      </c>
      <c r="K707">
        <v>35</v>
      </c>
      <c r="L707">
        <v>33</v>
      </c>
      <c r="M707" s="17">
        <v>0.94285714285714284</v>
      </c>
      <c r="N707" s="25">
        <v>6840</v>
      </c>
      <c r="O707" s="25">
        <v>1443.75</v>
      </c>
      <c r="P707" s="25">
        <v>5250</v>
      </c>
      <c r="Q707" s="25">
        <v>13533.75</v>
      </c>
      <c r="R707" s="18">
        <v>82.022727272727266</v>
      </c>
    </row>
    <row r="708" spans="1:18" x14ac:dyDescent="0.35">
      <c r="A708" s="13">
        <v>45332</v>
      </c>
      <c r="B708">
        <v>2024</v>
      </c>
      <c r="C708">
        <v>2</v>
      </c>
      <c r="D708" t="s">
        <v>77</v>
      </c>
      <c r="E708" t="s">
        <v>79</v>
      </c>
      <c r="F708">
        <v>181</v>
      </c>
      <c r="G708">
        <v>181</v>
      </c>
      <c r="H708">
        <v>0</v>
      </c>
      <c r="I708">
        <v>10</v>
      </c>
      <c r="J708" s="17">
        <v>0.69615384615384612</v>
      </c>
      <c r="K708">
        <v>35</v>
      </c>
      <c r="L708">
        <v>34</v>
      </c>
      <c r="M708" s="17">
        <v>0.97142857142857142</v>
      </c>
      <c r="N708" s="25">
        <v>6840</v>
      </c>
      <c r="O708" s="25">
        <v>1583.75</v>
      </c>
      <c r="P708" s="25">
        <v>5250</v>
      </c>
      <c r="Q708" s="25">
        <v>13673.75</v>
      </c>
      <c r="R708" s="18">
        <v>75.545580110497241</v>
      </c>
    </row>
    <row r="709" spans="1:18" x14ac:dyDescent="0.35">
      <c r="A709" s="13">
        <v>45339</v>
      </c>
      <c r="B709">
        <v>2024</v>
      </c>
      <c r="C709">
        <v>2</v>
      </c>
      <c r="D709" t="s">
        <v>77</v>
      </c>
      <c r="E709" t="s">
        <v>79</v>
      </c>
      <c r="F709">
        <v>178</v>
      </c>
      <c r="G709">
        <v>178</v>
      </c>
      <c r="H709">
        <v>0</v>
      </c>
      <c r="I709">
        <v>10</v>
      </c>
      <c r="J709" s="17">
        <v>0.68461538461538463</v>
      </c>
      <c r="K709">
        <v>35</v>
      </c>
      <c r="L709">
        <v>33</v>
      </c>
      <c r="M709" s="17">
        <v>0.94285714285714284</v>
      </c>
      <c r="N709" s="25">
        <v>6840</v>
      </c>
      <c r="O709" s="25">
        <v>1557.5</v>
      </c>
      <c r="P709" s="25">
        <v>5250</v>
      </c>
      <c r="Q709" s="25">
        <v>13647.5</v>
      </c>
      <c r="R709" s="18">
        <v>76.671348314606746</v>
      </c>
    </row>
    <row r="710" spans="1:18" x14ac:dyDescent="0.35">
      <c r="A710" s="13">
        <v>45346</v>
      </c>
      <c r="B710">
        <v>2024</v>
      </c>
      <c r="C710">
        <v>2</v>
      </c>
      <c r="D710" t="s">
        <v>77</v>
      </c>
      <c r="E710" t="s">
        <v>79</v>
      </c>
      <c r="F710">
        <v>171</v>
      </c>
      <c r="G710">
        <v>171</v>
      </c>
      <c r="H710">
        <v>0</v>
      </c>
      <c r="I710">
        <v>9</v>
      </c>
      <c r="J710" s="17">
        <v>0.73076923076923073</v>
      </c>
      <c r="K710">
        <v>35</v>
      </c>
      <c r="L710">
        <v>33</v>
      </c>
      <c r="M710" s="17">
        <v>0.94285714285714284</v>
      </c>
      <c r="N710" s="25">
        <v>6156</v>
      </c>
      <c r="O710" s="25">
        <v>1496.25</v>
      </c>
      <c r="P710" s="25">
        <v>5250</v>
      </c>
      <c r="Q710" s="25">
        <v>12902.25</v>
      </c>
      <c r="R710" s="18">
        <v>75.451754385964918</v>
      </c>
    </row>
    <row r="711" spans="1:18" x14ac:dyDescent="0.35">
      <c r="A711" s="13">
        <v>45353</v>
      </c>
      <c r="B711">
        <v>2024</v>
      </c>
      <c r="C711">
        <v>3</v>
      </c>
      <c r="D711" t="s">
        <v>77</v>
      </c>
      <c r="E711" t="s">
        <v>79</v>
      </c>
      <c r="F711">
        <v>183</v>
      </c>
      <c r="G711">
        <v>183</v>
      </c>
      <c r="H711">
        <v>0</v>
      </c>
      <c r="I711">
        <v>10</v>
      </c>
      <c r="J711" s="17">
        <v>0.7038461538461539</v>
      </c>
      <c r="K711">
        <v>35</v>
      </c>
      <c r="L711">
        <v>34</v>
      </c>
      <c r="M711" s="17">
        <v>0.97142857142857142</v>
      </c>
      <c r="N711" s="25">
        <v>6840</v>
      </c>
      <c r="O711" s="25">
        <v>1601.25</v>
      </c>
      <c r="P711" s="25">
        <v>5250</v>
      </c>
      <c r="Q711" s="25">
        <v>13691.25</v>
      </c>
      <c r="R711" s="18">
        <v>74.81557377049181</v>
      </c>
    </row>
    <row r="712" spans="1:18" x14ac:dyDescent="0.35">
      <c r="A712" s="13">
        <v>45360</v>
      </c>
      <c r="B712">
        <v>2024</v>
      </c>
      <c r="C712">
        <v>3</v>
      </c>
      <c r="D712" t="s">
        <v>77</v>
      </c>
      <c r="E712" t="s">
        <v>79</v>
      </c>
      <c r="F712">
        <v>179</v>
      </c>
      <c r="G712">
        <v>179</v>
      </c>
      <c r="H712">
        <v>0</v>
      </c>
      <c r="I712">
        <v>10</v>
      </c>
      <c r="J712" s="17">
        <v>0.68846153846153846</v>
      </c>
      <c r="K712">
        <v>35</v>
      </c>
      <c r="L712">
        <v>35</v>
      </c>
      <c r="M712" s="17">
        <v>1</v>
      </c>
      <c r="N712" s="25">
        <v>6840</v>
      </c>
      <c r="O712" s="25">
        <v>1566.25</v>
      </c>
      <c r="P712" s="25">
        <v>5250</v>
      </c>
      <c r="Q712" s="25">
        <v>13656.25</v>
      </c>
      <c r="R712" s="18">
        <v>76.291899441340789</v>
      </c>
    </row>
    <row r="713" spans="1:18" x14ac:dyDescent="0.35">
      <c r="A713" s="13">
        <v>45367</v>
      </c>
      <c r="B713">
        <v>2024</v>
      </c>
      <c r="C713">
        <v>3</v>
      </c>
      <c r="D713" t="s">
        <v>77</v>
      </c>
      <c r="E713" t="s">
        <v>79</v>
      </c>
      <c r="F713">
        <v>191</v>
      </c>
      <c r="G713">
        <v>191</v>
      </c>
      <c r="H713">
        <v>0</v>
      </c>
      <c r="I713">
        <v>10</v>
      </c>
      <c r="J713" s="17">
        <v>0.73461538461538467</v>
      </c>
      <c r="K713">
        <v>35</v>
      </c>
      <c r="L713">
        <v>35</v>
      </c>
      <c r="M713" s="17">
        <v>1</v>
      </c>
      <c r="N713" s="25">
        <v>6840</v>
      </c>
      <c r="O713" s="25">
        <v>1671.25</v>
      </c>
      <c r="P713" s="25">
        <v>5250</v>
      </c>
      <c r="Q713" s="25">
        <v>13761.25</v>
      </c>
      <c r="R713" s="18">
        <v>72.048429319371721</v>
      </c>
    </row>
    <row r="714" spans="1:18" x14ac:dyDescent="0.35">
      <c r="A714" s="13">
        <v>45374</v>
      </c>
      <c r="B714">
        <v>2024</v>
      </c>
      <c r="C714">
        <v>3</v>
      </c>
      <c r="D714" t="s">
        <v>77</v>
      </c>
      <c r="E714" t="s">
        <v>79</v>
      </c>
      <c r="F714">
        <v>190</v>
      </c>
      <c r="G714">
        <v>190</v>
      </c>
      <c r="H714">
        <v>0</v>
      </c>
      <c r="I714">
        <v>10</v>
      </c>
      <c r="J714" s="17">
        <v>0.73076923076923073</v>
      </c>
      <c r="K714">
        <v>35</v>
      </c>
      <c r="L714">
        <v>33</v>
      </c>
      <c r="M714" s="17">
        <v>0.94285714285714284</v>
      </c>
      <c r="N714" s="25">
        <v>6840</v>
      </c>
      <c r="O714" s="25">
        <v>1662.5</v>
      </c>
      <c r="P714" s="25">
        <v>5250</v>
      </c>
      <c r="Q714" s="25">
        <v>13752.5</v>
      </c>
      <c r="R714" s="18">
        <v>72.381578947368425</v>
      </c>
    </row>
    <row r="715" spans="1:18" x14ac:dyDescent="0.35">
      <c r="A715" s="13">
        <v>45381</v>
      </c>
      <c r="B715">
        <v>2024</v>
      </c>
      <c r="C715">
        <v>3</v>
      </c>
      <c r="D715" t="s">
        <v>77</v>
      </c>
      <c r="E715" t="s">
        <v>79</v>
      </c>
      <c r="F715">
        <v>191</v>
      </c>
      <c r="G715">
        <v>191</v>
      </c>
      <c r="H715">
        <v>0</v>
      </c>
      <c r="I715">
        <v>10</v>
      </c>
      <c r="J715" s="17">
        <v>0.73461538461538467</v>
      </c>
      <c r="K715">
        <v>35</v>
      </c>
      <c r="L715">
        <v>34</v>
      </c>
      <c r="M715" s="17">
        <v>0.97142857142857142</v>
      </c>
      <c r="N715" s="25">
        <v>6840</v>
      </c>
      <c r="O715" s="25">
        <v>1671.25</v>
      </c>
      <c r="P715" s="25">
        <v>5250</v>
      </c>
      <c r="Q715" s="25">
        <v>13761.25</v>
      </c>
      <c r="R715" s="18">
        <v>72.048429319371721</v>
      </c>
    </row>
    <row r="716" spans="1:18" x14ac:dyDescent="0.35">
      <c r="A716" s="13">
        <v>45388</v>
      </c>
      <c r="B716">
        <v>2024</v>
      </c>
      <c r="C716">
        <v>4</v>
      </c>
      <c r="D716" t="s">
        <v>77</v>
      </c>
      <c r="E716" t="s">
        <v>79</v>
      </c>
      <c r="F716">
        <v>185</v>
      </c>
      <c r="G716">
        <v>185</v>
      </c>
      <c r="H716">
        <v>0</v>
      </c>
      <c r="I716">
        <v>10</v>
      </c>
      <c r="J716" s="17">
        <v>0.71153846153846156</v>
      </c>
      <c r="K716">
        <v>35</v>
      </c>
      <c r="L716">
        <v>35</v>
      </c>
      <c r="M716" s="17">
        <v>1</v>
      </c>
      <c r="N716" s="25">
        <v>6840</v>
      </c>
      <c r="O716" s="25">
        <v>1618.75</v>
      </c>
      <c r="P716" s="25">
        <v>5250</v>
      </c>
      <c r="Q716" s="25">
        <v>13708.75</v>
      </c>
      <c r="R716" s="18">
        <v>74.101351351351354</v>
      </c>
    </row>
    <row r="717" spans="1:18" x14ac:dyDescent="0.35">
      <c r="A717" s="13">
        <v>45395</v>
      </c>
      <c r="B717">
        <v>2024</v>
      </c>
      <c r="C717">
        <v>4</v>
      </c>
      <c r="D717" t="s">
        <v>77</v>
      </c>
      <c r="E717" t="s">
        <v>79</v>
      </c>
      <c r="F717">
        <v>187</v>
      </c>
      <c r="G717">
        <v>187</v>
      </c>
      <c r="H717">
        <v>0</v>
      </c>
      <c r="I717">
        <v>10</v>
      </c>
      <c r="J717" s="17">
        <v>0.71923076923076923</v>
      </c>
      <c r="K717">
        <v>35</v>
      </c>
      <c r="L717">
        <v>34</v>
      </c>
      <c r="M717" s="17">
        <v>0.97142857142857142</v>
      </c>
      <c r="N717" s="25">
        <v>6840</v>
      </c>
      <c r="O717" s="25">
        <v>1636.25</v>
      </c>
      <c r="P717" s="25">
        <v>5250</v>
      </c>
      <c r="Q717" s="25">
        <v>13726.25</v>
      </c>
      <c r="R717" s="18">
        <v>73.402406417112303</v>
      </c>
    </row>
    <row r="718" spans="1:18" x14ac:dyDescent="0.35">
      <c r="A718" s="13">
        <v>45402</v>
      </c>
      <c r="B718">
        <v>2024</v>
      </c>
      <c r="C718">
        <v>4</v>
      </c>
      <c r="D718" t="s">
        <v>77</v>
      </c>
      <c r="E718" t="s">
        <v>79</v>
      </c>
      <c r="F718">
        <v>191</v>
      </c>
      <c r="G718">
        <v>191</v>
      </c>
      <c r="H718">
        <v>0</v>
      </c>
      <c r="I718">
        <v>11</v>
      </c>
      <c r="J718" s="17">
        <v>0.66783216783216781</v>
      </c>
      <c r="K718">
        <v>35</v>
      </c>
      <c r="L718">
        <v>34</v>
      </c>
      <c r="M718" s="17">
        <v>0.97142857142857142</v>
      </c>
      <c r="N718" s="25">
        <v>7524</v>
      </c>
      <c r="O718" s="25">
        <v>1671.25</v>
      </c>
      <c r="P718" s="25">
        <v>5250</v>
      </c>
      <c r="Q718" s="25">
        <v>14445.25</v>
      </c>
      <c r="R718" s="18">
        <v>75.629581151832454</v>
      </c>
    </row>
    <row r="719" spans="1:18" x14ac:dyDescent="0.35">
      <c r="A719" s="13">
        <v>45409</v>
      </c>
      <c r="B719">
        <v>2024</v>
      </c>
      <c r="C719">
        <v>4</v>
      </c>
      <c r="D719" t="s">
        <v>77</v>
      </c>
      <c r="E719" t="s">
        <v>79</v>
      </c>
      <c r="F719">
        <v>178</v>
      </c>
      <c r="G719">
        <v>178</v>
      </c>
      <c r="H719">
        <v>0</v>
      </c>
      <c r="I719">
        <v>10</v>
      </c>
      <c r="J719" s="17">
        <v>0.68461538461538463</v>
      </c>
      <c r="K719">
        <v>35</v>
      </c>
      <c r="L719">
        <v>34</v>
      </c>
      <c r="M719" s="17">
        <v>0.97142857142857142</v>
      </c>
      <c r="N719" s="25">
        <v>6840</v>
      </c>
      <c r="O719" s="25">
        <v>1557.5</v>
      </c>
      <c r="P719" s="25">
        <v>5250</v>
      </c>
      <c r="Q719" s="25">
        <v>13647.5</v>
      </c>
      <c r="R719" s="18">
        <v>76.671348314606746</v>
      </c>
    </row>
    <row r="720" spans="1:18" x14ac:dyDescent="0.35">
      <c r="A720" s="13">
        <v>45416</v>
      </c>
      <c r="B720">
        <v>2024</v>
      </c>
      <c r="C720">
        <v>5</v>
      </c>
      <c r="D720" t="s">
        <v>77</v>
      </c>
      <c r="E720" t="s">
        <v>79</v>
      </c>
      <c r="F720">
        <v>201</v>
      </c>
      <c r="G720">
        <v>201</v>
      </c>
      <c r="H720">
        <v>0</v>
      </c>
      <c r="I720">
        <v>11</v>
      </c>
      <c r="J720" s="17">
        <v>0.70279720279720281</v>
      </c>
      <c r="K720">
        <v>35</v>
      </c>
      <c r="L720">
        <v>35</v>
      </c>
      <c r="M720" s="17">
        <v>1</v>
      </c>
      <c r="N720" s="25">
        <v>7524</v>
      </c>
      <c r="O720" s="25">
        <v>1758.75</v>
      </c>
      <c r="P720" s="25">
        <v>5250</v>
      </c>
      <c r="Q720" s="25">
        <v>14532.75</v>
      </c>
      <c r="R720" s="18">
        <v>72.302238805970148</v>
      </c>
    </row>
    <row r="721" spans="1:18" x14ac:dyDescent="0.35">
      <c r="A721" s="13">
        <v>45423</v>
      </c>
      <c r="B721">
        <v>2024</v>
      </c>
      <c r="C721">
        <v>5</v>
      </c>
      <c r="D721" t="s">
        <v>77</v>
      </c>
      <c r="E721" t="s">
        <v>79</v>
      </c>
      <c r="F721">
        <v>204</v>
      </c>
      <c r="G721">
        <v>204</v>
      </c>
      <c r="H721">
        <v>0</v>
      </c>
      <c r="I721">
        <v>11</v>
      </c>
      <c r="J721" s="17">
        <v>0.71328671328671334</v>
      </c>
      <c r="K721">
        <v>35</v>
      </c>
      <c r="L721">
        <v>33</v>
      </c>
      <c r="M721" s="17">
        <v>0.94285714285714284</v>
      </c>
      <c r="N721" s="25">
        <v>7524</v>
      </c>
      <c r="O721" s="25">
        <v>1785</v>
      </c>
      <c r="P721" s="25">
        <v>5250</v>
      </c>
      <c r="Q721" s="25">
        <v>14559</v>
      </c>
      <c r="R721" s="18">
        <v>71.367647058823536</v>
      </c>
    </row>
    <row r="722" spans="1:18" x14ac:dyDescent="0.35">
      <c r="A722" s="13">
        <v>45430</v>
      </c>
      <c r="B722">
        <v>2024</v>
      </c>
      <c r="C722">
        <v>5</v>
      </c>
      <c r="D722" t="s">
        <v>77</v>
      </c>
      <c r="E722" t="s">
        <v>79</v>
      </c>
      <c r="F722">
        <v>197</v>
      </c>
      <c r="G722">
        <v>197</v>
      </c>
      <c r="H722">
        <v>0</v>
      </c>
      <c r="I722">
        <v>11</v>
      </c>
      <c r="J722" s="17">
        <v>0.68881118881118886</v>
      </c>
      <c r="K722">
        <v>35</v>
      </c>
      <c r="L722">
        <v>34</v>
      </c>
      <c r="M722" s="17">
        <v>0.97142857142857142</v>
      </c>
      <c r="N722" s="25">
        <v>7524</v>
      </c>
      <c r="O722" s="25">
        <v>1723.75</v>
      </c>
      <c r="P722" s="25">
        <v>5250</v>
      </c>
      <c r="Q722" s="25">
        <v>14497.75</v>
      </c>
      <c r="R722" s="18">
        <v>73.592639593908629</v>
      </c>
    </row>
    <row r="723" spans="1:18" x14ac:dyDescent="0.35">
      <c r="A723" s="13">
        <v>45437</v>
      </c>
      <c r="B723">
        <v>2024</v>
      </c>
      <c r="C723">
        <v>5</v>
      </c>
      <c r="D723" t="s">
        <v>77</v>
      </c>
      <c r="E723" t="s">
        <v>79</v>
      </c>
      <c r="F723">
        <v>196</v>
      </c>
      <c r="G723">
        <v>196</v>
      </c>
      <c r="H723">
        <v>0</v>
      </c>
      <c r="I723">
        <v>10</v>
      </c>
      <c r="J723" s="17">
        <v>0.75384615384615383</v>
      </c>
      <c r="K723">
        <v>35</v>
      </c>
      <c r="L723">
        <v>33</v>
      </c>
      <c r="M723" s="17">
        <v>0.94285714285714284</v>
      </c>
      <c r="N723" s="25">
        <v>6840</v>
      </c>
      <c r="O723" s="25">
        <v>1715</v>
      </c>
      <c r="P723" s="25">
        <v>5250</v>
      </c>
      <c r="Q723" s="25">
        <v>13805</v>
      </c>
      <c r="R723" s="18">
        <v>70.433673469387756</v>
      </c>
    </row>
    <row r="724" spans="1:18" x14ac:dyDescent="0.35">
      <c r="A724" s="13">
        <v>45444</v>
      </c>
      <c r="B724">
        <v>2024</v>
      </c>
      <c r="C724">
        <v>6</v>
      </c>
      <c r="D724" t="s">
        <v>77</v>
      </c>
      <c r="E724" t="s">
        <v>79</v>
      </c>
      <c r="F724">
        <v>194</v>
      </c>
      <c r="G724">
        <v>194</v>
      </c>
      <c r="H724">
        <v>0</v>
      </c>
      <c r="I724">
        <v>10</v>
      </c>
      <c r="J724" s="17">
        <v>0.74615384615384617</v>
      </c>
      <c r="K724">
        <v>35</v>
      </c>
      <c r="L724">
        <v>34</v>
      </c>
      <c r="M724" s="17">
        <v>0.97142857142857142</v>
      </c>
      <c r="N724" s="25">
        <v>6840</v>
      </c>
      <c r="O724" s="25">
        <v>1697.5</v>
      </c>
      <c r="P724" s="25">
        <v>5250</v>
      </c>
      <c r="Q724" s="25">
        <v>13787.5</v>
      </c>
      <c r="R724" s="18">
        <v>71.069587628865975</v>
      </c>
    </row>
    <row r="725" spans="1:18" x14ac:dyDescent="0.35">
      <c r="A725" s="13">
        <v>45451</v>
      </c>
      <c r="B725">
        <v>2024</v>
      </c>
      <c r="C725">
        <v>6</v>
      </c>
      <c r="D725" t="s">
        <v>77</v>
      </c>
      <c r="E725" t="s">
        <v>79</v>
      </c>
      <c r="F725">
        <v>207</v>
      </c>
      <c r="G725">
        <v>207</v>
      </c>
      <c r="H725">
        <v>0</v>
      </c>
      <c r="I725">
        <v>11</v>
      </c>
      <c r="J725" s="17">
        <v>0.72377622377622375</v>
      </c>
      <c r="K725">
        <v>35</v>
      </c>
      <c r="L725">
        <v>35</v>
      </c>
      <c r="M725" s="17">
        <v>1</v>
      </c>
      <c r="N725" s="25">
        <v>7524</v>
      </c>
      <c r="O725" s="25">
        <v>1811.25</v>
      </c>
      <c r="P725" s="25">
        <v>5250</v>
      </c>
      <c r="Q725" s="25">
        <v>14585.25</v>
      </c>
      <c r="R725" s="18">
        <v>70.460144927536234</v>
      </c>
    </row>
    <row r="726" spans="1:18" x14ac:dyDescent="0.35">
      <c r="A726" s="13">
        <v>45458</v>
      </c>
      <c r="B726">
        <v>2024</v>
      </c>
      <c r="C726">
        <v>6</v>
      </c>
      <c r="D726" t="s">
        <v>77</v>
      </c>
      <c r="E726" t="s">
        <v>79</v>
      </c>
      <c r="F726">
        <v>198</v>
      </c>
      <c r="G726">
        <v>198</v>
      </c>
      <c r="H726">
        <v>0</v>
      </c>
      <c r="I726">
        <v>11</v>
      </c>
      <c r="J726" s="17">
        <v>0.69230769230769229</v>
      </c>
      <c r="K726">
        <v>35</v>
      </c>
      <c r="L726">
        <v>34</v>
      </c>
      <c r="M726" s="17">
        <v>0.97142857142857142</v>
      </c>
      <c r="N726" s="25">
        <v>7524</v>
      </c>
      <c r="O726" s="25">
        <v>1732.5</v>
      </c>
      <c r="P726" s="25">
        <v>5250</v>
      </c>
      <c r="Q726" s="25">
        <v>14506.5</v>
      </c>
      <c r="R726" s="18">
        <v>73.265151515151516</v>
      </c>
    </row>
    <row r="727" spans="1:18" x14ac:dyDescent="0.35">
      <c r="A727" s="13">
        <v>45465</v>
      </c>
      <c r="B727">
        <v>2024</v>
      </c>
      <c r="C727">
        <v>6</v>
      </c>
      <c r="D727" t="s">
        <v>77</v>
      </c>
      <c r="E727" t="s">
        <v>79</v>
      </c>
      <c r="F727">
        <v>194</v>
      </c>
      <c r="G727">
        <v>194</v>
      </c>
      <c r="H727">
        <v>0</v>
      </c>
      <c r="I727">
        <v>11</v>
      </c>
      <c r="J727" s="17">
        <v>0.67832167832167833</v>
      </c>
      <c r="K727">
        <v>35</v>
      </c>
      <c r="L727">
        <v>35</v>
      </c>
      <c r="M727" s="17">
        <v>1</v>
      </c>
      <c r="N727" s="25">
        <v>7524</v>
      </c>
      <c r="O727" s="25">
        <v>1697.5</v>
      </c>
      <c r="P727" s="25">
        <v>5250</v>
      </c>
      <c r="Q727" s="25">
        <v>14471.5</v>
      </c>
      <c r="R727" s="18">
        <v>74.595360824742272</v>
      </c>
    </row>
    <row r="728" spans="1:18" x14ac:dyDescent="0.35">
      <c r="A728" s="13">
        <v>45472</v>
      </c>
      <c r="B728">
        <v>2024</v>
      </c>
      <c r="C728">
        <v>6</v>
      </c>
      <c r="D728" t="s">
        <v>77</v>
      </c>
      <c r="E728" t="s">
        <v>79</v>
      </c>
      <c r="F728">
        <v>189</v>
      </c>
      <c r="G728">
        <v>189</v>
      </c>
      <c r="H728">
        <v>0</v>
      </c>
      <c r="I728">
        <v>11</v>
      </c>
      <c r="J728" s="17">
        <v>0.66083916083916083</v>
      </c>
      <c r="K728">
        <v>35</v>
      </c>
      <c r="L728">
        <v>35</v>
      </c>
      <c r="M728" s="17">
        <v>1</v>
      </c>
      <c r="N728" s="25">
        <v>7524</v>
      </c>
      <c r="O728" s="25">
        <v>1653.75</v>
      </c>
      <c r="P728" s="25">
        <v>5250</v>
      </c>
      <c r="Q728" s="25">
        <v>14427.75</v>
      </c>
      <c r="R728" s="18">
        <v>76.337301587301582</v>
      </c>
    </row>
    <row r="729" spans="1:18" x14ac:dyDescent="0.35">
      <c r="A729" s="13">
        <v>45479</v>
      </c>
      <c r="B729">
        <v>2024</v>
      </c>
      <c r="C729">
        <v>7</v>
      </c>
      <c r="D729" t="s">
        <v>77</v>
      </c>
      <c r="E729" t="s">
        <v>79</v>
      </c>
      <c r="F729">
        <v>191</v>
      </c>
      <c r="G729">
        <v>191</v>
      </c>
      <c r="H729">
        <v>0</v>
      </c>
      <c r="I729">
        <v>11</v>
      </c>
      <c r="J729" s="17">
        <v>0.66783216783216781</v>
      </c>
      <c r="K729">
        <v>35</v>
      </c>
      <c r="L729">
        <v>34</v>
      </c>
      <c r="M729" s="17">
        <v>0.97142857142857142</v>
      </c>
      <c r="N729" s="25">
        <v>7524</v>
      </c>
      <c r="O729" s="25">
        <v>1671.25</v>
      </c>
      <c r="P729" s="25">
        <v>5250</v>
      </c>
      <c r="Q729" s="25">
        <v>14445.25</v>
      </c>
      <c r="R729" s="18">
        <v>75.629581151832454</v>
      </c>
    </row>
    <row r="730" spans="1:18" x14ac:dyDescent="0.35">
      <c r="A730" s="13">
        <v>45486</v>
      </c>
      <c r="B730">
        <v>2024</v>
      </c>
      <c r="C730">
        <v>7</v>
      </c>
      <c r="D730" t="s">
        <v>77</v>
      </c>
      <c r="E730" t="s">
        <v>79</v>
      </c>
      <c r="F730">
        <v>198</v>
      </c>
      <c r="G730">
        <v>198</v>
      </c>
      <c r="H730">
        <v>0</v>
      </c>
      <c r="I730">
        <v>11</v>
      </c>
      <c r="J730" s="17">
        <v>0.69230769230769229</v>
      </c>
      <c r="K730">
        <v>35</v>
      </c>
      <c r="L730">
        <v>35</v>
      </c>
      <c r="M730" s="17">
        <v>1</v>
      </c>
      <c r="N730" s="25">
        <v>7524</v>
      </c>
      <c r="O730" s="25">
        <v>1732.5</v>
      </c>
      <c r="P730" s="25">
        <v>5250</v>
      </c>
      <c r="Q730" s="25">
        <v>14506.5</v>
      </c>
      <c r="R730" s="18">
        <v>73.265151515151516</v>
      </c>
    </row>
    <row r="731" spans="1:18" x14ac:dyDescent="0.35">
      <c r="A731" s="13">
        <v>45493</v>
      </c>
      <c r="B731">
        <v>2024</v>
      </c>
      <c r="C731">
        <v>7</v>
      </c>
      <c r="D731" t="s">
        <v>77</v>
      </c>
      <c r="E731" t="s">
        <v>79</v>
      </c>
      <c r="F731">
        <v>195</v>
      </c>
      <c r="G731">
        <v>195</v>
      </c>
      <c r="H731">
        <v>0</v>
      </c>
      <c r="I731">
        <v>10</v>
      </c>
      <c r="J731" s="17">
        <v>0.75</v>
      </c>
      <c r="K731">
        <v>35</v>
      </c>
      <c r="L731">
        <v>32</v>
      </c>
      <c r="M731" s="17">
        <v>0.91428571428571426</v>
      </c>
      <c r="N731" s="25">
        <v>6840</v>
      </c>
      <c r="O731" s="25">
        <v>1706.25</v>
      </c>
      <c r="P731" s="25">
        <v>5250</v>
      </c>
      <c r="Q731" s="25">
        <v>13796.25</v>
      </c>
      <c r="R731" s="18">
        <v>70.75</v>
      </c>
    </row>
    <row r="732" spans="1:18" x14ac:dyDescent="0.35">
      <c r="A732" s="13">
        <v>45500</v>
      </c>
      <c r="B732">
        <v>2024</v>
      </c>
      <c r="C732">
        <v>7</v>
      </c>
      <c r="D732" t="s">
        <v>77</v>
      </c>
      <c r="E732" t="s">
        <v>79</v>
      </c>
      <c r="F732">
        <v>195</v>
      </c>
      <c r="G732">
        <v>195</v>
      </c>
      <c r="H732">
        <v>0</v>
      </c>
      <c r="I732">
        <v>10</v>
      </c>
      <c r="J732" s="17">
        <v>0.75</v>
      </c>
      <c r="K732">
        <v>35</v>
      </c>
      <c r="L732">
        <v>35</v>
      </c>
      <c r="M732" s="17">
        <v>1</v>
      </c>
      <c r="N732" s="25">
        <v>6840</v>
      </c>
      <c r="O732" s="25">
        <v>1706.25</v>
      </c>
      <c r="P732" s="25">
        <v>5250</v>
      </c>
      <c r="Q732" s="25">
        <v>13796.25</v>
      </c>
      <c r="R732" s="18">
        <v>70.75</v>
      </c>
    </row>
    <row r="733" spans="1:18" x14ac:dyDescent="0.35">
      <c r="A733" s="13">
        <v>45507</v>
      </c>
      <c r="B733">
        <v>2024</v>
      </c>
      <c r="C733">
        <v>8</v>
      </c>
      <c r="D733" t="s">
        <v>77</v>
      </c>
      <c r="E733" t="s">
        <v>79</v>
      </c>
      <c r="F733">
        <v>200</v>
      </c>
      <c r="G733">
        <v>200</v>
      </c>
      <c r="H733">
        <v>0</v>
      </c>
      <c r="I733">
        <v>10</v>
      </c>
      <c r="J733" s="17">
        <v>0.76923076923076927</v>
      </c>
      <c r="K733">
        <v>35</v>
      </c>
      <c r="L733">
        <v>35</v>
      </c>
      <c r="M733" s="17">
        <v>1</v>
      </c>
      <c r="N733" s="25">
        <v>6840</v>
      </c>
      <c r="O733" s="25">
        <v>1750</v>
      </c>
      <c r="P733" s="25">
        <v>5250</v>
      </c>
      <c r="Q733" s="25">
        <v>13840</v>
      </c>
      <c r="R733" s="18">
        <v>69.2</v>
      </c>
    </row>
    <row r="734" spans="1:18" x14ac:dyDescent="0.35">
      <c r="A734" s="13">
        <v>45514</v>
      </c>
      <c r="B734">
        <v>2024</v>
      </c>
      <c r="C734">
        <v>8</v>
      </c>
      <c r="D734" t="s">
        <v>77</v>
      </c>
      <c r="E734" t="s">
        <v>79</v>
      </c>
      <c r="F734">
        <v>204</v>
      </c>
      <c r="G734">
        <v>204</v>
      </c>
      <c r="H734">
        <v>0</v>
      </c>
      <c r="I734">
        <v>11</v>
      </c>
      <c r="J734" s="17">
        <v>0.71328671328671334</v>
      </c>
      <c r="K734">
        <v>35</v>
      </c>
      <c r="L734">
        <v>33</v>
      </c>
      <c r="M734" s="17">
        <v>0.94285714285714284</v>
      </c>
      <c r="N734" s="25">
        <v>7524</v>
      </c>
      <c r="O734" s="25">
        <v>1785</v>
      </c>
      <c r="P734" s="25">
        <v>5250</v>
      </c>
      <c r="Q734" s="25">
        <v>14559</v>
      </c>
      <c r="R734" s="18">
        <v>71.367647058823536</v>
      </c>
    </row>
    <row r="735" spans="1:18" x14ac:dyDescent="0.35">
      <c r="A735" s="13">
        <v>45521</v>
      </c>
      <c r="B735">
        <v>2024</v>
      </c>
      <c r="C735">
        <v>8</v>
      </c>
      <c r="D735" t="s">
        <v>77</v>
      </c>
      <c r="E735" t="s">
        <v>79</v>
      </c>
      <c r="F735">
        <v>203</v>
      </c>
      <c r="G735">
        <v>203</v>
      </c>
      <c r="H735">
        <v>0</v>
      </c>
      <c r="I735">
        <v>11</v>
      </c>
      <c r="J735" s="17">
        <v>0.70979020979020979</v>
      </c>
      <c r="K735">
        <v>35</v>
      </c>
      <c r="L735">
        <v>33</v>
      </c>
      <c r="M735" s="17">
        <v>0.94285714285714284</v>
      </c>
      <c r="N735" s="25">
        <v>7524</v>
      </c>
      <c r="O735" s="25">
        <v>1776.25</v>
      </c>
      <c r="P735" s="25">
        <v>5250</v>
      </c>
      <c r="Q735" s="25">
        <v>14550.25</v>
      </c>
      <c r="R735" s="18">
        <v>71.676108374384242</v>
      </c>
    </row>
    <row r="736" spans="1:18" x14ac:dyDescent="0.35">
      <c r="A736" s="13">
        <v>45528</v>
      </c>
      <c r="B736">
        <v>2024</v>
      </c>
      <c r="C736">
        <v>8</v>
      </c>
      <c r="D736" t="s">
        <v>77</v>
      </c>
      <c r="E736" t="s">
        <v>79</v>
      </c>
      <c r="F736">
        <v>195</v>
      </c>
      <c r="G736">
        <v>195</v>
      </c>
      <c r="H736">
        <v>0</v>
      </c>
      <c r="I736">
        <v>11</v>
      </c>
      <c r="J736" s="17">
        <v>0.68181818181818177</v>
      </c>
      <c r="K736">
        <v>35</v>
      </c>
      <c r="L736">
        <v>35</v>
      </c>
      <c r="M736" s="17">
        <v>1</v>
      </c>
      <c r="N736" s="25">
        <v>7524</v>
      </c>
      <c r="O736" s="25">
        <v>1706.25</v>
      </c>
      <c r="P736" s="25">
        <v>5250</v>
      </c>
      <c r="Q736" s="25">
        <v>14480.25</v>
      </c>
      <c r="R736" s="18">
        <v>74.257692307692309</v>
      </c>
    </row>
    <row r="737" spans="1:18" x14ac:dyDescent="0.35">
      <c r="A737" s="13">
        <v>45535</v>
      </c>
      <c r="B737">
        <v>2024</v>
      </c>
      <c r="C737">
        <v>8</v>
      </c>
      <c r="D737" t="s">
        <v>77</v>
      </c>
      <c r="E737" t="s">
        <v>79</v>
      </c>
      <c r="F737">
        <v>188</v>
      </c>
      <c r="G737">
        <v>188</v>
      </c>
      <c r="H737">
        <v>0</v>
      </c>
      <c r="I737">
        <v>11</v>
      </c>
      <c r="J737" s="17">
        <v>0.65734265734265729</v>
      </c>
      <c r="K737">
        <v>35</v>
      </c>
      <c r="L737">
        <v>33</v>
      </c>
      <c r="M737" s="17">
        <v>0.94285714285714284</v>
      </c>
      <c r="N737" s="25">
        <v>7524</v>
      </c>
      <c r="O737" s="25">
        <v>1645</v>
      </c>
      <c r="P737" s="25">
        <v>5250</v>
      </c>
      <c r="Q737" s="25">
        <v>14419</v>
      </c>
      <c r="R737" s="18">
        <v>76.696808510638292</v>
      </c>
    </row>
    <row r="738" spans="1:18" x14ac:dyDescent="0.35">
      <c r="A738" s="13">
        <v>45542</v>
      </c>
      <c r="B738">
        <v>2024</v>
      </c>
      <c r="C738">
        <v>9</v>
      </c>
      <c r="D738" t="s">
        <v>77</v>
      </c>
      <c r="E738" t="s">
        <v>79</v>
      </c>
      <c r="F738">
        <v>180</v>
      </c>
      <c r="G738">
        <v>180</v>
      </c>
      <c r="H738">
        <v>0</v>
      </c>
      <c r="I738">
        <v>10</v>
      </c>
      <c r="J738" s="17">
        <v>0.69230769230769229</v>
      </c>
      <c r="K738">
        <v>35</v>
      </c>
      <c r="L738">
        <v>31</v>
      </c>
      <c r="M738" s="17">
        <v>0.88571428571428568</v>
      </c>
      <c r="N738" s="25">
        <v>6840</v>
      </c>
      <c r="O738" s="25">
        <v>1575</v>
      </c>
      <c r="P738" s="25">
        <v>5250</v>
      </c>
      <c r="Q738" s="25">
        <v>13665</v>
      </c>
      <c r="R738" s="18">
        <v>75.916666666666671</v>
      </c>
    </row>
    <row r="739" spans="1:18" x14ac:dyDescent="0.35">
      <c r="A739" s="13">
        <v>45549</v>
      </c>
      <c r="B739">
        <v>2024</v>
      </c>
      <c r="C739">
        <v>9</v>
      </c>
      <c r="D739" t="s">
        <v>77</v>
      </c>
      <c r="E739" t="s">
        <v>79</v>
      </c>
      <c r="F739">
        <v>179</v>
      </c>
      <c r="G739">
        <v>179</v>
      </c>
      <c r="H739">
        <v>0</v>
      </c>
      <c r="I739">
        <v>10</v>
      </c>
      <c r="J739" s="17">
        <v>0.68846153846153846</v>
      </c>
      <c r="K739">
        <v>35</v>
      </c>
      <c r="L739">
        <v>35</v>
      </c>
      <c r="M739" s="17">
        <v>1</v>
      </c>
      <c r="N739" s="25">
        <v>6840</v>
      </c>
      <c r="O739" s="25">
        <v>1566.25</v>
      </c>
      <c r="P739" s="25">
        <v>5250</v>
      </c>
      <c r="Q739" s="25">
        <v>13656.25</v>
      </c>
      <c r="R739" s="18">
        <v>76.291899441340789</v>
      </c>
    </row>
    <row r="740" spans="1:18" x14ac:dyDescent="0.35">
      <c r="A740" s="13">
        <v>45556</v>
      </c>
      <c r="B740">
        <v>2024</v>
      </c>
      <c r="C740">
        <v>9</v>
      </c>
      <c r="D740" t="s">
        <v>77</v>
      </c>
      <c r="E740" t="s">
        <v>79</v>
      </c>
      <c r="F740">
        <v>173</v>
      </c>
      <c r="G740">
        <v>173</v>
      </c>
      <c r="H740">
        <v>0</v>
      </c>
      <c r="I740">
        <v>10</v>
      </c>
      <c r="J740" s="17">
        <v>0.66538461538461535</v>
      </c>
      <c r="K740">
        <v>35</v>
      </c>
      <c r="L740">
        <v>35</v>
      </c>
      <c r="M740" s="17">
        <v>1</v>
      </c>
      <c r="N740" s="25">
        <v>6840</v>
      </c>
      <c r="O740" s="25">
        <v>1513.75</v>
      </c>
      <c r="P740" s="25">
        <v>5250</v>
      </c>
      <c r="Q740" s="25">
        <v>13603.75</v>
      </c>
      <c r="R740" s="18">
        <v>78.634393063583815</v>
      </c>
    </row>
    <row r="741" spans="1:18" x14ac:dyDescent="0.35">
      <c r="A741" s="13">
        <v>45563</v>
      </c>
      <c r="B741">
        <v>2024</v>
      </c>
      <c r="C741">
        <v>9</v>
      </c>
      <c r="D741" t="s">
        <v>77</v>
      </c>
      <c r="E741" t="s">
        <v>79</v>
      </c>
      <c r="F741">
        <v>191</v>
      </c>
      <c r="G741">
        <v>191</v>
      </c>
      <c r="H741">
        <v>0</v>
      </c>
      <c r="I741">
        <v>11</v>
      </c>
      <c r="J741" s="17">
        <v>0.66783216783216781</v>
      </c>
      <c r="K741">
        <v>35</v>
      </c>
      <c r="L741">
        <v>35</v>
      </c>
      <c r="M741" s="17">
        <v>1</v>
      </c>
      <c r="N741" s="25">
        <v>7524</v>
      </c>
      <c r="O741" s="25">
        <v>1671.25</v>
      </c>
      <c r="P741" s="25">
        <v>5250</v>
      </c>
      <c r="Q741" s="25">
        <v>14445.25</v>
      </c>
      <c r="R741" s="18">
        <v>75.629581151832454</v>
      </c>
    </row>
    <row r="742" spans="1:18" x14ac:dyDescent="0.35">
      <c r="A742" s="13">
        <v>45570</v>
      </c>
      <c r="B742">
        <v>2024</v>
      </c>
      <c r="C742">
        <v>10</v>
      </c>
      <c r="D742" t="s">
        <v>77</v>
      </c>
      <c r="E742" t="s">
        <v>79</v>
      </c>
      <c r="F742">
        <v>178</v>
      </c>
      <c r="G742">
        <v>178</v>
      </c>
      <c r="H742">
        <v>0</v>
      </c>
      <c r="I742">
        <v>10</v>
      </c>
      <c r="J742" s="17">
        <v>0.68461538461538463</v>
      </c>
      <c r="K742">
        <v>35</v>
      </c>
      <c r="L742">
        <v>35</v>
      </c>
      <c r="M742" s="17">
        <v>1</v>
      </c>
      <c r="N742" s="25">
        <v>6840</v>
      </c>
      <c r="O742" s="25">
        <v>1557.5</v>
      </c>
      <c r="P742" s="25">
        <v>5250</v>
      </c>
      <c r="Q742" s="25">
        <v>13647.5</v>
      </c>
      <c r="R742" s="18">
        <v>76.671348314606746</v>
      </c>
    </row>
    <row r="743" spans="1:18" x14ac:dyDescent="0.35">
      <c r="A743" s="13">
        <v>45577</v>
      </c>
      <c r="B743">
        <v>2024</v>
      </c>
      <c r="C743">
        <v>10</v>
      </c>
      <c r="D743" t="s">
        <v>77</v>
      </c>
      <c r="E743" t="s">
        <v>79</v>
      </c>
      <c r="F743">
        <v>186</v>
      </c>
      <c r="G743">
        <v>186</v>
      </c>
      <c r="H743">
        <v>0</v>
      </c>
      <c r="I743">
        <v>10</v>
      </c>
      <c r="J743" s="17">
        <v>0.7153846153846154</v>
      </c>
      <c r="K743">
        <v>35</v>
      </c>
      <c r="L743">
        <v>35</v>
      </c>
      <c r="M743" s="17">
        <v>1</v>
      </c>
      <c r="N743" s="25">
        <v>6840</v>
      </c>
      <c r="O743" s="25">
        <v>1627.5</v>
      </c>
      <c r="P743" s="25">
        <v>5250</v>
      </c>
      <c r="Q743" s="25">
        <v>13717.5</v>
      </c>
      <c r="R743" s="18">
        <v>73.75</v>
      </c>
    </row>
    <row r="744" spans="1:18" x14ac:dyDescent="0.35">
      <c r="A744" s="13">
        <v>45584</v>
      </c>
      <c r="B744">
        <v>2024</v>
      </c>
      <c r="C744">
        <v>10</v>
      </c>
      <c r="D744" t="s">
        <v>77</v>
      </c>
      <c r="E744" t="s">
        <v>79</v>
      </c>
      <c r="F744">
        <v>199</v>
      </c>
      <c r="G744">
        <v>199</v>
      </c>
      <c r="H744">
        <v>0</v>
      </c>
      <c r="I744">
        <v>10</v>
      </c>
      <c r="J744" s="17">
        <v>0.76538461538461533</v>
      </c>
      <c r="K744">
        <v>35</v>
      </c>
      <c r="L744">
        <v>35</v>
      </c>
      <c r="M744" s="17">
        <v>1</v>
      </c>
      <c r="N744" s="25">
        <v>6840</v>
      </c>
      <c r="O744" s="25">
        <v>1741.25</v>
      </c>
      <c r="P744" s="25">
        <v>5250</v>
      </c>
      <c r="Q744" s="25">
        <v>13831.25</v>
      </c>
      <c r="R744" s="18">
        <v>69.503768844221099</v>
      </c>
    </row>
    <row r="745" spans="1:18" x14ac:dyDescent="0.35">
      <c r="A745" s="13">
        <v>45591</v>
      </c>
      <c r="B745">
        <v>2024</v>
      </c>
      <c r="C745">
        <v>10</v>
      </c>
      <c r="D745" t="s">
        <v>77</v>
      </c>
      <c r="E745" t="s">
        <v>79</v>
      </c>
      <c r="F745">
        <v>205</v>
      </c>
      <c r="G745">
        <v>205</v>
      </c>
      <c r="H745">
        <v>0</v>
      </c>
      <c r="I745">
        <v>11</v>
      </c>
      <c r="J745" s="17">
        <v>0.71678321678321677</v>
      </c>
      <c r="K745">
        <v>35</v>
      </c>
      <c r="L745">
        <v>34</v>
      </c>
      <c r="M745" s="17">
        <v>0.97142857142857142</v>
      </c>
      <c r="N745" s="25">
        <v>7524</v>
      </c>
      <c r="O745" s="25">
        <v>1793.75</v>
      </c>
      <c r="P745" s="25">
        <v>5250</v>
      </c>
      <c r="Q745" s="25">
        <v>14567.75</v>
      </c>
      <c r="R745" s="18">
        <v>71.06219512195122</v>
      </c>
    </row>
    <row r="746" spans="1:18" x14ac:dyDescent="0.35">
      <c r="A746" s="13">
        <v>45598</v>
      </c>
      <c r="B746">
        <v>2024</v>
      </c>
      <c r="C746">
        <v>11</v>
      </c>
      <c r="D746" t="s">
        <v>77</v>
      </c>
      <c r="E746" t="s">
        <v>79</v>
      </c>
      <c r="F746">
        <v>219</v>
      </c>
      <c r="G746">
        <v>219</v>
      </c>
      <c r="H746">
        <v>0</v>
      </c>
      <c r="I746">
        <v>11</v>
      </c>
      <c r="J746" s="17">
        <v>0.76573426573426573</v>
      </c>
      <c r="K746">
        <v>35</v>
      </c>
      <c r="L746">
        <v>34</v>
      </c>
      <c r="M746" s="17">
        <v>0.97142857142857142</v>
      </c>
      <c r="N746" s="25">
        <v>7524</v>
      </c>
      <c r="O746" s="25">
        <v>1916.25</v>
      </c>
      <c r="P746" s="25">
        <v>5250</v>
      </c>
      <c r="Q746" s="25">
        <v>14690.25</v>
      </c>
      <c r="R746" s="18">
        <v>67.078767123287676</v>
      </c>
    </row>
    <row r="747" spans="1:18" x14ac:dyDescent="0.35">
      <c r="A747" s="13">
        <v>45605</v>
      </c>
      <c r="B747">
        <v>2024</v>
      </c>
      <c r="C747">
        <v>11</v>
      </c>
      <c r="D747" t="s">
        <v>77</v>
      </c>
      <c r="E747" t="s">
        <v>79</v>
      </c>
      <c r="F747">
        <v>216</v>
      </c>
      <c r="G747">
        <v>216</v>
      </c>
      <c r="H747">
        <v>0</v>
      </c>
      <c r="I747">
        <v>11</v>
      </c>
      <c r="J747" s="17">
        <v>0.75524475524475521</v>
      </c>
      <c r="K747">
        <v>35</v>
      </c>
      <c r="L747">
        <v>35</v>
      </c>
      <c r="M747" s="17">
        <v>1</v>
      </c>
      <c r="N747" s="25">
        <v>7524</v>
      </c>
      <c r="O747" s="25">
        <v>1890</v>
      </c>
      <c r="P747" s="25">
        <v>5250</v>
      </c>
      <c r="Q747" s="25">
        <v>14664</v>
      </c>
      <c r="R747" s="18">
        <v>67.888888888888886</v>
      </c>
    </row>
    <row r="748" spans="1:18" x14ac:dyDescent="0.35">
      <c r="A748" s="13">
        <v>45612</v>
      </c>
      <c r="B748">
        <v>2024</v>
      </c>
      <c r="C748">
        <v>11</v>
      </c>
      <c r="D748" t="s">
        <v>77</v>
      </c>
      <c r="E748" t="s">
        <v>79</v>
      </c>
      <c r="F748">
        <v>235</v>
      </c>
      <c r="G748">
        <v>234</v>
      </c>
      <c r="H748">
        <v>1</v>
      </c>
      <c r="I748">
        <v>13</v>
      </c>
      <c r="J748" s="17">
        <v>0.69230769230769229</v>
      </c>
      <c r="K748">
        <v>35</v>
      </c>
      <c r="L748">
        <v>34</v>
      </c>
      <c r="M748" s="17">
        <v>0.97142857142857142</v>
      </c>
      <c r="N748" s="25">
        <v>8892</v>
      </c>
      <c r="O748" s="25">
        <v>2047.5</v>
      </c>
      <c r="P748" s="25">
        <v>5250</v>
      </c>
      <c r="Q748" s="25">
        <v>16189.5</v>
      </c>
      <c r="R748" s="18">
        <v>69.185897435897431</v>
      </c>
    </row>
    <row r="749" spans="1:18" x14ac:dyDescent="0.35">
      <c r="A749" s="13">
        <v>45619</v>
      </c>
      <c r="B749">
        <v>2024</v>
      </c>
      <c r="C749">
        <v>11</v>
      </c>
      <c r="D749" t="s">
        <v>77</v>
      </c>
      <c r="E749" t="s">
        <v>79</v>
      </c>
      <c r="F749">
        <v>268</v>
      </c>
      <c r="G749">
        <v>262</v>
      </c>
      <c r="H749">
        <v>7</v>
      </c>
      <c r="I749">
        <v>13</v>
      </c>
      <c r="J749" s="17">
        <v>0.7751479289940828</v>
      </c>
      <c r="K749">
        <v>38</v>
      </c>
      <c r="L749">
        <v>38</v>
      </c>
      <c r="M749" s="17">
        <v>1</v>
      </c>
      <c r="N749" s="25">
        <v>8892</v>
      </c>
      <c r="O749" s="25">
        <v>2292.5</v>
      </c>
      <c r="P749" s="25">
        <v>5700</v>
      </c>
      <c r="Q749" s="25">
        <v>16884.5</v>
      </c>
      <c r="R749" s="18">
        <v>64.444656488549612</v>
      </c>
    </row>
    <row r="750" spans="1:18" x14ac:dyDescent="0.35">
      <c r="A750" s="13">
        <v>45626</v>
      </c>
      <c r="B750">
        <v>2024</v>
      </c>
      <c r="C750">
        <v>11</v>
      </c>
      <c r="D750" t="s">
        <v>77</v>
      </c>
      <c r="E750" t="s">
        <v>79</v>
      </c>
      <c r="F750">
        <v>294</v>
      </c>
      <c r="G750">
        <v>279</v>
      </c>
      <c r="H750">
        <v>22</v>
      </c>
      <c r="I750">
        <v>14</v>
      </c>
      <c r="J750" s="17">
        <v>0.76648351648351654</v>
      </c>
      <c r="K750">
        <v>38</v>
      </c>
      <c r="L750">
        <v>37</v>
      </c>
      <c r="M750" s="17">
        <v>0.97368421052631582</v>
      </c>
      <c r="N750" s="25">
        <v>9576</v>
      </c>
      <c r="O750" s="25">
        <v>2441.25</v>
      </c>
      <c r="P750" s="25">
        <v>5700</v>
      </c>
      <c r="Q750" s="25">
        <v>17717.25</v>
      </c>
      <c r="R750" s="18">
        <v>63.502688172043008</v>
      </c>
    </row>
    <row r="751" spans="1:18" x14ac:dyDescent="0.35">
      <c r="A751" s="13">
        <v>45633</v>
      </c>
      <c r="B751">
        <v>2024</v>
      </c>
      <c r="C751">
        <v>12</v>
      </c>
      <c r="D751" t="s">
        <v>77</v>
      </c>
      <c r="E751" t="s">
        <v>79</v>
      </c>
      <c r="F751">
        <v>303</v>
      </c>
      <c r="G751">
        <v>287</v>
      </c>
      <c r="H751">
        <v>38</v>
      </c>
      <c r="I751">
        <v>14</v>
      </c>
      <c r="J751" s="17">
        <v>0.78846153846153844</v>
      </c>
      <c r="K751">
        <v>38</v>
      </c>
      <c r="L751">
        <v>36</v>
      </c>
      <c r="M751" s="17">
        <v>0.94736842105263153</v>
      </c>
      <c r="N751" s="25">
        <v>9576</v>
      </c>
      <c r="O751" s="25">
        <v>2511.25</v>
      </c>
      <c r="P751" s="25">
        <v>5700</v>
      </c>
      <c r="Q751" s="25">
        <v>17787.25</v>
      </c>
      <c r="R751" s="18">
        <v>61.976480836236931</v>
      </c>
    </row>
    <row r="752" spans="1:18" x14ac:dyDescent="0.35">
      <c r="A752" s="13">
        <v>45640</v>
      </c>
      <c r="B752">
        <v>2024</v>
      </c>
      <c r="C752">
        <v>12</v>
      </c>
      <c r="D752" t="s">
        <v>77</v>
      </c>
      <c r="E752" t="s">
        <v>79</v>
      </c>
      <c r="F752">
        <v>319</v>
      </c>
      <c r="G752">
        <v>292</v>
      </c>
      <c r="H752">
        <v>65</v>
      </c>
      <c r="I752">
        <v>13</v>
      </c>
      <c r="J752" s="17">
        <v>0.86390532544378695</v>
      </c>
      <c r="K752">
        <v>38</v>
      </c>
      <c r="L752">
        <v>37</v>
      </c>
      <c r="M752" s="17">
        <v>0.97368421052631582</v>
      </c>
      <c r="N752" s="25">
        <v>8892</v>
      </c>
      <c r="O752" s="25">
        <v>2555</v>
      </c>
      <c r="P752" s="25">
        <v>5700</v>
      </c>
      <c r="Q752" s="25">
        <v>17147</v>
      </c>
      <c r="R752" s="18">
        <v>58.722602739726028</v>
      </c>
    </row>
    <row r="753" spans="1:18" x14ac:dyDescent="0.35">
      <c r="A753" s="13">
        <v>45647</v>
      </c>
      <c r="B753">
        <v>2024</v>
      </c>
      <c r="C753">
        <v>12</v>
      </c>
      <c r="D753" t="s">
        <v>77</v>
      </c>
      <c r="E753" t="s">
        <v>79</v>
      </c>
      <c r="F753">
        <v>269</v>
      </c>
      <c r="G753">
        <v>276</v>
      </c>
      <c r="H753">
        <v>58</v>
      </c>
      <c r="I753">
        <v>13</v>
      </c>
      <c r="J753" s="17">
        <v>0.81656804733727806</v>
      </c>
      <c r="K753">
        <v>38</v>
      </c>
      <c r="L753">
        <v>38</v>
      </c>
      <c r="M753" s="17">
        <v>1</v>
      </c>
      <c r="N753" s="25">
        <v>8892</v>
      </c>
      <c r="O753" s="25">
        <v>2415</v>
      </c>
      <c r="P753" s="25">
        <v>5700</v>
      </c>
      <c r="Q753" s="25">
        <v>17007</v>
      </c>
      <c r="R753" s="18">
        <v>61.619565217391298</v>
      </c>
    </row>
    <row r="754" spans="1:18" x14ac:dyDescent="0.35">
      <c r="A754" s="13">
        <v>45654</v>
      </c>
      <c r="B754">
        <v>2024</v>
      </c>
      <c r="C754">
        <v>12</v>
      </c>
      <c r="D754" t="s">
        <v>77</v>
      </c>
      <c r="E754" t="s">
        <v>79</v>
      </c>
      <c r="F754">
        <v>239</v>
      </c>
      <c r="G754">
        <v>270</v>
      </c>
      <c r="H754">
        <v>27</v>
      </c>
      <c r="I754">
        <v>13</v>
      </c>
      <c r="J754" s="17">
        <v>0.79881656804733725</v>
      </c>
      <c r="K754">
        <v>38</v>
      </c>
      <c r="L754">
        <v>35</v>
      </c>
      <c r="M754" s="17">
        <v>0.92105263157894735</v>
      </c>
      <c r="N754" s="25">
        <v>8892</v>
      </c>
      <c r="O754" s="25">
        <v>2362.5</v>
      </c>
      <c r="P754" s="25">
        <v>5700</v>
      </c>
      <c r="Q754" s="25">
        <v>16954.5</v>
      </c>
      <c r="R754" s="18">
        <v>62.794444444444437</v>
      </c>
    </row>
    <row r="755" spans="1:18" x14ac:dyDescent="0.35">
      <c r="A755" s="13">
        <v>45661</v>
      </c>
      <c r="B755">
        <v>2025</v>
      </c>
      <c r="C755">
        <v>1</v>
      </c>
      <c r="D755" t="s">
        <v>77</v>
      </c>
      <c r="E755" t="s">
        <v>79</v>
      </c>
      <c r="F755">
        <v>198</v>
      </c>
      <c r="G755">
        <v>222</v>
      </c>
      <c r="H755">
        <v>3</v>
      </c>
      <c r="I755">
        <v>11</v>
      </c>
      <c r="J755" s="17">
        <v>0.77622377622377625</v>
      </c>
      <c r="K755">
        <v>38</v>
      </c>
      <c r="L755">
        <v>37</v>
      </c>
      <c r="M755" s="17">
        <v>0.97368421052631582</v>
      </c>
      <c r="N755" s="25">
        <v>7524</v>
      </c>
      <c r="O755" s="25">
        <v>1942.5</v>
      </c>
      <c r="P755" s="25">
        <v>5700</v>
      </c>
      <c r="Q755" s="25">
        <v>15166.5</v>
      </c>
      <c r="R755" s="18">
        <v>68.317567567567565</v>
      </c>
    </row>
    <row r="756" spans="1:18" x14ac:dyDescent="0.35">
      <c r="A756" s="13">
        <v>45668</v>
      </c>
      <c r="B756">
        <v>2025</v>
      </c>
      <c r="C756">
        <v>1</v>
      </c>
      <c r="D756" t="s">
        <v>77</v>
      </c>
      <c r="E756" t="s">
        <v>79</v>
      </c>
      <c r="F756">
        <v>171</v>
      </c>
      <c r="G756">
        <v>174</v>
      </c>
      <c r="H756">
        <v>0</v>
      </c>
      <c r="I756">
        <v>9</v>
      </c>
      <c r="J756" s="17">
        <v>0.74358974358974361</v>
      </c>
      <c r="K756">
        <v>38</v>
      </c>
      <c r="L756">
        <v>37</v>
      </c>
      <c r="M756" s="17">
        <v>0.97368421052631582</v>
      </c>
      <c r="N756" s="25">
        <v>6156</v>
      </c>
      <c r="O756" s="25">
        <v>1522.5</v>
      </c>
      <c r="P756" s="25">
        <v>5700</v>
      </c>
      <c r="Q756" s="25">
        <v>13378.5</v>
      </c>
      <c r="R756" s="18">
        <v>76.887931034482762</v>
      </c>
    </row>
    <row r="757" spans="1:18" x14ac:dyDescent="0.35">
      <c r="A757" s="13">
        <v>45675</v>
      </c>
      <c r="B757">
        <v>2025</v>
      </c>
      <c r="C757">
        <v>1</v>
      </c>
      <c r="D757" t="s">
        <v>77</v>
      </c>
      <c r="E757" t="s">
        <v>79</v>
      </c>
      <c r="F757">
        <v>165</v>
      </c>
      <c r="G757">
        <v>165</v>
      </c>
      <c r="H757">
        <v>0</v>
      </c>
      <c r="I757">
        <v>10</v>
      </c>
      <c r="J757" s="17">
        <v>0.63461538461538458</v>
      </c>
      <c r="K757">
        <v>38</v>
      </c>
      <c r="L757">
        <v>37</v>
      </c>
      <c r="M757" s="17">
        <v>0.97368421052631582</v>
      </c>
      <c r="N757" s="25">
        <v>6840</v>
      </c>
      <c r="O757" s="25">
        <v>1443.75</v>
      </c>
      <c r="P757" s="25">
        <v>5700</v>
      </c>
      <c r="Q757" s="25">
        <v>13983.75</v>
      </c>
      <c r="R757" s="18">
        <v>84.75</v>
      </c>
    </row>
    <row r="758" spans="1:18" x14ac:dyDescent="0.35">
      <c r="A758" s="13">
        <v>45682</v>
      </c>
      <c r="B758">
        <v>2025</v>
      </c>
      <c r="C758">
        <v>1</v>
      </c>
      <c r="D758" t="s">
        <v>77</v>
      </c>
      <c r="E758" t="s">
        <v>79</v>
      </c>
      <c r="F758">
        <v>167</v>
      </c>
      <c r="G758">
        <v>167</v>
      </c>
      <c r="H758">
        <v>0</v>
      </c>
      <c r="I758">
        <v>10</v>
      </c>
      <c r="J758" s="17">
        <v>0.64230769230769236</v>
      </c>
      <c r="K758">
        <v>38</v>
      </c>
      <c r="L758">
        <v>38</v>
      </c>
      <c r="M758" s="17">
        <v>1</v>
      </c>
      <c r="N758" s="25">
        <v>6840</v>
      </c>
      <c r="O758" s="25">
        <v>1461.25</v>
      </c>
      <c r="P758" s="25">
        <v>5700</v>
      </c>
      <c r="Q758" s="25">
        <v>14001.25</v>
      </c>
      <c r="R758" s="18">
        <v>83.839820359281433</v>
      </c>
    </row>
    <row r="759" spans="1:18" x14ac:dyDescent="0.35">
      <c r="A759" s="13">
        <v>45689</v>
      </c>
      <c r="B759">
        <v>2025</v>
      </c>
      <c r="C759">
        <v>2</v>
      </c>
      <c r="D759" t="s">
        <v>77</v>
      </c>
      <c r="E759" t="s">
        <v>79</v>
      </c>
      <c r="F759">
        <v>179</v>
      </c>
      <c r="G759">
        <v>179</v>
      </c>
      <c r="H759">
        <v>0</v>
      </c>
      <c r="I759">
        <v>11</v>
      </c>
      <c r="J759" s="17">
        <v>0.62587412587412583</v>
      </c>
      <c r="K759">
        <v>38</v>
      </c>
      <c r="L759">
        <v>37</v>
      </c>
      <c r="M759" s="17">
        <v>0.97368421052631582</v>
      </c>
      <c r="N759" s="25">
        <v>7524</v>
      </c>
      <c r="O759" s="25">
        <v>1566.25</v>
      </c>
      <c r="P759" s="25">
        <v>5700</v>
      </c>
      <c r="Q759" s="25">
        <v>14790.25</v>
      </c>
      <c r="R759" s="18">
        <v>82.627094972067042</v>
      </c>
    </row>
    <row r="760" spans="1:18" x14ac:dyDescent="0.35">
      <c r="A760" s="13">
        <v>45696</v>
      </c>
      <c r="B760">
        <v>2025</v>
      </c>
      <c r="C760">
        <v>2</v>
      </c>
      <c r="D760" t="s">
        <v>77</v>
      </c>
      <c r="E760" t="s">
        <v>79</v>
      </c>
      <c r="F760">
        <v>192</v>
      </c>
      <c r="G760">
        <v>192</v>
      </c>
      <c r="H760">
        <v>0</v>
      </c>
      <c r="I760">
        <v>11</v>
      </c>
      <c r="J760" s="17">
        <v>0.67132867132867136</v>
      </c>
      <c r="K760">
        <v>38</v>
      </c>
      <c r="L760">
        <v>37</v>
      </c>
      <c r="M760" s="17">
        <v>0.97368421052631582</v>
      </c>
      <c r="N760" s="25">
        <v>7524</v>
      </c>
      <c r="O760" s="25">
        <v>1680</v>
      </c>
      <c r="P760" s="25">
        <v>5700</v>
      </c>
      <c r="Q760" s="25">
        <v>14904</v>
      </c>
      <c r="R760" s="18">
        <v>77.625</v>
      </c>
    </row>
    <row r="761" spans="1:18" x14ac:dyDescent="0.35">
      <c r="A761" s="13">
        <v>45703</v>
      </c>
      <c r="B761">
        <v>2025</v>
      </c>
      <c r="C761">
        <v>2</v>
      </c>
      <c r="D761" t="s">
        <v>77</v>
      </c>
      <c r="E761" t="s">
        <v>79</v>
      </c>
      <c r="F761">
        <v>191</v>
      </c>
      <c r="G761">
        <v>191</v>
      </c>
      <c r="H761">
        <v>0</v>
      </c>
      <c r="I761">
        <v>10</v>
      </c>
      <c r="J761" s="17">
        <v>0.73461538461538467</v>
      </c>
      <c r="K761">
        <v>38</v>
      </c>
      <c r="L761">
        <v>38</v>
      </c>
      <c r="M761" s="17">
        <v>1</v>
      </c>
      <c r="N761" s="25">
        <v>6840</v>
      </c>
      <c r="O761" s="25">
        <v>1671.25</v>
      </c>
      <c r="P761" s="25">
        <v>5700</v>
      </c>
      <c r="Q761" s="25">
        <v>14211.25</v>
      </c>
      <c r="R761" s="18">
        <v>74.404450261780099</v>
      </c>
    </row>
    <row r="762" spans="1:18" x14ac:dyDescent="0.35">
      <c r="A762" s="13">
        <v>45710</v>
      </c>
      <c r="B762">
        <v>2025</v>
      </c>
      <c r="C762">
        <v>2</v>
      </c>
      <c r="D762" t="s">
        <v>77</v>
      </c>
      <c r="E762" t="s">
        <v>79</v>
      </c>
      <c r="F762">
        <v>197</v>
      </c>
      <c r="G762">
        <v>197</v>
      </c>
      <c r="H762">
        <v>0</v>
      </c>
      <c r="I762">
        <v>11</v>
      </c>
      <c r="J762" s="17">
        <v>0.68881118881118886</v>
      </c>
      <c r="K762">
        <v>38</v>
      </c>
      <c r="L762">
        <v>37</v>
      </c>
      <c r="M762" s="17">
        <v>0.97368421052631582</v>
      </c>
      <c r="N762" s="25">
        <v>7524</v>
      </c>
      <c r="O762" s="25">
        <v>1723.75</v>
      </c>
      <c r="P762" s="25">
        <v>5700</v>
      </c>
      <c r="Q762" s="25">
        <v>14947.75</v>
      </c>
      <c r="R762" s="18">
        <v>75.876903553299499</v>
      </c>
    </row>
    <row r="763" spans="1:18" x14ac:dyDescent="0.35">
      <c r="A763" s="13">
        <v>45717</v>
      </c>
      <c r="B763">
        <v>2025</v>
      </c>
      <c r="C763">
        <v>3</v>
      </c>
      <c r="D763" t="s">
        <v>77</v>
      </c>
      <c r="E763" t="s">
        <v>79</v>
      </c>
      <c r="F763">
        <v>207</v>
      </c>
      <c r="G763">
        <v>207</v>
      </c>
      <c r="H763">
        <v>0</v>
      </c>
      <c r="I763">
        <v>11</v>
      </c>
      <c r="J763" s="17">
        <v>0.72377622377622375</v>
      </c>
      <c r="K763">
        <v>38</v>
      </c>
      <c r="L763">
        <v>38</v>
      </c>
      <c r="M763" s="17">
        <v>1</v>
      </c>
      <c r="N763" s="25">
        <v>7524</v>
      </c>
      <c r="O763" s="25">
        <v>1811.25</v>
      </c>
      <c r="P763" s="25">
        <v>5700</v>
      </c>
      <c r="Q763" s="25">
        <v>15035.25</v>
      </c>
      <c r="R763" s="18">
        <v>72.634057971014499</v>
      </c>
    </row>
    <row r="764" spans="1:18" x14ac:dyDescent="0.35">
      <c r="A764" s="13">
        <v>45724</v>
      </c>
      <c r="B764">
        <v>2025</v>
      </c>
      <c r="C764">
        <v>3</v>
      </c>
      <c r="D764" t="s">
        <v>77</v>
      </c>
      <c r="E764" t="s">
        <v>79</v>
      </c>
      <c r="F764">
        <v>202</v>
      </c>
      <c r="G764">
        <v>202</v>
      </c>
      <c r="H764">
        <v>0</v>
      </c>
      <c r="I764">
        <v>11</v>
      </c>
      <c r="J764" s="17">
        <v>0.70629370629370625</v>
      </c>
      <c r="K764">
        <v>38</v>
      </c>
      <c r="L764">
        <v>37</v>
      </c>
      <c r="M764" s="17">
        <v>0.97368421052631582</v>
      </c>
      <c r="N764" s="25">
        <v>7524</v>
      </c>
      <c r="O764" s="25">
        <v>1767.5</v>
      </c>
      <c r="P764" s="25">
        <v>5700</v>
      </c>
      <c r="Q764" s="25">
        <v>14991.5</v>
      </c>
      <c r="R764" s="18">
        <v>74.215346534653463</v>
      </c>
    </row>
    <row r="765" spans="1:18" x14ac:dyDescent="0.35">
      <c r="A765" s="13">
        <v>45731</v>
      </c>
      <c r="B765">
        <v>2025</v>
      </c>
      <c r="C765">
        <v>3</v>
      </c>
      <c r="D765" t="s">
        <v>77</v>
      </c>
      <c r="E765" t="s">
        <v>79</v>
      </c>
      <c r="F765">
        <v>212</v>
      </c>
      <c r="G765">
        <v>212</v>
      </c>
      <c r="H765">
        <v>0</v>
      </c>
      <c r="I765">
        <v>11</v>
      </c>
      <c r="J765" s="17">
        <v>0.74125874125874125</v>
      </c>
      <c r="K765">
        <v>38</v>
      </c>
      <c r="L765">
        <v>36</v>
      </c>
      <c r="M765" s="17">
        <v>0.94736842105263153</v>
      </c>
      <c r="N765" s="25">
        <v>7524</v>
      </c>
      <c r="O765" s="25">
        <v>1855</v>
      </c>
      <c r="P765" s="25">
        <v>5700</v>
      </c>
      <c r="Q765" s="25">
        <v>15079</v>
      </c>
      <c r="R765" s="18">
        <v>71.127358490566039</v>
      </c>
    </row>
    <row r="766" spans="1:18" x14ac:dyDescent="0.35">
      <c r="A766" s="13">
        <v>45738</v>
      </c>
      <c r="B766">
        <v>2025</v>
      </c>
      <c r="C766">
        <v>3</v>
      </c>
      <c r="D766" t="s">
        <v>77</v>
      </c>
      <c r="E766" t="s">
        <v>79</v>
      </c>
      <c r="F766">
        <v>207</v>
      </c>
      <c r="G766">
        <v>207</v>
      </c>
      <c r="H766">
        <v>0</v>
      </c>
      <c r="I766">
        <v>11</v>
      </c>
      <c r="J766" s="17">
        <v>0.72377622377622375</v>
      </c>
      <c r="K766">
        <v>38</v>
      </c>
      <c r="L766">
        <v>38</v>
      </c>
      <c r="M766" s="17">
        <v>1</v>
      </c>
      <c r="N766" s="25">
        <v>7524</v>
      </c>
      <c r="O766" s="25">
        <v>1811.25</v>
      </c>
      <c r="P766" s="25">
        <v>5700</v>
      </c>
      <c r="Q766" s="25">
        <v>15035.25</v>
      </c>
      <c r="R766" s="18">
        <v>72.634057971014499</v>
      </c>
    </row>
    <row r="767" spans="1:18" x14ac:dyDescent="0.35">
      <c r="A767" s="13">
        <v>45745</v>
      </c>
      <c r="B767">
        <v>2025</v>
      </c>
      <c r="C767">
        <v>3</v>
      </c>
      <c r="D767" t="s">
        <v>77</v>
      </c>
      <c r="E767" t="s">
        <v>79</v>
      </c>
      <c r="F767">
        <v>203</v>
      </c>
      <c r="G767">
        <v>203</v>
      </c>
      <c r="H767">
        <v>0</v>
      </c>
      <c r="I767">
        <v>11</v>
      </c>
      <c r="J767" s="17">
        <v>0.70979020979020979</v>
      </c>
      <c r="K767">
        <v>38</v>
      </c>
      <c r="L767">
        <v>36</v>
      </c>
      <c r="M767" s="17">
        <v>0.94736842105263153</v>
      </c>
      <c r="N767" s="25">
        <v>7524</v>
      </c>
      <c r="O767" s="25">
        <v>1776.25</v>
      </c>
      <c r="P767" s="25">
        <v>5700</v>
      </c>
      <c r="Q767" s="25">
        <v>15000.25</v>
      </c>
      <c r="R767" s="18">
        <v>73.892857142857139</v>
      </c>
    </row>
    <row r="768" spans="1:18" x14ac:dyDescent="0.35">
      <c r="A768" s="13">
        <v>45752</v>
      </c>
      <c r="B768">
        <v>2025</v>
      </c>
      <c r="C768">
        <v>4</v>
      </c>
      <c r="D768" t="s">
        <v>77</v>
      </c>
      <c r="E768" t="s">
        <v>79</v>
      </c>
      <c r="F768">
        <v>207</v>
      </c>
      <c r="G768">
        <v>207</v>
      </c>
      <c r="H768">
        <v>0</v>
      </c>
      <c r="I768">
        <v>11</v>
      </c>
      <c r="J768" s="17">
        <v>0.72377622377622375</v>
      </c>
      <c r="K768">
        <v>38</v>
      </c>
      <c r="L768">
        <v>38</v>
      </c>
      <c r="M768" s="17">
        <v>1</v>
      </c>
      <c r="N768" s="25">
        <v>7524</v>
      </c>
      <c r="O768" s="25">
        <v>1811.25</v>
      </c>
      <c r="P768" s="25">
        <v>5700</v>
      </c>
      <c r="Q768" s="25">
        <v>15035.25</v>
      </c>
      <c r="R768" s="18">
        <v>72.634057971014499</v>
      </c>
    </row>
    <row r="769" spans="1:18" x14ac:dyDescent="0.35">
      <c r="A769" s="13">
        <v>45759</v>
      </c>
      <c r="B769">
        <v>2025</v>
      </c>
      <c r="C769">
        <v>4</v>
      </c>
      <c r="D769" t="s">
        <v>77</v>
      </c>
      <c r="E769" t="s">
        <v>79</v>
      </c>
      <c r="F769">
        <v>212</v>
      </c>
      <c r="G769">
        <v>212</v>
      </c>
      <c r="H769">
        <v>0</v>
      </c>
      <c r="I769">
        <v>11</v>
      </c>
      <c r="J769" s="17">
        <v>0.74125874125874125</v>
      </c>
      <c r="K769">
        <v>38</v>
      </c>
      <c r="L769">
        <v>36</v>
      </c>
      <c r="M769" s="17">
        <v>0.94736842105263153</v>
      </c>
      <c r="N769" s="25">
        <v>7524</v>
      </c>
      <c r="O769" s="25">
        <v>1855</v>
      </c>
      <c r="P769" s="25">
        <v>5700</v>
      </c>
      <c r="Q769" s="25">
        <v>15079</v>
      </c>
      <c r="R769" s="18">
        <v>71.127358490566039</v>
      </c>
    </row>
    <row r="770" spans="1:18" x14ac:dyDescent="0.35">
      <c r="A770" s="13">
        <v>45766</v>
      </c>
      <c r="B770">
        <v>2025</v>
      </c>
      <c r="C770">
        <v>4</v>
      </c>
      <c r="D770" t="s">
        <v>77</v>
      </c>
      <c r="E770" t="s">
        <v>79</v>
      </c>
      <c r="F770">
        <v>222</v>
      </c>
      <c r="G770">
        <v>222</v>
      </c>
      <c r="H770">
        <v>0</v>
      </c>
      <c r="I770">
        <v>11</v>
      </c>
      <c r="J770" s="17">
        <v>0.77622377622377625</v>
      </c>
      <c r="K770">
        <v>38</v>
      </c>
      <c r="L770">
        <v>37</v>
      </c>
      <c r="M770" s="17">
        <v>0.97368421052631582</v>
      </c>
      <c r="N770" s="25">
        <v>7524</v>
      </c>
      <c r="O770" s="25">
        <v>1942.5</v>
      </c>
      <c r="P770" s="25">
        <v>5700</v>
      </c>
      <c r="Q770" s="25">
        <v>15166.5</v>
      </c>
      <c r="R770" s="18">
        <v>68.317567567567565</v>
      </c>
    </row>
    <row r="771" spans="1:18" x14ac:dyDescent="0.35">
      <c r="A771" s="13">
        <v>45773</v>
      </c>
      <c r="B771">
        <v>2025</v>
      </c>
      <c r="C771">
        <v>4</v>
      </c>
      <c r="D771" t="s">
        <v>77</v>
      </c>
      <c r="E771" t="s">
        <v>79</v>
      </c>
      <c r="F771">
        <v>212</v>
      </c>
      <c r="G771">
        <v>212</v>
      </c>
      <c r="H771">
        <v>0</v>
      </c>
      <c r="I771">
        <v>11</v>
      </c>
      <c r="J771" s="17">
        <v>0.74125874125874125</v>
      </c>
      <c r="K771">
        <v>38</v>
      </c>
      <c r="L771">
        <v>35</v>
      </c>
      <c r="M771" s="17">
        <v>0.92105263157894735</v>
      </c>
      <c r="N771" s="25">
        <v>7524</v>
      </c>
      <c r="O771" s="25">
        <v>1855</v>
      </c>
      <c r="P771" s="25">
        <v>5700</v>
      </c>
      <c r="Q771" s="25">
        <v>15079</v>
      </c>
      <c r="R771" s="18">
        <v>71.127358490566039</v>
      </c>
    </row>
    <row r="772" spans="1:18" x14ac:dyDescent="0.35">
      <c r="A772" s="13">
        <v>45780</v>
      </c>
      <c r="B772">
        <v>2025</v>
      </c>
      <c r="C772">
        <v>5</v>
      </c>
      <c r="D772" t="s">
        <v>77</v>
      </c>
      <c r="E772" t="s">
        <v>79</v>
      </c>
      <c r="F772">
        <v>217</v>
      </c>
      <c r="G772">
        <v>217</v>
      </c>
      <c r="H772">
        <v>0</v>
      </c>
      <c r="I772">
        <v>11</v>
      </c>
      <c r="J772" s="17">
        <v>0.75874125874125875</v>
      </c>
      <c r="K772">
        <v>38</v>
      </c>
      <c r="L772">
        <v>38</v>
      </c>
      <c r="M772" s="17">
        <v>1</v>
      </c>
      <c r="N772" s="25">
        <v>7524</v>
      </c>
      <c r="O772" s="25">
        <v>1898.75</v>
      </c>
      <c r="P772" s="25">
        <v>5700</v>
      </c>
      <c r="Q772" s="25">
        <v>15122.75</v>
      </c>
      <c r="R772" s="18">
        <v>69.690092165898619</v>
      </c>
    </row>
    <row r="773" spans="1:18" x14ac:dyDescent="0.35">
      <c r="A773" s="13">
        <v>45787</v>
      </c>
      <c r="B773">
        <v>2025</v>
      </c>
      <c r="C773">
        <v>5</v>
      </c>
      <c r="D773" t="s">
        <v>77</v>
      </c>
      <c r="E773" t="s">
        <v>79</v>
      </c>
      <c r="F773">
        <v>227</v>
      </c>
      <c r="G773">
        <v>227</v>
      </c>
      <c r="H773">
        <v>0</v>
      </c>
      <c r="I773">
        <v>12</v>
      </c>
      <c r="J773" s="17">
        <v>0.72756410256410253</v>
      </c>
      <c r="K773">
        <v>38</v>
      </c>
      <c r="L773">
        <v>38</v>
      </c>
      <c r="M773" s="17">
        <v>1</v>
      </c>
      <c r="N773" s="25">
        <v>8208</v>
      </c>
      <c r="O773" s="25">
        <v>1986.25</v>
      </c>
      <c r="P773" s="25">
        <v>5700</v>
      </c>
      <c r="Q773" s="25">
        <v>15894.25</v>
      </c>
      <c r="R773" s="18">
        <v>70.018722466960355</v>
      </c>
    </row>
    <row r="774" spans="1:18" x14ac:dyDescent="0.35">
      <c r="A774" s="13">
        <v>45794</v>
      </c>
      <c r="B774">
        <v>2025</v>
      </c>
      <c r="C774">
        <v>5</v>
      </c>
      <c r="D774" t="s">
        <v>77</v>
      </c>
      <c r="E774" t="s">
        <v>79</v>
      </c>
      <c r="F774">
        <v>226</v>
      </c>
      <c r="G774">
        <v>226</v>
      </c>
      <c r="H774">
        <v>0</v>
      </c>
      <c r="I774">
        <v>12</v>
      </c>
      <c r="J774" s="17">
        <v>0.72435897435897434</v>
      </c>
      <c r="K774">
        <v>38</v>
      </c>
      <c r="L774">
        <v>35</v>
      </c>
      <c r="M774" s="17">
        <v>0.92105263157894735</v>
      </c>
      <c r="N774" s="25">
        <v>8208</v>
      </c>
      <c r="O774" s="25">
        <v>1977.5</v>
      </c>
      <c r="P774" s="25">
        <v>5700</v>
      </c>
      <c r="Q774" s="25">
        <v>15885.5</v>
      </c>
      <c r="R774" s="18">
        <v>70.289823008849552</v>
      </c>
    </row>
    <row r="775" spans="1:18" x14ac:dyDescent="0.35">
      <c r="A775" s="13">
        <v>45801</v>
      </c>
      <c r="B775">
        <v>2025</v>
      </c>
      <c r="C775">
        <v>5</v>
      </c>
      <c r="D775" t="s">
        <v>77</v>
      </c>
      <c r="E775" t="s">
        <v>79</v>
      </c>
      <c r="F775">
        <v>227</v>
      </c>
      <c r="G775">
        <v>227</v>
      </c>
      <c r="H775">
        <v>0</v>
      </c>
      <c r="I775">
        <v>13</v>
      </c>
      <c r="J775" s="17">
        <v>0.67159763313609466</v>
      </c>
      <c r="K775">
        <v>38</v>
      </c>
      <c r="L775">
        <v>38</v>
      </c>
      <c r="M775" s="17">
        <v>1</v>
      </c>
      <c r="N775" s="25">
        <v>8892</v>
      </c>
      <c r="O775" s="25">
        <v>1986.25</v>
      </c>
      <c r="P775" s="25">
        <v>5700</v>
      </c>
      <c r="Q775" s="25">
        <v>16578.25</v>
      </c>
      <c r="R775" s="18">
        <v>73.031938325991192</v>
      </c>
    </row>
    <row r="776" spans="1:18" x14ac:dyDescent="0.35">
      <c r="A776" s="13">
        <v>45808</v>
      </c>
      <c r="B776">
        <v>2025</v>
      </c>
      <c r="C776">
        <v>5</v>
      </c>
      <c r="D776" t="s">
        <v>77</v>
      </c>
      <c r="E776" t="s">
        <v>79</v>
      </c>
      <c r="F776">
        <v>220</v>
      </c>
      <c r="G776">
        <v>220</v>
      </c>
      <c r="H776">
        <v>0</v>
      </c>
      <c r="I776">
        <v>11</v>
      </c>
      <c r="J776" s="17">
        <v>0.76923076923076927</v>
      </c>
      <c r="K776">
        <v>38</v>
      </c>
      <c r="L776">
        <v>38</v>
      </c>
      <c r="M776" s="17">
        <v>1</v>
      </c>
      <c r="N776" s="25">
        <v>7524</v>
      </c>
      <c r="O776" s="25">
        <v>1925</v>
      </c>
      <c r="P776" s="25">
        <v>5700</v>
      </c>
      <c r="Q776" s="25">
        <v>15149</v>
      </c>
      <c r="R776" s="18">
        <v>68.859090909090909</v>
      </c>
    </row>
    <row r="777" spans="1:18" x14ac:dyDescent="0.35">
      <c r="A777" s="13">
        <v>45815</v>
      </c>
      <c r="B777">
        <v>2025</v>
      </c>
      <c r="C777">
        <v>6</v>
      </c>
      <c r="D777" t="s">
        <v>77</v>
      </c>
      <c r="E777" t="s">
        <v>79</v>
      </c>
      <c r="F777">
        <v>210</v>
      </c>
      <c r="G777">
        <v>210</v>
      </c>
      <c r="H777">
        <v>0</v>
      </c>
      <c r="I777">
        <v>11</v>
      </c>
      <c r="J777" s="17">
        <v>0.73426573426573427</v>
      </c>
      <c r="K777">
        <v>38</v>
      </c>
      <c r="L777">
        <v>37</v>
      </c>
      <c r="M777" s="17">
        <v>0.97368421052631582</v>
      </c>
      <c r="N777" s="25">
        <v>7524</v>
      </c>
      <c r="O777" s="25">
        <v>1837.5</v>
      </c>
      <c r="P777" s="25">
        <v>5700</v>
      </c>
      <c r="Q777" s="25">
        <v>15061.5</v>
      </c>
      <c r="R777" s="18">
        <v>71.721428571428575</v>
      </c>
    </row>
    <row r="778" spans="1:18" x14ac:dyDescent="0.35">
      <c r="A778" s="13">
        <v>45822</v>
      </c>
      <c r="B778">
        <v>2025</v>
      </c>
      <c r="C778">
        <v>6</v>
      </c>
      <c r="D778" t="s">
        <v>77</v>
      </c>
      <c r="E778" t="s">
        <v>79</v>
      </c>
      <c r="F778">
        <v>201</v>
      </c>
      <c r="G778">
        <v>201</v>
      </c>
      <c r="H778">
        <v>0</v>
      </c>
      <c r="I778">
        <v>11</v>
      </c>
      <c r="J778" s="17">
        <v>0.70279720279720281</v>
      </c>
      <c r="K778">
        <v>38</v>
      </c>
      <c r="L778">
        <v>38</v>
      </c>
      <c r="M778" s="17">
        <v>1</v>
      </c>
      <c r="N778" s="25">
        <v>7524</v>
      </c>
      <c r="O778" s="25">
        <v>1758.75</v>
      </c>
      <c r="P778" s="25">
        <v>5700</v>
      </c>
      <c r="Q778" s="25">
        <v>14982.75</v>
      </c>
      <c r="R778" s="18">
        <v>74.541044776119406</v>
      </c>
    </row>
    <row r="779" spans="1:18" x14ac:dyDescent="0.35">
      <c r="A779" s="13">
        <v>45829</v>
      </c>
      <c r="B779">
        <v>2025</v>
      </c>
      <c r="C779">
        <v>6</v>
      </c>
      <c r="D779" t="s">
        <v>77</v>
      </c>
      <c r="E779" t="s">
        <v>79</v>
      </c>
      <c r="F779">
        <v>218</v>
      </c>
      <c r="G779">
        <v>218</v>
      </c>
      <c r="H779">
        <v>0</v>
      </c>
      <c r="I779">
        <v>11</v>
      </c>
      <c r="J779" s="17">
        <v>0.76223776223776218</v>
      </c>
      <c r="K779">
        <v>38</v>
      </c>
      <c r="L779">
        <v>37</v>
      </c>
      <c r="M779" s="17">
        <v>0.97368421052631582</v>
      </c>
      <c r="N779" s="25">
        <v>7524</v>
      </c>
      <c r="O779" s="25">
        <v>1907.5</v>
      </c>
      <c r="P779" s="25">
        <v>5700</v>
      </c>
      <c r="Q779" s="25">
        <v>15131.5</v>
      </c>
      <c r="R779" s="18">
        <v>69.410550458715591</v>
      </c>
    </row>
    <row r="780" spans="1:18" x14ac:dyDescent="0.35">
      <c r="A780" s="13">
        <v>45836</v>
      </c>
      <c r="B780">
        <v>2025</v>
      </c>
      <c r="C780">
        <v>6</v>
      </c>
      <c r="D780" t="s">
        <v>77</v>
      </c>
      <c r="E780" t="s">
        <v>79</v>
      </c>
      <c r="F780">
        <v>214</v>
      </c>
      <c r="G780">
        <v>214</v>
      </c>
      <c r="H780">
        <v>0</v>
      </c>
      <c r="I780">
        <v>11</v>
      </c>
      <c r="J780" s="17">
        <v>0.74825174825174823</v>
      </c>
      <c r="K780">
        <v>38</v>
      </c>
      <c r="L780">
        <v>37</v>
      </c>
      <c r="M780" s="17">
        <v>0.97368421052631582</v>
      </c>
      <c r="N780" s="25">
        <v>7524</v>
      </c>
      <c r="O780" s="25">
        <v>1872.5</v>
      </c>
      <c r="P780" s="25">
        <v>5700</v>
      </c>
      <c r="Q780" s="25">
        <v>15096.5</v>
      </c>
      <c r="R780" s="18">
        <v>70.544392523364479</v>
      </c>
    </row>
    <row r="781" spans="1:18" x14ac:dyDescent="0.35">
      <c r="A781" s="13">
        <v>45843</v>
      </c>
      <c r="B781">
        <v>2025</v>
      </c>
      <c r="C781">
        <v>7</v>
      </c>
      <c r="D781" t="s">
        <v>77</v>
      </c>
      <c r="E781" t="s">
        <v>79</v>
      </c>
      <c r="F781">
        <v>223</v>
      </c>
      <c r="G781">
        <v>223</v>
      </c>
      <c r="H781">
        <v>0</v>
      </c>
      <c r="I781">
        <v>11</v>
      </c>
      <c r="J781" s="17">
        <v>0.77972027972027969</v>
      </c>
      <c r="K781">
        <v>38</v>
      </c>
      <c r="L781">
        <v>38</v>
      </c>
      <c r="M781" s="17">
        <v>1</v>
      </c>
      <c r="N781" s="25">
        <v>7524</v>
      </c>
      <c r="O781" s="25">
        <v>1951.25</v>
      </c>
      <c r="P781" s="25">
        <v>5700</v>
      </c>
      <c r="Q781" s="25">
        <v>15175.25</v>
      </c>
      <c r="R781" s="18">
        <v>68.050448430493276</v>
      </c>
    </row>
    <row r="782" spans="1:18" x14ac:dyDescent="0.35">
      <c r="A782" s="13">
        <v>45850</v>
      </c>
      <c r="B782">
        <v>2025</v>
      </c>
      <c r="C782">
        <v>7</v>
      </c>
      <c r="D782" t="s">
        <v>77</v>
      </c>
      <c r="E782" t="s">
        <v>79</v>
      </c>
      <c r="F782">
        <v>222</v>
      </c>
      <c r="G782">
        <v>222</v>
      </c>
      <c r="H782">
        <v>0</v>
      </c>
      <c r="I782">
        <v>11</v>
      </c>
      <c r="J782" s="17">
        <v>0.77622377622377625</v>
      </c>
      <c r="K782">
        <v>38</v>
      </c>
      <c r="L782">
        <v>38</v>
      </c>
      <c r="M782" s="17">
        <v>1</v>
      </c>
      <c r="N782" s="25">
        <v>7524</v>
      </c>
      <c r="O782" s="25">
        <v>1942.5</v>
      </c>
      <c r="P782" s="25">
        <v>5700</v>
      </c>
      <c r="Q782" s="25">
        <v>15166.5</v>
      </c>
      <c r="R782" s="18">
        <v>68.317567567567565</v>
      </c>
    </row>
    <row r="783" spans="1:18" x14ac:dyDescent="0.35">
      <c r="A783" s="13">
        <v>45857</v>
      </c>
      <c r="B783">
        <v>2025</v>
      </c>
      <c r="C783">
        <v>7</v>
      </c>
      <c r="D783" t="s">
        <v>77</v>
      </c>
      <c r="E783" t="s">
        <v>79</v>
      </c>
      <c r="F783">
        <v>219</v>
      </c>
      <c r="G783">
        <v>219</v>
      </c>
      <c r="H783">
        <v>0</v>
      </c>
      <c r="I783">
        <v>11</v>
      </c>
      <c r="J783" s="17">
        <v>0.76573426573426573</v>
      </c>
      <c r="K783">
        <v>38</v>
      </c>
      <c r="L783">
        <v>37</v>
      </c>
      <c r="M783" s="17">
        <v>0.97368421052631582</v>
      </c>
      <c r="N783" s="25">
        <v>7524</v>
      </c>
      <c r="O783" s="25">
        <v>1916.25</v>
      </c>
      <c r="P783" s="25">
        <v>5700</v>
      </c>
      <c r="Q783" s="25">
        <v>15140.25</v>
      </c>
      <c r="R783" s="18">
        <v>69.13356164383562</v>
      </c>
    </row>
    <row r="784" spans="1:18" x14ac:dyDescent="0.35">
      <c r="A784" s="13">
        <v>45864</v>
      </c>
      <c r="B784">
        <v>2025</v>
      </c>
      <c r="C784">
        <v>7</v>
      </c>
      <c r="D784" t="s">
        <v>77</v>
      </c>
      <c r="E784" t="s">
        <v>79</v>
      </c>
      <c r="F784">
        <v>225</v>
      </c>
      <c r="G784">
        <v>225</v>
      </c>
      <c r="H784">
        <v>0</v>
      </c>
      <c r="I784">
        <v>12</v>
      </c>
      <c r="J784" s="17">
        <v>0.72115384615384615</v>
      </c>
      <c r="K784">
        <v>38</v>
      </c>
      <c r="L784">
        <v>36</v>
      </c>
      <c r="M784" s="17">
        <v>0.94736842105263153</v>
      </c>
      <c r="N784" s="25">
        <v>8208</v>
      </c>
      <c r="O784" s="25">
        <v>1968.75</v>
      </c>
      <c r="P784" s="25">
        <v>5700</v>
      </c>
      <c r="Q784" s="25">
        <v>15876.75</v>
      </c>
      <c r="R784" s="18">
        <v>70.563333333333333</v>
      </c>
    </row>
    <row r="785" spans="1:18" x14ac:dyDescent="0.35">
      <c r="A785" s="13">
        <v>45871</v>
      </c>
      <c r="B785">
        <v>2025</v>
      </c>
      <c r="C785">
        <v>8</v>
      </c>
      <c r="D785" t="s">
        <v>77</v>
      </c>
      <c r="E785" t="s">
        <v>79</v>
      </c>
      <c r="F785">
        <v>233</v>
      </c>
      <c r="G785">
        <v>232</v>
      </c>
      <c r="H785">
        <v>1</v>
      </c>
      <c r="I785">
        <v>13</v>
      </c>
      <c r="J785" s="17">
        <v>0.68639053254437865</v>
      </c>
      <c r="K785">
        <v>38</v>
      </c>
      <c r="L785">
        <v>37</v>
      </c>
      <c r="M785" s="17">
        <v>0.97368421052631582</v>
      </c>
      <c r="N785" s="25">
        <v>8892</v>
      </c>
      <c r="O785" s="25">
        <v>2030</v>
      </c>
      <c r="P785" s="25">
        <v>5700</v>
      </c>
      <c r="Q785" s="25">
        <v>16622</v>
      </c>
      <c r="R785" s="18">
        <v>71.646551724137936</v>
      </c>
    </row>
    <row r="786" spans="1:18" x14ac:dyDescent="0.35">
      <c r="A786" s="13">
        <v>45878</v>
      </c>
      <c r="B786">
        <v>2025</v>
      </c>
      <c r="C786">
        <v>8</v>
      </c>
      <c r="D786" t="s">
        <v>77</v>
      </c>
      <c r="E786" t="s">
        <v>79</v>
      </c>
      <c r="F786">
        <v>226</v>
      </c>
      <c r="G786">
        <v>227</v>
      </c>
      <c r="H786">
        <v>0</v>
      </c>
      <c r="I786">
        <v>12</v>
      </c>
      <c r="J786" s="17">
        <v>0.72756410256410253</v>
      </c>
      <c r="K786">
        <v>38</v>
      </c>
      <c r="L786">
        <v>36</v>
      </c>
      <c r="M786" s="17">
        <v>0.94736842105263153</v>
      </c>
      <c r="N786" s="25">
        <v>8208</v>
      </c>
      <c r="O786" s="25">
        <v>1986.25</v>
      </c>
      <c r="P786" s="25">
        <v>5700</v>
      </c>
      <c r="Q786" s="25">
        <v>15894.25</v>
      </c>
      <c r="R786" s="18">
        <v>70.018722466960355</v>
      </c>
    </row>
    <row r="787" spans="1:18" x14ac:dyDescent="0.35">
      <c r="A787" s="13">
        <v>45885</v>
      </c>
      <c r="B787">
        <v>2025</v>
      </c>
      <c r="C787">
        <v>8</v>
      </c>
      <c r="D787" t="s">
        <v>77</v>
      </c>
      <c r="E787" t="s">
        <v>79</v>
      </c>
      <c r="F787">
        <v>223</v>
      </c>
      <c r="G787">
        <v>223</v>
      </c>
      <c r="H787">
        <v>0</v>
      </c>
      <c r="I787">
        <v>13</v>
      </c>
      <c r="J787" s="17">
        <v>0.65976331360946749</v>
      </c>
      <c r="K787">
        <v>38</v>
      </c>
      <c r="L787">
        <v>38</v>
      </c>
      <c r="M787" s="17">
        <v>1</v>
      </c>
      <c r="N787" s="25">
        <v>8892</v>
      </c>
      <c r="O787" s="25">
        <v>1951.25</v>
      </c>
      <c r="P787" s="25">
        <v>5700</v>
      </c>
      <c r="Q787" s="25">
        <v>16543.25</v>
      </c>
      <c r="R787" s="18">
        <v>74.18497757847534</v>
      </c>
    </row>
    <row r="788" spans="1:18" x14ac:dyDescent="0.35">
      <c r="A788" s="13">
        <v>45892</v>
      </c>
      <c r="B788">
        <v>2025</v>
      </c>
      <c r="C788">
        <v>8</v>
      </c>
      <c r="D788" t="s">
        <v>77</v>
      </c>
      <c r="E788" t="s">
        <v>79</v>
      </c>
      <c r="F788">
        <v>224</v>
      </c>
      <c r="G788">
        <v>224</v>
      </c>
      <c r="H788">
        <v>0</v>
      </c>
      <c r="I788">
        <v>12</v>
      </c>
      <c r="J788" s="17">
        <v>0.71794871794871795</v>
      </c>
      <c r="K788">
        <v>38</v>
      </c>
      <c r="L788">
        <v>37</v>
      </c>
      <c r="M788" s="17">
        <v>0.97368421052631582</v>
      </c>
      <c r="N788" s="25">
        <v>8208</v>
      </c>
      <c r="O788" s="25">
        <v>1960</v>
      </c>
      <c r="P788" s="25">
        <v>5700</v>
      </c>
      <c r="Q788" s="25">
        <v>15868</v>
      </c>
      <c r="R788" s="18">
        <v>70.839285714285708</v>
      </c>
    </row>
    <row r="789" spans="1:18" x14ac:dyDescent="0.35">
      <c r="A789" s="13">
        <v>45899</v>
      </c>
      <c r="B789">
        <v>2025</v>
      </c>
      <c r="C789">
        <v>8</v>
      </c>
      <c r="D789" t="s">
        <v>77</v>
      </c>
      <c r="E789" t="s">
        <v>79</v>
      </c>
      <c r="F789">
        <v>215</v>
      </c>
      <c r="G789">
        <v>215</v>
      </c>
      <c r="H789">
        <v>0</v>
      </c>
      <c r="I789">
        <v>11</v>
      </c>
      <c r="J789" s="17">
        <v>0.75174825174825177</v>
      </c>
      <c r="K789">
        <v>38</v>
      </c>
      <c r="L789">
        <v>37</v>
      </c>
      <c r="M789" s="17">
        <v>0.97368421052631582</v>
      </c>
      <c r="N789" s="25">
        <v>7524</v>
      </c>
      <c r="O789" s="25">
        <v>1881.25</v>
      </c>
      <c r="P789" s="25">
        <v>5700</v>
      </c>
      <c r="Q789" s="25">
        <v>15105.25</v>
      </c>
      <c r="R789" s="18">
        <v>70.256976744186048</v>
      </c>
    </row>
    <row r="790" spans="1:18" x14ac:dyDescent="0.35">
      <c r="A790" s="13">
        <v>45906</v>
      </c>
      <c r="B790">
        <v>2025</v>
      </c>
      <c r="C790">
        <v>9</v>
      </c>
      <c r="D790" t="s">
        <v>77</v>
      </c>
      <c r="E790" t="s">
        <v>79</v>
      </c>
      <c r="F790">
        <v>203</v>
      </c>
      <c r="G790">
        <v>203</v>
      </c>
      <c r="H790">
        <v>0</v>
      </c>
      <c r="I790">
        <v>11</v>
      </c>
      <c r="J790" s="17">
        <v>0.70979020979020979</v>
      </c>
      <c r="K790">
        <v>38</v>
      </c>
      <c r="L790">
        <v>38</v>
      </c>
      <c r="M790" s="17">
        <v>1</v>
      </c>
      <c r="N790" s="25">
        <v>7524</v>
      </c>
      <c r="O790" s="25">
        <v>1776.25</v>
      </c>
      <c r="P790" s="25">
        <v>5700</v>
      </c>
      <c r="Q790" s="25">
        <v>15000.25</v>
      </c>
      <c r="R790" s="18">
        <v>73.892857142857139</v>
      </c>
    </row>
    <row r="791" spans="1:18" x14ac:dyDescent="0.35">
      <c r="A791" s="13">
        <v>45913</v>
      </c>
      <c r="B791">
        <v>2025</v>
      </c>
      <c r="C791">
        <v>9</v>
      </c>
      <c r="D791" t="s">
        <v>77</v>
      </c>
      <c r="E791" t="s">
        <v>79</v>
      </c>
      <c r="F791">
        <v>194</v>
      </c>
      <c r="G791">
        <v>194</v>
      </c>
      <c r="H791">
        <v>0</v>
      </c>
      <c r="I791">
        <v>11</v>
      </c>
      <c r="J791" s="17">
        <v>0.67832167832167833</v>
      </c>
      <c r="K791">
        <v>38</v>
      </c>
      <c r="L791">
        <v>37</v>
      </c>
      <c r="M791" s="17">
        <v>0.97368421052631582</v>
      </c>
      <c r="N791" s="25">
        <v>7524</v>
      </c>
      <c r="O791" s="25">
        <v>1697.5</v>
      </c>
      <c r="P791" s="25">
        <v>5700</v>
      </c>
      <c r="Q791" s="25">
        <v>14921.5</v>
      </c>
      <c r="R791" s="18">
        <v>76.914948453608247</v>
      </c>
    </row>
    <row r="792" spans="1:18" x14ac:dyDescent="0.35">
      <c r="A792" s="13">
        <v>45920</v>
      </c>
      <c r="B792">
        <v>2025</v>
      </c>
      <c r="C792">
        <v>9</v>
      </c>
      <c r="D792" t="s">
        <v>77</v>
      </c>
      <c r="E792" t="s">
        <v>79</v>
      </c>
      <c r="F792">
        <v>197</v>
      </c>
      <c r="G792">
        <v>197</v>
      </c>
      <c r="H792">
        <v>0</v>
      </c>
      <c r="I792">
        <v>10</v>
      </c>
      <c r="J792" s="17">
        <v>0.75769230769230766</v>
      </c>
      <c r="K792">
        <v>38</v>
      </c>
      <c r="L792">
        <v>38</v>
      </c>
      <c r="M792" s="17">
        <v>1</v>
      </c>
      <c r="N792" s="25">
        <v>6840</v>
      </c>
      <c r="O792" s="25">
        <v>1723.75</v>
      </c>
      <c r="P792" s="25">
        <v>5700</v>
      </c>
      <c r="Q792" s="25">
        <v>14263.75</v>
      </c>
      <c r="R792" s="18">
        <v>72.404822335025386</v>
      </c>
    </row>
    <row r="793" spans="1:18" x14ac:dyDescent="0.35">
      <c r="A793" s="13">
        <v>45927</v>
      </c>
      <c r="B793">
        <v>2025</v>
      </c>
      <c r="C793">
        <v>9</v>
      </c>
      <c r="D793" t="s">
        <v>77</v>
      </c>
      <c r="E793" t="s">
        <v>79</v>
      </c>
      <c r="F793">
        <v>203</v>
      </c>
      <c r="G793">
        <v>203</v>
      </c>
      <c r="H793">
        <v>0</v>
      </c>
      <c r="I793">
        <v>11</v>
      </c>
      <c r="J793" s="17">
        <v>0.70979020979020979</v>
      </c>
      <c r="K793">
        <v>38</v>
      </c>
      <c r="L793">
        <v>38</v>
      </c>
      <c r="M793" s="17">
        <v>1</v>
      </c>
      <c r="N793" s="25">
        <v>7524</v>
      </c>
      <c r="O793" s="25">
        <v>1776.25</v>
      </c>
      <c r="P793" s="25">
        <v>5700</v>
      </c>
      <c r="Q793" s="25">
        <v>15000.25</v>
      </c>
      <c r="R793" s="18">
        <v>73.892857142857139</v>
      </c>
    </row>
    <row r="794" spans="1:18" x14ac:dyDescent="0.35">
      <c r="A794" s="13">
        <v>45934</v>
      </c>
      <c r="B794">
        <v>2025</v>
      </c>
      <c r="C794">
        <v>10</v>
      </c>
      <c r="D794" t="s">
        <v>77</v>
      </c>
      <c r="E794" t="s">
        <v>79</v>
      </c>
      <c r="F794">
        <v>222</v>
      </c>
      <c r="G794">
        <v>222</v>
      </c>
      <c r="H794">
        <v>0</v>
      </c>
      <c r="I794">
        <v>12</v>
      </c>
      <c r="J794" s="17">
        <v>0.71153846153846156</v>
      </c>
      <c r="K794">
        <v>38</v>
      </c>
      <c r="L794">
        <v>38</v>
      </c>
      <c r="M794" s="17">
        <v>1</v>
      </c>
      <c r="N794" s="25">
        <v>8208</v>
      </c>
      <c r="O794" s="25">
        <v>1942.5</v>
      </c>
      <c r="P794" s="25">
        <v>5700</v>
      </c>
      <c r="Q794" s="25">
        <v>15850.5</v>
      </c>
      <c r="R794" s="18">
        <v>71.398648648648646</v>
      </c>
    </row>
    <row r="795" spans="1:18" x14ac:dyDescent="0.35">
      <c r="A795" s="13">
        <v>45941</v>
      </c>
      <c r="B795">
        <v>2025</v>
      </c>
      <c r="C795">
        <v>10</v>
      </c>
      <c r="D795" t="s">
        <v>77</v>
      </c>
      <c r="E795" t="s">
        <v>79</v>
      </c>
      <c r="F795">
        <v>207</v>
      </c>
      <c r="G795">
        <v>207</v>
      </c>
      <c r="H795">
        <v>0</v>
      </c>
      <c r="I795">
        <v>11</v>
      </c>
      <c r="J795" s="17">
        <v>0.72377622377622375</v>
      </c>
      <c r="K795">
        <v>38</v>
      </c>
      <c r="L795">
        <v>35</v>
      </c>
      <c r="M795" s="17">
        <v>0.92105263157894735</v>
      </c>
      <c r="N795" s="25">
        <v>7524</v>
      </c>
      <c r="O795" s="25">
        <v>1811.25</v>
      </c>
      <c r="P795" s="25">
        <v>5700</v>
      </c>
      <c r="Q795" s="25">
        <v>15035.25</v>
      </c>
      <c r="R795" s="18">
        <v>72.634057971014499</v>
      </c>
    </row>
    <row r="796" spans="1:18" x14ac:dyDescent="0.35">
      <c r="A796" s="13">
        <v>45948</v>
      </c>
      <c r="B796">
        <v>2025</v>
      </c>
      <c r="C796">
        <v>10</v>
      </c>
      <c r="D796" t="s">
        <v>77</v>
      </c>
      <c r="E796" t="s">
        <v>79</v>
      </c>
      <c r="F796">
        <v>231</v>
      </c>
      <c r="G796">
        <v>231</v>
      </c>
      <c r="H796">
        <v>0</v>
      </c>
      <c r="I796">
        <v>13</v>
      </c>
      <c r="J796" s="17">
        <v>0.68343195266272194</v>
      </c>
      <c r="K796">
        <v>38</v>
      </c>
      <c r="L796">
        <v>34</v>
      </c>
      <c r="M796" s="17">
        <v>0.89473684210526316</v>
      </c>
      <c r="N796" s="25">
        <v>8892</v>
      </c>
      <c r="O796" s="25">
        <v>2021.25</v>
      </c>
      <c r="P796" s="25">
        <v>5700</v>
      </c>
      <c r="Q796" s="25">
        <v>16613.25</v>
      </c>
      <c r="R796" s="18">
        <v>71.918831168831176</v>
      </c>
    </row>
    <row r="797" spans="1:18" x14ac:dyDescent="0.35">
      <c r="A797" s="13">
        <v>45955</v>
      </c>
      <c r="B797">
        <v>2025</v>
      </c>
      <c r="C797">
        <v>10</v>
      </c>
      <c r="D797" t="s">
        <v>77</v>
      </c>
      <c r="E797" t="s">
        <v>79</v>
      </c>
      <c r="F797">
        <v>235</v>
      </c>
      <c r="G797">
        <v>235</v>
      </c>
      <c r="H797">
        <v>0</v>
      </c>
      <c r="I797">
        <v>13</v>
      </c>
      <c r="J797" s="17">
        <v>0.69526627218934911</v>
      </c>
      <c r="K797">
        <v>38</v>
      </c>
      <c r="L797">
        <v>37</v>
      </c>
      <c r="M797" s="17">
        <v>0.97368421052631582</v>
      </c>
      <c r="N797" s="25">
        <v>8892</v>
      </c>
      <c r="O797" s="25">
        <v>2056.25</v>
      </c>
      <c r="P797" s="25">
        <v>5700</v>
      </c>
      <c r="Q797" s="25">
        <v>16648.25</v>
      </c>
      <c r="R797" s="18">
        <v>70.8436170212766</v>
      </c>
    </row>
    <row r="798" spans="1:18" x14ac:dyDescent="0.35">
      <c r="A798" s="13">
        <v>45962</v>
      </c>
      <c r="B798">
        <v>2025</v>
      </c>
      <c r="C798">
        <v>11</v>
      </c>
      <c r="D798" t="s">
        <v>77</v>
      </c>
      <c r="E798" t="s">
        <v>79</v>
      </c>
      <c r="F798">
        <v>241</v>
      </c>
      <c r="G798">
        <v>241</v>
      </c>
      <c r="H798">
        <v>0</v>
      </c>
      <c r="I798">
        <v>12</v>
      </c>
      <c r="J798" s="17">
        <v>0.77243589743589747</v>
      </c>
      <c r="K798">
        <v>38</v>
      </c>
      <c r="L798">
        <v>38</v>
      </c>
      <c r="M798" s="17">
        <v>1</v>
      </c>
      <c r="N798" s="25">
        <v>8208</v>
      </c>
      <c r="O798" s="25">
        <v>2108.75</v>
      </c>
      <c r="P798" s="25">
        <v>5700</v>
      </c>
      <c r="Q798" s="25">
        <v>16016.75</v>
      </c>
      <c r="R798" s="18">
        <v>66.459543568464724</v>
      </c>
    </row>
    <row r="799" spans="1:18" x14ac:dyDescent="0.35">
      <c r="A799" s="13">
        <v>45969</v>
      </c>
      <c r="B799">
        <v>2025</v>
      </c>
      <c r="C799">
        <v>11</v>
      </c>
      <c r="D799" t="s">
        <v>77</v>
      </c>
      <c r="E799" t="s">
        <v>79</v>
      </c>
      <c r="F799">
        <v>258</v>
      </c>
      <c r="G799">
        <v>257</v>
      </c>
      <c r="H799">
        <v>1</v>
      </c>
      <c r="I799">
        <v>13</v>
      </c>
      <c r="J799" s="17">
        <v>0.76035502958579881</v>
      </c>
      <c r="K799">
        <v>38</v>
      </c>
      <c r="L799">
        <v>38</v>
      </c>
      <c r="M799" s="17">
        <v>1</v>
      </c>
      <c r="N799" s="25">
        <v>8892</v>
      </c>
      <c r="O799" s="25">
        <v>2248.75</v>
      </c>
      <c r="P799" s="25">
        <v>5700</v>
      </c>
      <c r="Q799" s="25">
        <v>16840.75</v>
      </c>
      <c r="R799" s="18">
        <v>65.528210116731515</v>
      </c>
    </row>
    <row r="800" spans="1:18" x14ac:dyDescent="0.35">
      <c r="A800" s="13">
        <v>45976</v>
      </c>
      <c r="B800">
        <v>2025</v>
      </c>
      <c r="C800">
        <v>11</v>
      </c>
      <c r="D800" t="s">
        <v>77</v>
      </c>
      <c r="E800" t="s">
        <v>79</v>
      </c>
      <c r="F800">
        <v>273</v>
      </c>
      <c r="G800">
        <v>272</v>
      </c>
      <c r="H800">
        <v>2</v>
      </c>
      <c r="I800">
        <v>13</v>
      </c>
      <c r="J800" s="17">
        <v>0.80473372781065089</v>
      </c>
      <c r="K800">
        <v>38</v>
      </c>
      <c r="L800">
        <v>37</v>
      </c>
      <c r="M800" s="17">
        <v>0.97368421052631582</v>
      </c>
      <c r="N800" s="25">
        <v>8892</v>
      </c>
      <c r="O800" s="25">
        <v>2380</v>
      </c>
      <c r="P800" s="25">
        <v>5700</v>
      </c>
      <c r="Q800" s="25">
        <v>16972</v>
      </c>
      <c r="R800" s="18">
        <v>62.397058823529413</v>
      </c>
    </row>
    <row r="801" spans="1:18" x14ac:dyDescent="0.35">
      <c r="A801" s="13">
        <v>45983</v>
      </c>
      <c r="B801">
        <v>2025</v>
      </c>
      <c r="C801">
        <v>11</v>
      </c>
      <c r="D801" t="s">
        <v>77</v>
      </c>
      <c r="E801" t="s">
        <v>79</v>
      </c>
      <c r="F801">
        <v>294</v>
      </c>
      <c r="G801">
        <v>282</v>
      </c>
      <c r="H801">
        <v>14</v>
      </c>
      <c r="I801">
        <v>13</v>
      </c>
      <c r="J801" s="17">
        <v>0.83431952662721898</v>
      </c>
      <c r="K801">
        <v>38</v>
      </c>
      <c r="L801">
        <v>37</v>
      </c>
      <c r="M801" s="17">
        <v>0.97368421052631582</v>
      </c>
      <c r="N801" s="25">
        <v>8892</v>
      </c>
      <c r="O801" s="25">
        <v>2467.5</v>
      </c>
      <c r="P801" s="25">
        <v>5700</v>
      </c>
      <c r="Q801" s="25">
        <v>17059.5</v>
      </c>
      <c r="R801" s="18">
        <v>60.494680851063833</v>
      </c>
    </row>
    <row r="802" spans="1:18" x14ac:dyDescent="0.35">
      <c r="A802" s="13">
        <v>45990</v>
      </c>
      <c r="B802">
        <v>2025</v>
      </c>
      <c r="C802">
        <v>11</v>
      </c>
      <c r="D802" t="s">
        <v>77</v>
      </c>
      <c r="E802" t="s">
        <v>79</v>
      </c>
      <c r="F802">
        <v>311</v>
      </c>
      <c r="G802">
        <v>293</v>
      </c>
      <c r="H802">
        <v>32</v>
      </c>
      <c r="I802">
        <v>13</v>
      </c>
      <c r="J802" s="17">
        <v>0.86686390532544377</v>
      </c>
      <c r="K802">
        <v>38</v>
      </c>
      <c r="L802">
        <v>38</v>
      </c>
      <c r="M802" s="17">
        <v>1</v>
      </c>
      <c r="N802" s="25">
        <v>8892</v>
      </c>
      <c r="O802" s="25">
        <v>2563.75</v>
      </c>
      <c r="P802" s="25">
        <v>5700</v>
      </c>
      <c r="Q802" s="25">
        <v>17155.75</v>
      </c>
      <c r="R802" s="18">
        <v>58.552047781569968</v>
      </c>
    </row>
    <row r="803" spans="1:18" x14ac:dyDescent="0.35">
      <c r="A803" s="13">
        <v>45997</v>
      </c>
      <c r="B803">
        <v>2025</v>
      </c>
      <c r="C803">
        <v>12</v>
      </c>
      <c r="D803" t="s">
        <v>77</v>
      </c>
      <c r="E803" t="s">
        <v>79</v>
      </c>
      <c r="F803">
        <v>329</v>
      </c>
      <c r="G803">
        <v>298</v>
      </c>
      <c r="H803">
        <v>63</v>
      </c>
      <c r="I803">
        <v>14</v>
      </c>
      <c r="J803" s="17">
        <v>0.81868131868131866</v>
      </c>
      <c r="K803">
        <v>38</v>
      </c>
      <c r="L803">
        <v>35</v>
      </c>
      <c r="M803" s="17">
        <v>0.92105263157894735</v>
      </c>
      <c r="N803" s="25">
        <v>9576</v>
      </c>
      <c r="O803" s="25">
        <v>2607.5</v>
      </c>
      <c r="P803" s="25">
        <v>5700</v>
      </c>
      <c r="Q803" s="25">
        <v>17883.5</v>
      </c>
      <c r="R803" s="18">
        <v>60.011744966442947</v>
      </c>
    </row>
    <row r="804" spans="1:18" x14ac:dyDescent="0.35">
      <c r="A804" s="13">
        <v>46004</v>
      </c>
      <c r="B804">
        <v>2025</v>
      </c>
      <c r="C804">
        <v>12</v>
      </c>
      <c r="D804" t="s">
        <v>77</v>
      </c>
      <c r="E804" t="s">
        <v>79</v>
      </c>
      <c r="F804">
        <v>332</v>
      </c>
      <c r="G804">
        <v>299</v>
      </c>
      <c r="H804">
        <v>96</v>
      </c>
      <c r="I804">
        <v>14</v>
      </c>
      <c r="J804" s="17">
        <v>0.8214285714285714</v>
      </c>
      <c r="K804">
        <v>38</v>
      </c>
      <c r="L804">
        <v>36</v>
      </c>
      <c r="M804" s="17">
        <v>0.94736842105263153</v>
      </c>
      <c r="N804" s="25">
        <v>9576</v>
      </c>
      <c r="O804" s="25">
        <v>2616.25</v>
      </c>
      <c r="P804" s="25">
        <v>5700</v>
      </c>
      <c r="Q804" s="25">
        <v>17892.25</v>
      </c>
      <c r="R804" s="18">
        <v>59.840301003344479</v>
      </c>
    </row>
    <row r="805" spans="1:18" x14ac:dyDescent="0.35">
      <c r="A805" s="13">
        <v>46011</v>
      </c>
      <c r="B805">
        <v>2025</v>
      </c>
      <c r="C805">
        <v>12</v>
      </c>
      <c r="D805" t="s">
        <v>77</v>
      </c>
      <c r="E805" t="s">
        <v>79</v>
      </c>
      <c r="F805">
        <v>306</v>
      </c>
      <c r="G805">
        <v>292</v>
      </c>
      <c r="H805">
        <v>110</v>
      </c>
      <c r="I805">
        <v>14</v>
      </c>
      <c r="J805" s="17">
        <v>0.80219780219780223</v>
      </c>
      <c r="K805">
        <v>38</v>
      </c>
      <c r="L805">
        <v>37</v>
      </c>
      <c r="M805" s="17">
        <v>0.97368421052631582</v>
      </c>
      <c r="N805" s="25">
        <v>9576</v>
      </c>
      <c r="O805" s="25">
        <v>2555</v>
      </c>
      <c r="P805" s="25">
        <v>5700</v>
      </c>
      <c r="Q805" s="25">
        <v>17831</v>
      </c>
      <c r="R805" s="18">
        <v>61.065068493150683</v>
      </c>
    </row>
    <row r="806" spans="1:18" x14ac:dyDescent="0.35">
      <c r="A806" s="13">
        <v>46018</v>
      </c>
      <c r="B806">
        <v>2025</v>
      </c>
      <c r="C806">
        <v>12</v>
      </c>
      <c r="D806" t="s">
        <v>77</v>
      </c>
      <c r="E806" t="s">
        <v>79</v>
      </c>
      <c r="F806">
        <v>256</v>
      </c>
      <c r="G806">
        <v>288</v>
      </c>
      <c r="H806">
        <v>78</v>
      </c>
      <c r="I806">
        <v>13</v>
      </c>
      <c r="J806" s="17">
        <v>0.85207100591715978</v>
      </c>
      <c r="K806">
        <v>38</v>
      </c>
      <c r="L806">
        <v>37</v>
      </c>
      <c r="M806" s="17">
        <v>0.97368421052631582</v>
      </c>
      <c r="N806" s="25">
        <v>8892</v>
      </c>
      <c r="O806" s="25">
        <v>2520</v>
      </c>
      <c r="P806" s="25">
        <v>5700</v>
      </c>
      <c r="Q806" s="25">
        <v>17112</v>
      </c>
      <c r="R806" s="18">
        <v>59.416666666666657</v>
      </c>
    </row>
    <row r="807" spans="1:18" x14ac:dyDescent="0.35">
      <c r="A807" s="13">
        <v>46025</v>
      </c>
      <c r="B807">
        <v>2026</v>
      </c>
      <c r="C807">
        <v>1</v>
      </c>
      <c r="D807" t="s">
        <v>77</v>
      </c>
      <c r="E807" t="s">
        <v>79</v>
      </c>
      <c r="F807">
        <v>217</v>
      </c>
      <c r="G807">
        <v>260</v>
      </c>
      <c r="H807">
        <v>35</v>
      </c>
      <c r="I807">
        <v>13</v>
      </c>
      <c r="J807" s="17">
        <v>0.76923076923076927</v>
      </c>
      <c r="K807">
        <v>38</v>
      </c>
      <c r="L807">
        <v>36</v>
      </c>
      <c r="M807" s="17">
        <v>0.94736842105263153</v>
      </c>
      <c r="N807" s="25">
        <v>8892</v>
      </c>
      <c r="O807" s="25">
        <v>2275</v>
      </c>
      <c r="P807" s="25">
        <v>5700</v>
      </c>
      <c r="Q807" s="25">
        <v>16867</v>
      </c>
      <c r="R807" s="18">
        <v>64.873076923076923</v>
      </c>
    </row>
    <row r="808" spans="1:18" x14ac:dyDescent="0.35">
      <c r="A808" s="13">
        <v>46032</v>
      </c>
      <c r="B808">
        <v>2026</v>
      </c>
      <c r="C808">
        <v>1</v>
      </c>
      <c r="D808" t="s">
        <v>77</v>
      </c>
      <c r="E808" t="s">
        <v>79</v>
      </c>
      <c r="F808">
        <v>178</v>
      </c>
      <c r="G808">
        <v>210</v>
      </c>
      <c r="H808">
        <v>3</v>
      </c>
      <c r="I808">
        <v>11</v>
      </c>
      <c r="J808" s="17">
        <v>0.73426573426573427</v>
      </c>
      <c r="K808">
        <v>38</v>
      </c>
      <c r="L808">
        <v>36</v>
      </c>
      <c r="M808" s="17">
        <v>0.94736842105263153</v>
      </c>
      <c r="N808" s="25">
        <v>7524</v>
      </c>
      <c r="O808" s="25">
        <v>1837.5</v>
      </c>
      <c r="P808" s="25">
        <v>5700</v>
      </c>
      <c r="Q808" s="25">
        <v>15061.5</v>
      </c>
      <c r="R808" s="18">
        <v>71.721428571428575</v>
      </c>
    </row>
    <row r="809" spans="1:18" x14ac:dyDescent="0.35">
      <c r="A809" s="13">
        <v>46039</v>
      </c>
      <c r="B809">
        <v>2026</v>
      </c>
      <c r="C809">
        <v>1</v>
      </c>
      <c r="D809" t="s">
        <v>77</v>
      </c>
      <c r="E809" t="s">
        <v>79</v>
      </c>
      <c r="F809">
        <v>171</v>
      </c>
      <c r="G809">
        <v>174</v>
      </c>
      <c r="H809">
        <v>0</v>
      </c>
      <c r="I809">
        <v>10</v>
      </c>
      <c r="J809" s="17">
        <v>0.66923076923076918</v>
      </c>
      <c r="K809">
        <v>38</v>
      </c>
      <c r="L809">
        <v>37</v>
      </c>
      <c r="M809" s="17">
        <v>0.97368421052631582</v>
      </c>
      <c r="N809" s="25">
        <v>6840</v>
      </c>
      <c r="O809" s="25">
        <v>1522.5</v>
      </c>
      <c r="P809" s="25">
        <v>5700</v>
      </c>
      <c r="Q809" s="25">
        <v>14062.5</v>
      </c>
      <c r="R809" s="18">
        <v>80.818965517241381</v>
      </c>
    </row>
    <row r="810" spans="1:18" x14ac:dyDescent="0.35">
      <c r="A810" s="13">
        <v>46046</v>
      </c>
      <c r="B810">
        <v>2026</v>
      </c>
      <c r="C810">
        <v>1</v>
      </c>
      <c r="D810" t="s">
        <v>77</v>
      </c>
      <c r="E810" t="s">
        <v>79</v>
      </c>
      <c r="F810">
        <v>190</v>
      </c>
      <c r="G810">
        <v>190</v>
      </c>
      <c r="H810">
        <v>0</v>
      </c>
      <c r="I810">
        <v>10</v>
      </c>
      <c r="J810" s="17">
        <v>0.73076923076923073</v>
      </c>
      <c r="K810">
        <v>38</v>
      </c>
      <c r="L810">
        <v>36</v>
      </c>
      <c r="M810" s="17">
        <v>0.94736842105263153</v>
      </c>
      <c r="N810" s="25">
        <v>6840</v>
      </c>
      <c r="O810" s="25">
        <v>1662.5</v>
      </c>
      <c r="P810" s="25">
        <v>5700</v>
      </c>
      <c r="Q810" s="25">
        <v>14202.5</v>
      </c>
      <c r="R810" s="18">
        <v>74.75</v>
      </c>
    </row>
    <row r="811" spans="1:18" x14ac:dyDescent="0.35">
      <c r="A811" s="13">
        <v>46053</v>
      </c>
      <c r="B811">
        <v>2026</v>
      </c>
      <c r="C811">
        <v>1</v>
      </c>
      <c r="D811" t="s">
        <v>77</v>
      </c>
      <c r="E811" t="s">
        <v>79</v>
      </c>
      <c r="F811">
        <v>178</v>
      </c>
      <c r="G811">
        <v>178</v>
      </c>
      <c r="H811">
        <v>0</v>
      </c>
      <c r="I811">
        <v>10</v>
      </c>
      <c r="J811" s="17">
        <v>0.68461538461538463</v>
      </c>
      <c r="K811">
        <v>38</v>
      </c>
      <c r="L811">
        <v>36</v>
      </c>
      <c r="M811" s="17">
        <v>0.94736842105263153</v>
      </c>
      <c r="N811" s="25">
        <v>6840</v>
      </c>
      <c r="O811" s="25">
        <v>1557.5</v>
      </c>
      <c r="P811" s="25">
        <v>5700</v>
      </c>
      <c r="Q811" s="25">
        <v>14097.5</v>
      </c>
      <c r="R811" s="18">
        <v>79.199438202247194</v>
      </c>
    </row>
    <row r="812" spans="1:18" x14ac:dyDescent="0.35">
      <c r="A812" s="13">
        <v>46060</v>
      </c>
      <c r="B812">
        <v>2026</v>
      </c>
      <c r="C812">
        <v>2</v>
      </c>
      <c r="D812" t="s">
        <v>77</v>
      </c>
      <c r="E812" t="s">
        <v>79</v>
      </c>
      <c r="F812">
        <v>198</v>
      </c>
      <c r="G812">
        <v>198</v>
      </c>
      <c r="H812">
        <v>0</v>
      </c>
      <c r="I812">
        <v>11</v>
      </c>
      <c r="J812" s="17">
        <v>0.69230769230769229</v>
      </c>
      <c r="K812">
        <v>38</v>
      </c>
      <c r="L812">
        <v>36</v>
      </c>
      <c r="M812" s="17">
        <v>0.94736842105263153</v>
      </c>
      <c r="N812" s="25">
        <v>7524</v>
      </c>
      <c r="O812" s="25">
        <v>1732.5</v>
      </c>
      <c r="P812" s="25">
        <v>5700</v>
      </c>
      <c r="Q812" s="25">
        <v>14956.5</v>
      </c>
      <c r="R812" s="18">
        <v>75.537878787878782</v>
      </c>
    </row>
    <row r="813" spans="1:18" x14ac:dyDescent="0.35">
      <c r="A813" s="13">
        <v>46067</v>
      </c>
      <c r="B813">
        <v>2026</v>
      </c>
      <c r="C813">
        <v>2</v>
      </c>
      <c r="D813" t="s">
        <v>77</v>
      </c>
      <c r="E813" t="s">
        <v>79</v>
      </c>
      <c r="F813">
        <v>204</v>
      </c>
      <c r="G813">
        <v>204</v>
      </c>
      <c r="H813">
        <v>0</v>
      </c>
      <c r="I813">
        <v>11</v>
      </c>
      <c r="J813" s="17">
        <v>0.71328671328671334</v>
      </c>
      <c r="K813">
        <v>38</v>
      </c>
      <c r="L813">
        <v>38</v>
      </c>
      <c r="M813" s="17">
        <v>1</v>
      </c>
      <c r="N813" s="25">
        <v>7524</v>
      </c>
      <c r="O813" s="25">
        <v>1785</v>
      </c>
      <c r="P813" s="25">
        <v>5700</v>
      </c>
      <c r="Q813" s="25">
        <v>15009</v>
      </c>
      <c r="R813" s="18">
        <v>73.57352941176471</v>
      </c>
    </row>
    <row r="814" spans="1:18" x14ac:dyDescent="0.35">
      <c r="A814" s="13">
        <v>46074</v>
      </c>
      <c r="B814">
        <v>2026</v>
      </c>
      <c r="C814">
        <v>2</v>
      </c>
      <c r="D814" t="s">
        <v>77</v>
      </c>
      <c r="E814" t="s">
        <v>79</v>
      </c>
      <c r="F814">
        <v>208</v>
      </c>
      <c r="G814">
        <v>208</v>
      </c>
      <c r="H814">
        <v>0</v>
      </c>
      <c r="I814">
        <v>10</v>
      </c>
      <c r="J814" s="17">
        <v>0.8</v>
      </c>
      <c r="K814">
        <v>38</v>
      </c>
      <c r="L814">
        <v>38</v>
      </c>
      <c r="M814" s="17">
        <v>1</v>
      </c>
      <c r="N814" s="25">
        <v>6840</v>
      </c>
      <c r="O814" s="25">
        <v>1820</v>
      </c>
      <c r="P814" s="25">
        <v>5700</v>
      </c>
      <c r="Q814" s="25">
        <v>14360</v>
      </c>
      <c r="R814" s="18">
        <v>69.038461538461533</v>
      </c>
    </row>
    <row r="815" spans="1:18" x14ac:dyDescent="0.35">
      <c r="A815" s="13">
        <v>46081</v>
      </c>
      <c r="B815">
        <v>2026</v>
      </c>
      <c r="C815">
        <v>2</v>
      </c>
      <c r="D815" t="s">
        <v>77</v>
      </c>
      <c r="E815" t="s">
        <v>79</v>
      </c>
      <c r="F815">
        <v>204</v>
      </c>
      <c r="G815">
        <v>204</v>
      </c>
      <c r="H815">
        <v>0</v>
      </c>
      <c r="I815">
        <v>11</v>
      </c>
      <c r="J815" s="17">
        <v>0.71328671328671334</v>
      </c>
      <c r="K815">
        <v>38</v>
      </c>
      <c r="L815">
        <v>36</v>
      </c>
      <c r="M815" s="17">
        <v>0.94736842105263153</v>
      </c>
      <c r="N815" s="25">
        <v>7524</v>
      </c>
      <c r="O815" s="25">
        <v>1785</v>
      </c>
      <c r="P815" s="25">
        <v>5700</v>
      </c>
      <c r="Q815" s="25">
        <v>15009</v>
      </c>
      <c r="R815" s="18">
        <v>73.57352941176471</v>
      </c>
    </row>
    <row r="816" spans="1:18" x14ac:dyDescent="0.35">
      <c r="A816" s="13">
        <v>46088</v>
      </c>
      <c r="B816">
        <v>2026</v>
      </c>
      <c r="C816">
        <v>3</v>
      </c>
      <c r="D816" t="s">
        <v>77</v>
      </c>
      <c r="E816" t="s">
        <v>79</v>
      </c>
      <c r="F816">
        <v>218</v>
      </c>
      <c r="G816">
        <v>218</v>
      </c>
      <c r="H816">
        <v>0</v>
      </c>
      <c r="I816">
        <v>11</v>
      </c>
      <c r="J816" s="17">
        <v>0.76223776223776218</v>
      </c>
      <c r="K816">
        <v>38</v>
      </c>
      <c r="L816">
        <v>37</v>
      </c>
      <c r="M816" s="17">
        <v>0.97368421052631582</v>
      </c>
      <c r="N816" s="25">
        <v>7524</v>
      </c>
      <c r="O816" s="25">
        <v>1907.5</v>
      </c>
      <c r="P816" s="25">
        <v>5700</v>
      </c>
      <c r="Q816" s="25">
        <v>15131.5</v>
      </c>
      <c r="R816" s="18">
        <v>69.410550458715591</v>
      </c>
    </row>
    <row r="817" spans="1:18" x14ac:dyDescent="0.35">
      <c r="A817" s="13">
        <v>46095</v>
      </c>
      <c r="B817">
        <v>2026</v>
      </c>
      <c r="C817">
        <v>3</v>
      </c>
      <c r="D817" t="s">
        <v>77</v>
      </c>
      <c r="E817" t="s">
        <v>79</v>
      </c>
      <c r="F817">
        <v>224</v>
      </c>
      <c r="G817">
        <v>224</v>
      </c>
      <c r="H817">
        <v>0</v>
      </c>
      <c r="I817">
        <v>13</v>
      </c>
      <c r="J817" s="17">
        <v>0.66272189349112431</v>
      </c>
      <c r="K817">
        <v>38</v>
      </c>
      <c r="L817">
        <v>38</v>
      </c>
      <c r="M817" s="17">
        <v>1</v>
      </c>
      <c r="N817" s="25">
        <v>8892</v>
      </c>
      <c r="O817" s="25">
        <v>1960</v>
      </c>
      <c r="P817" s="25">
        <v>5700</v>
      </c>
      <c r="Q817" s="25">
        <v>16552</v>
      </c>
      <c r="R817" s="18">
        <v>73.892857142857139</v>
      </c>
    </row>
    <row r="818" spans="1:18" x14ac:dyDescent="0.35">
      <c r="A818" s="13">
        <v>46102</v>
      </c>
      <c r="B818">
        <v>2026</v>
      </c>
      <c r="C818">
        <v>3</v>
      </c>
      <c r="D818" t="s">
        <v>77</v>
      </c>
      <c r="E818" t="s">
        <v>79</v>
      </c>
      <c r="F818">
        <v>230</v>
      </c>
      <c r="G818">
        <v>230</v>
      </c>
      <c r="H818">
        <v>0</v>
      </c>
      <c r="I818">
        <v>11</v>
      </c>
      <c r="J818" s="17">
        <v>0.80419580419580416</v>
      </c>
      <c r="K818">
        <v>38</v>
      </c>
      <c r="L818">
        <v>38</v>
      </c>
      <c r="M818" s="17">
        <v>1</v>
      </c>
      <c r="N818" s="25">
        <v>7524</v>
      </c>
      <c r="O818" s="25">
        <v>2012.5</v>
      </c>
      <c r="P818" s="25">
        <v>5700</v>
      </c>
      <c r="Q818" s="25">
        <v>15236.5</v>
      </c>
      <c r="R818" s="18">
        <v>66.245652173913044</v>
      </c>
    </row>
    <row r="819" spans="1:18" x14ac:dyDescent="0.35">
      <c r="A819" s="13">
        <v>46109</v>
      </c>
      <c r="B819">
        <v>2026</v>
      </c>
      <c r="C819">
        <v>3</v>
      </c>
      <c r="D819" t="s">
        <v>77</v>
      </c>
      <c r="E819" t="s">
        <v>79</v>
      </c>
      <c r="F819">
        <v>224</v>
      </c>
      <c r="G819">
        <v>224</v>
      </c>
      <c r="H819">
        <v>0</v>
      </c>
      <c r="I819">
        <v>12</v>
      </c>
      <c r="J819" s="17">
        <v>0.71794871794871795</v>
      </c>
      <c r="K819">
        <v>38</v>
      </c>
      <c r="L819">
        <v>35</v>
      </c>
      <c r="M819" s="17">
        <v>0.92105263157894735</v>
      </c>
      <c r="N819" s="25">
        <v>8208</v>
      </c>
      <c r="O819" s="25">
        <v>1960</v>
      </c>
      <c r="P819" s="25">
        <v>5700</v>
      </c>
      <c r="Q819" s="25">
        <v>15868</v>
      </c>
      <c r="R819" s="18">
        <v>70.839285714285708</v>
      </c>
    </row>
    <row r="820" spans="1:18" x14ac:dyDescent="0.35">
      <c r="A820" s="13">
        <v>46116</v>
      </c>
      <c r="B820">
        <v>2026</v>
      </c>
      <c r="C820">
        <v>4</v>
      </c>
      <c r="D820" t="s">
        <v>77</v>
      </c>
      <c r="E820" t="s">
        <v>79</v>
      </c>
      <c r="F820">
        <v>218</v>
      </c>
      <c r="G820">
        <v>218</v>
      </c>
      <c r="H820">
        <v>0</v>
      </c>
      <c r="I820">
        <v>11</v>
      </c>
      <c r="J820" s="17">
        <v>0.76223776223776218</v>
      </c>
      <c r="K820">
        <v>38</v>
      </c>
      <c r="L820">
        <v>37</v>
      </c>
      <c r="M820" s="17">
        <v>0.97368421052631582</v>
      </c>
      <c r="N820" s="25">
        <v>7524</v>
      </c>
      <c r="O820" s="25">
        <v>1907.5</v>
      </c>
      <c r="P820" s="25">
        <v>5700</v>
      </c>
      <c r="Q820" s="25">
        <v>15131.5</v>
      </c>
      <c r="R820" s="18">
        <v>69.410550458715591</v>
      </c>
    </row>
    <row r="821" spans="1:18" x14ac:dyDescent="0.35">
      <c r="A821" s="13">
        <v>46123</v>
      </c>
      <c r="B821">
        <v>2026</v>
      </c>
      <c r="C821">
        <v>4</v>
      </c>
      <c r="D821" t="s">
        <v>77</v>
      </c>
      <c r="E821" t="s">
        <v>79</v>
      </c>
      <c r="F821">
        <v>232</v>
      </c>
      <c r="G821">
        <v>232</v>
      </c>
      <c r="H821">
        <v>0</v>
      </c>
      <c r="I821">
        <v>12</v>
      </c>
      <c r="J821" s="17">
        <v>0.74358974358974361</v>
      </c>
      <c r="K821">
        <v>38</v>
      </c>
      <c r="L821">
        <v>38</v>
      </c>
      <c r="M821" s="17">
        <v>1</v>
      </c>
      <c r="N821" s="25">
        <v>8208</v>
      </c>
      <c r="O821" s="25">
        <v>2030</v>
      </c>
      <c r="P821" s="25">
        <v>5700</v>
      </c>
      <c r="Q821" s="25">
        <v>15938</v>
      </c>
      <c r="R821" s="18">
        <v>68.698275862068968</v>
      </c>
    </row>
    <row r="822" spans="1:18" x14ac:dyDescent="0.35">
      <c r="A822" s="13">
        <v>46130</v>
      </c>
      <c r="B822">
        <v>2026</v>
      </c>
      <c r="C822">
        <v>4</v>
      </c>
      <c r="D822" t="s">
        <v>77</v>
      </c>
      <c r="E822" t="s">
        <v>79</v>
      </c>
      <c r="F822">
        <v>226</v>
      </c>
      <c r="G822">
        <v>226</v>
      </c>
      <c r="H822">
        <v>0</v>
      </c>
      <c r="I822">
        <v>12</v>
      </c>
      <c r="J822" s="17">
        <v>0.72435897435897434</v>
      </c>
      <c r="K822">
        <v>38</v>
      </c>
      <c r="L822">
        <v>38</v>
      </c>
      <c r="M822" s="17">
        <v>1</v>
      </c>
      <c r="N822" s="25">
        <v>8208</v>
      </c>
      <c r="O822" s="25">
        <v>1977.5</v>
      </c>
      <c r="P822" s="25">
        <v>5700</v>
      </c>
      <c r="Q822" s="25">
        <v>15885.5</v>
      </c>
      <c r="R822" s="18">
        <v>70.289823008849552</v>
      </c>
    </row>
    <row r="823" spans="1:18" x14ac:dyDescent="0.35">
      <c r="A823" s="13">
        <v>46137</v>
      </c>
      <c r="B823">
        <v>2026</v>
      </c>
      <c r="C823">
        <v>4</v>
      </c>
      <c r="D823" t="s">
        <v>77</v>
      </c>
      <c r="E823" t="s">
        <v>79</v>
      </c>
      <c r="F823">
        <v>231</v>
      </c>
      <c r="G823">
        <v>231</v>
      </c>
      <c r="H823">
        <v>0</v>
      </c>
      <c r="I823">
        <v>12</v>
      </c>
      <c r="J823" s="17">
        <v>0.74038461538461542</v>
      </c>
      <c r="K823">
        <v>38</v>
      </c>
      <c r="L823">
        <v>37</v>
      </c>
      <c r="M823" s="17">
        <v>0.97368421052631582</v>
      </c>
      <c r="N823" s="25">
        <v>8208</v>
      </c>
      <c r="O823" s="25">
        <v>2021.25</v>
      </c>
      <c r="P823" s="25">
        <v>5700</v>
      </c>
      <c r="Q823" s="25">
        <v>15929.25</v>
      </c>
      <c r="R823" s="18">
        <v>68.95779220779221</v>
      </c>
    </row>
    <row r="824" spans="1:18" x14ac:dyDescent="0.35">
      <c r="A824" s="13">
        <v>46144</v>
      </c>
      <c r="B824">
        <v>2026</v>
      </c>
      <c r="C824">
        <v>5</v>
      </c>
      <c r="D824" t="s">
        <v>77</v>
      </c>
      <c r="E824" t="s">
        <v>79</v>
      </c>
      <c r="F824">
        <v>233</v>
      </c>
      <c r="G824">
        <v>233</v>
      </c>
      <c r="H824">
        <v>0</v>
      </c>
      <c r="I824">
        <v>13</v>
      </c>
      <c r="J824" s="17">
        <v>0.68934911242603547</v>
      </c>
      <c r="K824">
        <v>38</v>
      </c>
      <c r="L824">
        <v>37</v>
      </c>
      <c r="M824" s="17">
        <v>0.97368421052631582</v>
      </c>
      <c r="N824" s="25">
        <v>8892</v>
      </c>
      <c r="O824" s="25">
        <v>2038.75</v>
      </c>
      <c r="P824" s="25">
        <v>5700</v>
      </c>
      <c r="Q824" s="25">
        <v>16630.75</v>
      </c>
      <c r="R824" s="18">
        <v>71.376609442060087</v>
      </c>
    </row>
    <row r="825" spans="1:18" x14ac:dyDescent="0.35">
      <c r="A825" s="13">
        <v>46151</v>
      </c>
      <c r="B825">
        <v>2026</v>
      </c>
      <c r="C825">
        <v>5</v>
      </c>
      <c r="D825" t="s">
        <v>77</v>
      </c>
      <c r="E825" t="s">
        <v>79</v>
      </c>
      <c r="F825">
        <v>238</v>
      </c>
      <c r="G825">
        <v>238</v>
      </c>
      <c r="H825">
        <v>0</v>
      </c>
      <c r="I825">
        <v>12</v>
      </c>
      <c r="J825" s="17">
        <v>0.76282051282051277</v>
      </c>
      <c r="K825">
        <v>38</v>
      </c>
      <c r="L825">
        <v>38</v>
      </c>
      <c r="M825" s="17">
        <v>1</v>
      </c>
      <c r="N825" s="25">
        <v>8208</v>
      </c>
      <c r="O825" s="25">
        <v>2082.5</v>
      </c>
      <c r="P825" s="25">
        <v>5700</v>
      </c>
      <c r="Q825" s="25">
        <v>15990.5</v>
      </c>
      <c r="R825" s="18">
        <v>67.186974789915965</v>
      </c>
    </row>
    <row r="826" spans="1:18" x14ac:dyDescent="0.35">
      <c r="A826" s="13">
        <v>46158</v>
      </c>
      <c r="B826">
        <v>2026</v>
      </c>
      <c r="C826">
        <v>5</v>
      </c>
      <c r="D826" t="s">
        <v>77</v>
      </c>
      <c r="E826" t="s">
        <v>79</v>
      </c>
      <c r="F826">
        <v>249</v>
      </c>
      <c r="G826">
        <v>248</v>
      </c>
      <c r="H826">
        <v>1</v>
      </c>
      <c r="I826">
        <v>13</v>
      </c>
      <c r="J826" s="17">
        <v>0.73372781065088755</v>
      </c>
      <c r="K826">
        <v>38</v>
      </c>
      <c r="L826">
        <v>38</v>
      </c>
      <c r="M826" s="17">
        <v>1</v>
      </c>
      <c r="N826" s="25">
        <v>8892</v>
      </c>
      <c r="O826" s="25">
        <v>2170</v>
      </c>
      <c r="P826" s="25">
        <v>5700</v>
      </c>
      <c r="Q826" s="25">
        <v>16762</v>
      </c>
      <c r="R826" s="18">
        <v>67.588709677419359</v>
      </c>
    </row>
    <row r="827" spans="1:18" x14ac:dyDescent="0.35">
      <c r="A827" s="13">
        <v>46165</v>
      </c>
      <c r="B827">
        <v>2026</v>
      </c>
      <c r="C827">
        <v>5</v>
      </c>
      <c r="D827" t="s">
        <v>77</v>
      </c>
      <c r="E827" t="s">
        <v>79</v>
      </c>
      <c r="F827">
        <v>242</v>
      </c>
      <c r="G827">
        <v>243</v>
      </c>
      <c r="H827">
        <v>0</v>
      </c>
      <c r="I827">
        <v>13</v>
      </c>
      <c r="J827" s="17">
        <v>0.71893491124260356</v>
      </c>
      <c r="K827">
        <v>38</v>
      </c>
      <c r="L827">
        <v>35</v>
      </c>
      <c r="M827" s="17">
        <v>0.92105263157894735</v>
      </c>
      <c r="N827" s="25">
        <v>8892</v>
      </c>
      <c r="O827" s="25">
        <v>2126.25</v>
      </c>
      <c r="P827" s="25">
        <v>5700</v>
      </c>
      <c r="Q827" s="25">
        <v>16718.25</v>
      </c>
      <c r="R827" s="18">
        <v>68.799382716049379</v>
      </c>
    </row>
    <row r="828" spans="1:18" x14ac:dyDescent="0.35">
      <c r="A828" s="13">
        <v>46172</v>
      </c>
      <c r="B828">
        <v>2026</v>
      </c>
      <c r="C828">
        <v>5</v>
      </c>
      <c r="D828" t="s">
        <v>77</v>
      </c>
      <c r="E828" t="s">
        <v>79</v>
      </c>
      <c r="F828">
        <v>227</v>
      </c>
      <c r="G828">
        <v>227</v>
      </c>
      <c r="H828">
        <v>0</v>
      </c>
      <c r="I828">
        <v>11</v>
      </c>
      <c r="J828" s="17">
        <v>0.79370629370629375</v>
      </c>
      <c r="K828">
        <v>38</v>
      </c>
      <c r="L828">
        <v>36</v>
      </c>
      <c r="M828" s="17">
        <v>0.94736842105263153</v>
      </c>
      <c r="N828" s="25">
        <v>7524</v>
      </c>
      <c r="O828" s="25">
        <v>1986.25</v>
      </c>
      <c r="P828" s="25">
        <v>5700</v>
      </c>
      <c r="Q828" s="25">
        <v>15210.25</v>
      </c>
      <c r="R828" s="18">
        <v>67.005506607929519</v>
      </c>
    </row>
    <row r="829" spans="1:18" x14ac:dyDescent="0.35">
      <c r="A829" s="13">
        <v>46179</v>
      </c>
      <c r="B829">
        <v>2026</v>
      </c>
      <c r="C829">
        <v>6</v>
      </c>
      <c r="D829" t="s">
        <v>77</v>
      </c>
      <c r="E829" t="s">
        <v>79</v>
      </c>
      <c r="F829">
        <v>223</v>
      </c>
      <c r="G829">
        <v>223</v>
      </c>
      <c r="H829">
        <v>0</v>
      </c>
      <c r="I829">
        <v>11</v>
      </c>
      <c r="J829" s="17">
        <v>0.77972027972027969</v>
      </c>
      <c r="K829">
        <v>38</v>
      </c>
      <c r="L829">
        <v>37</v>
      </c>
      <c r="M829" s="17">
        <v>0.97368421052631582</v>
      </c>
      <c r="N829" s="25">
        <v>7524</v>
      </c>
      <c r="O829" s="25">
        <v>1951.25</v>
      </c>
      <c r="P829" s="25">
        <v>5700</v>
      </c>
      <c r="Q829" s="25">
        <v>15175.25</v>
      </c>
      <c r="R829" s="18">
        <v>68.050448430493276</v>
      </c>
    </row>
    <row r="830" spans="1:18" x14ac:dyDescent="0.35">
      <c r="A830" s="13">
        <v>46186</v>
      </c>
      <c r="B830">
        <v>2026</v>
      </c>
      <c r="C830">
        <v>6</v>
      </c>
      <c r="D830" t="s">
        <v>77</v>
      </c>
      <c r="E830" t="s">
        <v>79</v>
      </c>
      <c r="F830">
        <v>215</v>
      </c>
      <c r="G830">
        <v>215</v>
      </c>
      <c r="H830">
        <v>0</v>
      </c>
      <c r="I830">
        <v>11</v>
      </c>
      <c r="J830" s="17">
        <v>0.75174825174825177</v>
      </c>
      <c r="K830">
        <v>38</v>
      </c>
      <c r="L830">
        <v>37</v>
      </c>
      <c r="M830" s="17">
        <v>0.97368421052631582</v>
      </c>
      <c r="N830" s="25">
        <v>7524</v>
      </c>
      <c r="O830" s="25">
        <v>1881.25</v>
      </c>
      <c r="P830" s="25">
        <v>5700</v>
      </c>
      <c r="Q830" s="25">
        <v>15105.25</v>
      </c>
      <c r="R830" s="18">
        <v>70.256976744186048</v>
      </c>
    </row>
    <row r="831" spans="1:18" x14ac:dyDescent="0.35">
      <c r="A831" s="13">
        <v>46193</v>
      </c>
      <c r="B831">
        <v>2026</v>
      </c>
      <c r="C831">
        <v>6</v>
      </c>
      <c r="D831" t="s">
        <v>77</v>
      </c>
      <c r="E831" t="s">
        <v>79</v>
      </c>
      <c r="F831">
        <v>221</v>
      </c>
      <c r="G831">
        <v>221</v>
      </c>
      <c r="H831">
        <v>0</v>
      </c>
      <c r="I831">
        <v>11</v>
      </c>
      <c r="J831" s="17">
        <v>0.77272727272727271</v>
      </c>
      <c r="K831">
        <v>38</v>
      </c>
      <c r="L831">
        <v>37</v>
      </c>
      <c r="M831" s="17">
        <v>0.97368421052631582</v>
      </c>
      <c r="N831" s="25">
        <v>7524</v>
      </c>
      <c r="O831" s="25">
        <v>1933.75</v>
      </c>
      <c r="P831" s="25">
        <v>5700</v>
      </c>
      <c r="Q831" s="25">
        <v>15157.75</v>
      </c>
      <c r="R831" s="18">
        <v>68.587104072398191</v>
      </c>
    </row>
    <row r="832" spans="1:18" x14ac:dyDescent="0.35">
      <c r="A832" s="13">
        <v>46200</v>
      </c>
      <c r="B832">
        <v>2026</v>
      </c>
      <c r="C832">
        <v>6</v>
      </c>
      <c r="D832" t="s">
        <v>77</v>
      </c>
      <c r="E832" t="s">
        <v>79</v>
      </c>
      <c r="F832">
        <v>231</v>
      </c>
      <c r="G832">
        <v>231</v>
      </c>
      <c r="H832">
        <v>0</v>
      </c>
      <c r="I832">
        <v>11</v>
      </c>
      <c r="J832" s="17">
        <v>0.80769230769230771</v>
      </c>
      <c r="K832">
        <v>38</v>
      </c>
      <c r="L832">
        <v>37</v>
      </c>
      <c r="M832" s="17">
        <v>0.97368421052631582</v>
      </c>
      <c r="N832" s="25">
        <v>7524</v>
      </c>
      <c r="O832" s="25">
        <v>2021.25</v>
      </c>
      <c r="P832" s="25">
        <v>5700</v>
      </c>
      <c r="Q832" s="25">
        <v>15245.25</v>
      </c>
      <c r="R832" s="18">
        <v>65.996753246753244</v>
      </c>
    </row>
    <row r="833" spans="1:18" x14ac:dyDescent="0.35">
      <c r="A833" s="13">
        <v>46207</v>
      </c>
      <c r="B833">
        <v>2026</v>
      </c>
      <c r="C833">
        <v>7</v>
      </c>
      <c r="D833" t="s">
        <v>77</v>
      </c>
      <c r="E833" t="s">
        <v>79</v>
      </c>
      <c r="F833">
        <v>221</v>
      </c>
      <c r="G833">
        <v>221</v>
      </c>
      <c r="H833">
        <v>0</v>
      </c>
      <c r="I833">
        <v>12</v>
      </c>
      <c r="J833" s="17">
        <v>0.70833333333333337</v>
      </c>
      <c r="K833">
        <v>38</v>
      </c>
      <c r="L833">
        <v>36</v>
      </c>
      <c r="M833" s="17">
        <v>0.94736842105263153</v>
      </c>
      <c r="N833" s="25">
        <v>8208</v>
      </c>
      <c r="O833" s="25">
        <v>1933.75</v>
      </c>
      <c r="P833" s="25">
        <v>5700</v>
      </c>
      <c r="Q833" s="25">
        <v>15841.75</v>
      </c>
      <c r="R833" s="18">
        <v>71.682126696832583</v>
      </c>
    </row>
    <row r="834" spans="1:18" x14ac:dyDescent="0.35">
      <c r="A834" s="13">
        <v>46214</v>
      </c>
      <c r="B834">
        <v>2026</v>
      </c>
      <c r="C834">
        <v>7</v>
      </c>
      <c r="D834" t="s">
        <v>77</v>
      </c>
      <c r="E834" t="s">
        <v>79</v>
      </c>
      <c r="F834">
        <v>238</v>
      </c>
      <c r="G834">
        <v>237</v>
      </c>
      <c r="H834">
        <v>1</v>
      </c>
      <c r="I834">
        <v>13</v>
      </c>
      <c r="J834" s="17">
        <v>0.70118343195266275</v>
      </c>
      <c r="K834">
        <v>38</v>
      </c>
      <c r="L834">
        <v>38</v>
      </c>
      <c r="M834" s="17">
        <v>1</v>
      </c>
      <c r="N834" s="25">
        <v>8892</v>
      </c>
      <c r="O834" s="25">
        <v>2073.75</v>
      </c>
      <c r="P834" s="25">
        <v>5700</v>
      </c>
      <c r="Q834" s="25">
        <v>16665.75</v>
      </c>
      <c r="R834" s="18">
        <v>70.319620253164558</v>
      </c>
    </row>
    <row r="835" spans="1:18" x14ac:dyDescent="0.35">
      <c r="A835" s="13">
        <v>46221</v>
      </c>
      <c r="B835">
        <v>2026</v>
      </c>
      <c r="C835">
        <v>7</v>
      </c>
      <c r="D835" t="s">
        <v>77</v>
      </c>
      <c r="E835" t="s">
        <v>79</v>
      </c>
      <c r="F835">
        <v>240</v>
      </c>
      <c r="G835">
        <v>241</v>
      </c>
      <c r="H835">
        <v>0</v>
      </c>
      <c r="I835">
        <v>13</v>
      </c>
      <c r="J835" s="17">
        <v>0.71301775147928992</v>
      </c>
      <c r="K835">
        <v>38</v>
      </c>
      <c r="L835">
        <v>37</v>
      </c>
      <c r="M835" s="17">
        <v>0.97368421052631582</v>
      </c>
      <c r="N835" s="25">
        <v>8892</v>
      </c>
      <c r="O835" s="25">
        <v>2108.75</v>
      </c>
      <c r="P835" s="25">
        <v>5700</v>
      </c>
      <c r="Q835" s="25">
        <v>16700.75</v>
      </c>
      <c r="R835" s="18">
        <v>69.29771784232365</v>
      </c>
    </row>
    <row r="836" spans="1:18" x14ac:dyDescent="0.35">
      <c r="A836" s="13">
        <v>46228</v>
      </c>
      <c r="B836">
        <v>2026</v>
      </c>
      <c r="C836">
        <v>7</v>
      </c>
      <c r="D836" t="s">
        <v>77</v>
      </c>
      <c r="E836" t="s">
        <v>79</v>
      </c>
      <c r="F836">
        <v>227</v>
      </c>
      <c r="G836">
        <v>227</v>
      </c>
      <c r="H836">
        <v>0</v>
      </c>
      <c r="I836">
        <v>11</v>
      </c>
      <c r="J836" s="17">
        <v>0.79370629370629375</v>
      </c>
      <c r="K836">
        <v>38</v>
      </c>
      <c r="L836">
        <v>38</v>
      </c>
      <c r="M836" s="17">
        <v>1</v>
      </c>
      <c r="N836" s="25">
        <v>7524</v>
      </c>
      <c r="O836" s="25">
        <v>1986.25</v>
      </c>
      <c r="P836" s="25">
        <v>5700</v>
      </c>
      <c r="Q836" s="25">
        <v>15210.25</v>
      </c>
      <c r="R836" s="18">
        <v>67.005506607929519</v>
      </c>
    </row>
    <row r="837" spans="1:18" x14ac:dyDescent="0.35">
      <c r="A837" s="13">
        <v>44779</v>
      </c>
      <c r="B837">
        <v>2022</v>
      </c>
      <c r="C837">
        <v>8</v>
      </c>
      <c r="D837" t="s">
        <v>80</v>
      </c>
      <c r="E837" t="s">
        <v>79</v>
      </c>
      <c r="F837">
        <v>276</v>
      </c>
      <c r="G837">
        <v>276</v>
      </c>
      <c r="H837">
        <v>0</v>
      </c>
      <c r="I837">
        <v>14</v>
      </c>
      <c r="J837" s="17">
        <v>0.75824175824175821</v>
      </c>
      <c r="K837">
        <v>43</v>
      </c>
      <c r="L837">
        <v>42</v>
      </c>
      <c r="M837" s="17">
        <v>0.97674418604651159</v>
      </c>
      <c r="N837" s="25">
        <v>17640</v>
      </c>
      <c r="O837" s="25">
        <v>2553</v>
      </c>
      <c r="P837" s="25">
        <v>7310</v>
      </c>
      <c r="Q837" s="25">
        <v>27503</v>
      </c>
      <c r="R837" s="18">
        <v>99.648550724637687</v>
      </c>
    </row>
    <row r="838" spans="1:18" x14ac:dyDescent="0.35">
      <c r="A838" s="13">
        <v>44786</v>
      </c>
      <c r="B838">
        <v>2022</v>
      </c>
      <c r="C838">
        <v>8</v>
      </c>
      <c r="D838" t="s">
        <v>80</v>
      </c>
      <c r="E838" t="s">
        <v>79</v>
      </c>
      <c r="F838">
        <v>262</v>
      </c>
      <c r="G838">
        <v>262</v>
      </c>
      <c r="H838">
        <v>0</v>
      </c>
      <c r="I838">
        <v>14</v>
      </c>
      <c r="J838" s="17">
        <v>0.71978021978021978</v>
      </c>
      <c r="K838">
        <v>43</v>
      </c>
      <c r="L838">
        <v>43</v>
      </c>
      <c r="M838" s="17">
        <v>1</v>
      </c>
      <c r="N838" s="25">
        <v>17640</v>
      </c>
      <c r="O838" s="25">
        <v>2423.5</v>
      </c>
      <c r="P838" s="25">
        <v>7310</v>
      </c>
      <c r="Q838" s="25">
        <v>27373.5</v>
      </c>
      <c r="R838" s="18">
        <v>104.4790076335878</v>
      </c>
    </row>
    <row r="839" spans="1:18" x14ac:dyDescent="0.35">
      <c r="A839" s="13">
        <v>44793</v>
      </c>
      <c r="B839">
        <v>2022</v>
      </c>
      <c r="C839">
        <v>8</v>
      </c>
      <c r="D839" t="s">
        <v>80</v>
      </c>
      <c r="E839" t="s">
        <v>79</v>
      </c>
      <c r="F839">
        <v>255</v>
      </c>
      <c r="G839">
        <v>255</v>
      </c>
      <c r="H839">
        <v>0</v>
      </c>
      <c r="I839">
        <v>13</v>
      </c>
      <c r="J839" s="17">
        <v>0.75443786982248517</v>
      </c>
      <c r="K839">
        <v>43</v>
      </c>
      <c r="L839">
        <v>40</v>
      </c>
      <c r="M839" s="17">
        <v>0.93023255813953487</v>
      </c>
      <c r="N839" s="25">
        <v>16380</v>
      </c>
      <c r="O839" s="25">
        <v>2358.75</v>
      </c>
      <c r="P839" s="25">
        <v>7310</v>
      </c>
      <c r="Q839" s="25">
        <v>26048.75</v>
      </c>
      <c r="R839" s="18">
        <v>102.1519607843137</v>
      </c>
    </row>
    <row r="840" spans="1:18" x14ac:dyDescent="0.35">
      <c r="A840" s="13">
        <v>44800</v>
      </c>
      <c r="B840">
        <v>2022</v>
      </c>
      <c r="C840">
        <v>8</v>
      </c>
      <c r="D840" t="s">
        <v>80</v>
      </c>
      <c r="E840" t="s">
        <v>79</v>
      </c>
      <c r="F840">
        <v>249</v>
      </c>
      <c r="G840">
        <v>249</v>
      </c>
      <c r="H840">
        <v>0</v>
      </c>
      <c r="I840">
        <v>12</v>
      </c>
      <c r="J840" s="17">
        <v>0.79807692307692313</v>
      </c>
      <c r="K840">
        <v>43</v>
      </c>
      <c r="L840">
        <v>43</v>
      </c>
      <c r="M840" s="17">
        <v>1</v>
      </c>
      <c r="N840" s="25">
        <v>15120</v>
      </c>
      <c r="O840" s="25">
        <v>2303.25</v>
      </c>
      <c r="P840" s="25">
        <v>7310</v>
      </c>
      <c r="Q840" s="25">
        <v>24733.25</v>
      </c>
      <c r="R840" s="18">
        <v>99.330321285140556</v>
      </c>
    </row>
    <row r="841" spans="1:18" x14ac:dyDescent="0.35">
      <c r="A841" s="13">
        <v>44807</v>
      </c>
      <c r="B841">
        <v>2022</v>
      </c>
      <c r="C841">
        <v>9</v>
      </c>
      <c r="D841" t="s">
        <v>80</v>
      </c>
      <c r="E841" t="s">
        <v>79</v>
      </c>
      <c r="F841">
        <v>239</v>
      </c>
      <c r="G841">
        <v>239</v>
      </c>
      <c r="H841">
        <v>0</v>
      </c>
      <c r="I841">
        <v>12</v>
      </c>
      <c r="J841" s="17">
        <v>0.76602564102564108</v>
      </c>
      <c r="K841">
        <v>43</v>
      </c>
      <c r="L841">
        <v>42</v>
      </c>
      <c r="M841" s="17">
        <v>0.97674418604651159</v>
      </c>
      <c r="N841" s="25">
        <v>15120</v>
      </c>
      <c r="O841" s="25">
        <v>2210.75</v>
      </c>
      <c r="P841" s="25">
        <v>7310</v>
      </c>
      <c r="Q841" s="25">
        <v>24640.75</v>
      </c>
      <c r="R841" s="18">
        <v>103.0993723849372</v>
      </c>
    </row>
    <row r="842" spans="1:18" x14ac:dyDescent="0.35">
      <c r="A842" s="13">
        <v>44814</v>
      </c>
      <c r="B842">
        <v>2022</v>
      </c>
      <c r="C842">
        <v>9</v>
      </c>
      <c r="D842" t="s">
        <v>80</v>
      </c>
      <c r="E842" t="s">
        <v>79</v>
      </c>
      <c r="F842">
        <v>244</v>
      </c>
      <c r="G842">
        <v>244</v>
      </c>
      <c r="H842">
        <v>0</v>
      </c>
      <c r="I842">
        <v>13</v>
      </c>
      <c r="J842" s="17">
        <v>0.72189349112426038</v>
      </c>
      <c r="K842">
        <v>43</v>
      </c>
      <c r="L842">
        <v>43</v>
      </c>
      <c r="M842" s="17">
        <v>1</v>
      </c>
      <c r="N842" s="25">
        <v>16380</v>
      </c>
      <c r="O842" s="25">
        <v>2257</v>
      </c>
      <c r="P842" s="25">
        <v>7310</v>
      </c>
      <c r="Q842" s="25">
        <v>25947</v>
      </c>
      <c r="R842" s="18">
        <v>106.3401639344262</v>
      </c>
    </row>
    <row r="843" spans="1:18" x14ac:dyDescent="0.35">
      <c r="A843" s="13">
        <v>44821</v>
      </c>
      <c r="B843">
        <v>2022</v>
      </c>
      <c r="C843">
        <v>9</v>
      </c>
      <c r="D843" t="s">
        <v>80</v>
      </c>
      <c r="E843" t="s">
        <v>79</v>
      </c>
      <c r="F843">
        <v>256</v>
      </c>
      <c r="G843">
        <v>256</v>
      </c>
      <c r="H843">
        <v>0</v>
      </c>
      <c r="I843">
        <v>12</v>
      </c>
      <c r="J843" s="17">
        <v>0.82051282051282048</v>
      </c>
      <c r="K843">
        <v>43</v>
      </c>
      <c r="L843">
        <v>41</v>
      </c>
      <c r="M843" s="17">
        <v>0.95348837209302328</v>
      </c>
      <c r="N843" s="25">
        <v>15120</v>
      </c>
      <c r="O843" s="25">
        <v>2368</v>
      </c>
      <c r="P843" s="25">
        <v>7310</v>
      </c>
      <c r="Q843" s="25">
        <v>24798</v>
      </c>
      <c r="R843" s="18">
        <v>96.8671875</v>
      </c>
    </row>
    <row r="844" spans="1:18" x14ac:dyDescent="0.35">
      <c r="A844" s="13">
        <v>44828</v>
      </c>
      <c r="B844">
        <v>2022</v>
      </c>
      <c r="C844">
        <v>9</v>
      </c>
      <c r="D844" t="s">
        <v>80</v>
      </c>
      <c r="E844" t="s">
        <v>79</v>
      </c>
      <c r="F844">
        <v>241</v>
      </c>
      <c r="G844">
        <v>241</v>
      </c>
      <c r="H844">
        <v>0</v>
      </c>
      <c r="I844">
        <v>13</v>
      </c>
      <c r="J844" s="17">
        <v>0.71301775147928992</v>
      </c>
      <c r="K844">
        <v>43</v>
      </c>
      <c r="L844">
        <v>41</v>
      </c>
      <c r="M844" s="17">
        <v>0.95348837209302328</v>
      </c>
      <c r="N844" s="25">
        <v>16380</v>
      </c>
      <c r="O844" s="25">
        <v>2229.25</v>
      </c>
      <c r="P844" s="25">
        <v>7310</v>
      </c>
      <c r="Q844" s="25">
        <v>25919.25</v>
      </c>
      <c r="R844" s="18">
        <v>107.548755186722</v>
      </c>
    </row>
    <row r="845" spans="1:18" x14ac:dyDescent="0.35">
      <c r="A845" s="13">
        <v>44835</v>
      </c>
      <c r="B845">
        <v>2022</v>
      </c>
      <c r="C845">
        <v>10</v>
      </c>
      <c r="D845" t="s">
        <v>80</v>
      </c>
      <c r="E845" t="s">
        <v>79</v>
      </c>
      <c r="F845">
        <v>250</v>
      </c>
      <c r="G845">
        <v>250</v>
      </c>
      <c r="H845">
        <v>0</v>
      </c>
      <c r="I845">
        <v>13</v>
      </c>
      <c r="J845" s="17">
        <v>0.73964497041420119</v>
      </c>
      <c r="K845">
        <v>43</v>
      </c>
      <c r="L845">
        <v>42</v>
      </c>
      <c r="M845" s="17">
        <v>0.97674418604651159</v>
      </c>
      <c r="N845" s="25">
        <v>16380</v>
      </c>
      <c r="O845" s="25">
        <v>2312.5</v>
      </c>
      <c r="P845" s="25">
        <v>7310</v>
      </c>
      <c r="Q845" s="25">
        <v>26002.5</v>
      </c>
      <c r="R845" s="18">
        <v>104.01</v>
      </c>
    </row>
    <row r="846" spans="1:18" x14ac:dyDescent="0.35">
      <c r="A846" s="13">
        <v>44842</v>
      </c>
      <c r="B846">
        <v>2022</v>
      </c>
      <c r="C846">
        <v>10</v>
      </c>
      <c r="D846" t="s">
        <v>80</v>
      </c>
      <c r="E846" t="s">
        <v>79</v>
      </c>
      <c r="F846">
        <v>241</v>
      </c>
      <c r="G846">
        <v>241</v>
      </c>
      <c r="H846">
        <v>0</v>
      </c>
      <c r="I846">
        <v>12</v>
      </c>
      <c r="J846" s="17">
        <v>0.77243589743589747</v>
      </c>
      <c r="K846">
        <v>43</v>
      </c>
      <c r="L846">
        <v>39</v>
      </c>
      <c r="M846" s="17">
        <v>0.90697674418604646</v>
      </c>
      <c r="N846" s="25">
        <v>15120</v>
      </c>
      <c r="O846" s="25">
        <v>2229.25</v>
      </c>
      <c r="P846" s="25">
        <v>7310</v>
      </c>
      <c r="Q846" s="25">
        <v>24659.25</v>
      </c>
      <c r="R846" s="18">
        <v>102.3205394190871</v>
      </c>
    </row>
    <row r="847" spans="1:18" x14ac:dyDescent="0.35">
      <c r="A847" s="13">
        <v>44849</v>
      </c>
      <c r="B847">
        <v>2022</v>
      </c>
      <c r="C847">
        <v>10</v>
      </c>
      <c r="D847" t="s">
        <v>80</v>
      </c>
      <c r="E847" t="s">
        <v>79</v>
      </c>
      <c r="F847">
        <v>269</v>
      </c>
      <c r="G847">
        <v>269</v>
      </c>
      <c r="H847">
        <v>0</v>
      </c>
      <c r="I847">
        <v>14</v>
      </c>
      <c r="J847" s="17">
        <v>0.73901098901098905</v>
      </c>
      <c r="K847">
        <v>43</v>
      </c>
      <c r="L847">
        <v>43</v>
      </c>
      <c r="M847" s="17">
        <v>1</v>
      </c>
      <c r="N847" s="25">
        <v>17640</v>
      </c>
      <c r="O847" s="25">
        <v>2488.25</v>
      </c>
      <c r="P847" s="25">
        <v>7310</v>
      </c>
      <c r="Q847" s="25">
        <v>27438.25</v>
      </c>
      <c r="R847" s="18">
        <v>102.0009293680297</v>
      </c>
    </row>
    <row r="848" spans="1:18" x14ac:dyDescent="0.35">
      <c r="A848" s="13">
        <v>44856</v>
      </c>
      <c r="B848">
        <v>2022</v>
      </c>
      <c r="C848">
        <v>10</v>
      </c>
      <c r="D848" t="s">
        <v>80</v>
      </c>
      <c r="E848" t="s">
        <v>79</v>
      </c>
      <c r="F848">
        <v>274</v>
      </c>
      <c r="G848">
        <v>274</v>
      </c>
      <c r="H848">
        <v>0</v>
      </c>
      <c r="I848">
        <v>14</v>
      </c>
      <c r="J848" s="17">
        <v>0.75274725274725274</v>
      </c>
      <c r="K848">
        <v>43</v>
      </c>
      <c r="L848">
        <v>43</v>
      </c>
      <c r="M848" s="17">
        <v>1</v>
      </c>
      <c r="N848" s="25">
        <v>17640</v>
      </c>
      <c r="O848" s="25">
        <v>2534.5</v>
      </c>
      <c r="P848" s="25">
        <v>7310</v>
      </c>
      <c r="Q848" s="25">
        <v>27484.5</v>
      </c>
      <c r="R848" s="18">
        <v>100.3083941605839</v>
      </c>
    </row>
    <row r="849" spans="1:18" x14ac:dyDescent="0.35">
      <c r="A849" s="13">
        <v>44863</v>
      </c>
      <c r="B849">
        <v>2022</v>
      </c>
      <c r="C849">
        <v>10</v>
      </c>
      <c r="D849" t="s">
        <v>80</v>
      </c>
      <c r="E849" t="s">
        <v>79</v>
      </c>
      <c r="F849">
        <v>286</v>
      </c>
      <c r="G849">
        <v>286</v>
      </c>
      <c r="H849">
        <v>0</v>
      </c>
      <c r="I849">
        <v>15</v>
      </c>
      <c r="J849" s="17">
        <v>0.73333333333333328</v>
      </c>
      <c r="K849">
        <v>43</v>
      </c>
      <c r="L849">
        <v>40</v>
      </c>
      <c r="M849" s="17">
        <v>0.93023255813953487</v>
      </c>
      <c r="N849" s="25">
        <v>18900</v>
      </c>
      <c r="O849" s="25">
        <v>2645.5</v>
      </c>
      <c r="P849" s="25">
        <v>7310</v>
      </c>
      <c r="Q849" s="25">
        <v>28855.5</v>
      </c>
      <c r="R849" s="18">
        <v>100.8933566433566</v>
      </c>
    </row>
    <row r="850" spans="1:18" x14ac:dyDescent="0.35">
      <c r="A850" s="13">
        <v>44870</v>
      </c>
      <c r="B850">
        <v>2022</v>
      </c>
      <c r="C850">
        <v>11</v>
      </c>
      <c r="D850" t="s">
        <v>80</v>
      </c>
      <c r="E850" t="s">
        <v>79</v>
      </c>
      <c r="F850">
        <v>285</v>
      </c>
      <c r="G850">
        <v>285</v>
      </c>
      <c r="H850">
        <v>0</v>
      </c>
      <c r="I850">
        <v>14</v>
      </c>
      <c r="J850" s="17">
        <v>0.78296703296703296</v>
      </c>
      <c r="K850">
        <v>43</v>
      </c>
      <c r="L850">
        <v>42</v>
      </c>
      <c r="M850" s="17">
        <v>0.97674418604651159</v>
      </c>
      <c r="N850" s="25">
        <v>17640</v>
      </c>
      <c r="O850" s="25">
        <v>2636.25</v>
      </c>
      <c r="P850" s="25">
        <v>7310</v>
      </c>
      <c r="Q850" s="25">
        <v>27586.25</v>
      </c>
      <c r="R850" s="18">
        <v>96.793859649122808</v>
      </c>
    </row>
    <row r="851" spans="1:18" x14ac:dyDescent="0.35">
      <c r="A851" s="13">
        <v>44877</v>
      </c>
      <c r="B851">
        <v>2022</v>
      </c>
      <c r="C851">
        <v>11</v>
      </c>
      <c r="D851" t="s">
        <v>80</v>
      </c>
      <c r="E851" t="s">
        <v>79</v>
      </c>
      <c r="F851">
        <v>304</v>
      </c>
      <c r="G851">
        <v>304</v>
      </c>
      <c r="H851">
        <v>0</v>
      </c>
      <c r="I851">
        <v>14</v>
      </c>
      <c r="J851" s="17">
        <v>0.8351648351648352</v>
      </c>
      <c r="K851">
        <v>43</v>
      </c>
      <c r="L851">
        <v>43</v>
      </c>
      <c r="M851" s="17">
        <v>1</v>
      </c>
      <c r="N851" s="25">
        <v>17640</v>
      </c>
      <c r="O851" s="25">
        <v>2812</v>
      </c>
      <c r="P851" s="25">
        <v>7310</v>
      </c>
      <c r="Q851" s="25">
        <v>27762</v>
      </c>
      <c r="R851" s="18">
        <v>91.32236842105263</v>
      </c>
    </row>
    <row r="852" spans="1:18" x14ac:dyDescent="0.35">
      <c r="A852" s="13">
        <v>44884</v>
      </c>
      <c r="B852">
        <v>2022</v>
      </c>
      <c r="C852">
        <v>11</v>
      </c>
      <c r="D852" t="s">
        <v>80</v>
      </c>
      <c r="E852" t="s">
        <v>79</v>
      </c>
      <c r="F852">
        <v>337</v>
      </c>
      <c r="G852">
        <v>337</v>
      </c>
      <c r="H852">
        <v>0</v>
      </c>
      <c r="I852">
        <v>15</v>
      </c>
      <c r="J852" s="17">
        <v>0.86410256410256414</v>
      </c>
      <c r="K852">
        <v>43</v>
      </c>
      <c r="L852">
        <v>40</v>
      </c>
      <c r="M852" s="17">
        <v>0.93023255813953487</v>
      </c>
      <c r="N852" s="25">
        <v>18900</v>
      </c>
      <c r="O852" s="25">
        <v>3117.25</v>
      </c>
      <c r="P852" s="25">
        <v>7310</v>
      </c>
      <c r="Q852" s="25">
        <v>29327.25</v>
      </c>
      <c r="R852" s="18">
        <v>87.024480712166167</v>
      </c>
    </row>
    <row r="853" spans="1:18" x14ac:dyDescent="0.35">
      <c r="A853" s="13">
        <v>44891</v>
      </c>
      <c r="B853">
        <v>2022</v>
      </c>
      <c r="C853">
        <v>11</v>
      </c>
      <c r="D853" t="s">
        <v>80</v>
      </c>
      <c r="E853" t="s">
        <v>79</v>
      </c>
      <c r="F853">
        <v>347</v>
      </c>
      <c r="G853">
        <v>346</v>
      </c>
      <c r="H853">
        <v>1</v>
      </c>
      <c r="I853">
        <v>17</v>
      </c>
      <c r="J853" s="17">
        <v>0.78280542986425339</v>
      </c>
      <c r="K853">
        <v>43</v>
      </c>
      <c r="L853">
        <v>43</v>
      </c>
      <c r="M853" s="17">
        <v>1</v>
      </c>
      <c r="N853" s="25">
        <v>21420</v>
      </c>
      <c r="O853" s="25">
        <v>3200.5</v>
      </c>
      <c r="P853" s="25">
        <v>7310</v>
      </c>
      <c r="Q853" s="25">
        <v>31930.5</v>
      </c>
      <c r="R853" s="18">
        <v>92.284682080924853</v>
      </c>
    </row>
    <row r="854" spans="1:18" x14ac:dyDescent="0.35">
      <c r="A854" s="13">
        <v>44898</v>
      </c>
      <c r="B854">
        <v>2022</v>
      </c>
      <c r="C854">
        <v>12</v>
      </c>
      <c r="D854" t="s">
        <v>80</v>
      </c>
      <c r="E854" t="s">
        <v>79</v>
      </c>
      <c r="F854">
        <v>389</v>
      </c>
      <c r="G854">
        <v>374</v>
      </c>
      <c r="H854">
        <v>16</v>
      </c>
      <c r="I854">
        <v>18</v>
      </c>
      <c r="J854" s="17">
        <v>0.79914529914529919</v>
      </c>
      <c r="K854">
        <v>43</v>
      </c>
      <c r="L854">
        <v>40</v>
      </c>
      <c r="M854" s="17">
        <v>0.93023255813953487</v>
      </c>
      <c r="N854" s="25">
        <v>22680</v>
      </c>
      <c r="O854" s="25">
        <v>3459.5</v>
      </c>
      <c r="P854" s="25">
        <v>7310</v>
      </c>
      <c r="Q854" s="25">
        <v>33449.5</v>
      </c>
      <c r="R854" s="18">
        <v>89.43716577540107</v>
      </c>
    </row>
    <row r="855" spans="1:18" x14ac:dyDescent="0.35">
      <c r="A855" s="13">
        <v>44905</v>
      </c>
      <c r="B855">
        <v>2022</v>
      </c>
      <c r="C855">
        <v>12</v>
      </c>
      <c r="D855" t="s">
        <v>80</v>
      </c>
      <c r="E855" t="s">
        <v>79</v>
      </c>
      <c r="F855">
        <v>404</v>
      </c>
      <c r="G855">
        <v>380</v>
      </c>
      <c r="H855">
        <v>40</v>
      </c>
      <c r="I855">
        <v>18</v>
      </c>
      <c r="J855" s="17">
        <v>0.81196581196581197</v>
      </c>
      <c r="K855">
        <v>43</v>
      </c>
      <c r="L855">
        <v>41</v>
      </c>
      <c r="M855" s="17">
        <v>0.95348837209302328</v>
      </c>
      <c r="N855" s="25">
        <v>22680</v>
      </c>
      <c r="O855" s="25">
        <v>3515</v>
      </c>
      <c r="P855" s="25">
        <v>7310</v>
      </c>
      <c r="Q855" s="25">
        <v>33505</v>
      </c>
      <c r="R855" s="18">
        <v>88.171052631578945</v>
      </c>
    </row>
    <row r="856" spans="1:18" x14ac:dyDescent="0.35">
      <c r="A856" s="13">
        <v>44912</v>
      </c>
      <c r="B856">
        <v>2022</v>
      </c>
      <c r="C856">
        <v>12</v>
      </c>
      <c r="D856" t="s">
        <v>80</v>
      </c>
      <c r="E856" t="s">
        <v>79</v>
      </c>
      <c r="F856">
        <v>362</v>
      </c>
      <c r="G856">
        <v>371</v>
      </c>
      <c r="H856">
        <v>31</v>
      </c>
      <c r="I856">
        <v>18</v>
      </c>
      <c r="J856" s="17">
        <v>0.79273504273504269</v>
      </c>
      <c r="K856">
        <v>43</v>
      </c>
      <c r="L856">
        <v>42</v>
      </c>
      <c r="M856" s="17">
        <v>0.97674418604651159</v>
      </c>
      <c r="N856" s="25">
        <v>22680</v>
      </c>
      <c r="O856" s="25">
        <v>3431.75</v>
      </c>
      <c r="P856" s="25">
        <v>7310</v>
      </c>
      <c r="Q856" s="25">
        <v>33421.75</v>
      </c>
      <c r="R856" s="18">
        <v>90.085579514824801</v>
      </c>
    </row>
    <row r="857" spans="1:18" x14ac:dyDescent="0.35">
      <c r="A857" s="13">
        <v>44919</v>
      </c>
      <c r="B857">
        <v>2022</v>
      </c>
      <c r="C857">
        <v>12</v>
      </c>
      <c r="D857" t="s">
        <v>80</v>
      </c>
      <c r="E857" t="s">
        <v>79</v>
      </c>
      <c r="F857">
        <v>338</v>
      </c>
      <c r="G857">
        <v>352</v>
      </c>
      <c r="H857">
        <v>17</v>
      </c>
      <c r="I857">
        <v>16</v>
      </c>
      <c r="J857" s="17">
        <v>0.84615384615384615</v>
      </c>
      <c r="K857">
        <v>43</v>
      </c>
      <c r="L857">
        <v>43</v>
      </c>
      <c r="M857" s="17">
        <v>1</v>
      </c>
      <c r="N857" s="25">
        <v>20160</v>
      </c>
      <c r="O857" s="25">
        <v>3256</v>
      </c>
      <c r="P857" s="25">
        <v>7310</v>
      </c>
      <c r="Q857" s="25">
        <v>30726</v>
      </c>
      <c r="R857" s="18">
        <v>87.289772727272734</v>
      </c>
    </row>
    <row r="858" spans="1:18" x14ac:dyDescent="0.35">
      <c r="A858" s="13">
        <v>44926</v>
      </c>
      <c r="B858">
        <v>2022</v>
      </c>
      <c r="C858">
        <v>12</v>
      </c>
      <c r="D858" t="s">
        <v>80</v>
      </c>
      <c r="E858" t="s">
        <v>79</v>
      </c>
      <c r="F858">
        <v>283</v>
      </c>
      <c r="G858">
        <v>299</v>
      </c>
      <c r="H858">
        <v>1</v>
      </c>
      <c r="I858">
        <v>15</v>
      </c>
      <c r="J858" s="17">
        <v>0.76666666666666672</v>
      </c>
      <c r="K858">
        <v>43</v>
      </c>
      <c r="L858">
        <v>43</v>
      </c>
      <c r="M858" s="17">
        <v>1</v>
      </c>
      <c r="N858" s="25">
        <v>18900</v>
      </c>
      <c r="O858" s="25">
        <v>2765.75</v>
      </c>
      <c r="P858" s="25">
        <v>7310</v>
      </c>
      <c r="Q858" s="25">
        <v>28975.75</v>
      </c>
      <c r="R858" s="18">
        <v>96.908862876254176</v>
      </c>
    </row>
    <row r="859" spans="1:18" x14ac:dyDescent="0.35">
      <c r="A859" s="13">
        <v>44933</v>
      </c>
      <c r="B859">
        <v>2023</v>
      </c>
      <c r="C859">
        <v>1</v>
      </c>
      <c r="D859" t="s">
        <v>80</v>
      </c>
      <c r="E859" t="s">
        <v>79</v>
      </c>
      <c r="F859">
        <v>233</v>
      </c>
      <c r="G859">
        <v>234</v>
      </c>
      <c r="H859">
        <v>0</v>
      </c>
      <c r="I859">
        <v>11</v>
      </c>
      <c r="J859" s="17">
        <v>0.81818181818181823</v>
      </c>
      <c r="K859">
        <v>43</v>
      </c>
      <c r="L859">
        <v>41</v>
      </c>
      <c r="M859" s="17">
        <v>0.95348837209302328</v>
      </c>
      <c r="N859" s="25">
        <v>13860</v>
      </c>
      <c r="O859" s="25">
        <v>2164.5</v>
      </c>
      <c r="P859" s="25">
        <v>7310</v>
      </c>
      <c r="Q859" s="25">
        <v>23334.5</v>
      </c>
      <c r="R859" s="18">
        <v>99.720085470085465</v>
      </c>
    </row>
    <row r="860" spans="1:18" x14ac:dyDescent="0.35">
      <c r="A860" s="13">
        <v>44940</v>
      </c>
      <c r="B860">
        <v>2023</v>
      </c>
      <c r="C860">
        <v>1</v>
      </c>
      <c r="D860" t="s">
        <v>80</v>
      </c>
      <c r="E860" t="s">
        <v>79</v>
      </c>
      <c r="F860">
        <v>200</v>
      </c>
      <c r="G860">
        <v>200</v>
      </c>
      <c r="H860">
        <v>0</v>
      </c>
      <c r="I860">
        <v>11</v>
      </c>
      <c r="J860" s="17">
        <v>0.69930069930069927</v>
      </c>
      <c r="K860">
        <v>43</v>
      </c>
      <c r="L860">
        <v>40</v>
      </c>
      <c r="M860" s="17">
        <v>0.93023255813953487</v>
      </c>
      <c r="N860" s="25">
        <v>13860</v>
      </c>
      <c r="O860" s="25">
        <v>1850</v>
      </c>
      <c r="P860" s="25">
        <v>7310</v>
      </c>
      <c r="Q860" s="25">
        <v>23020</v>
      </c>
      <c r="R860" s="18">
        <v>115.1</v>
      </c>
    </row>
    <row r="861" spans="1:18" x14ac:dyDescent="0.35">
      <c r="A861" s="13">
        <v>44947</v>
      </c>
      <c r="B861">
        <v>2023</v>
      </c>
      <c r="C861">
        <v>1</v>
      </c>
      <c r="D861" t="s">
        <v>80</v>
      </c>
      <c r="E861" t="s">
        <v>79</v>
      </c>
      <c r="F861">
        <v>206</v>
      </c>
      <c r="G861">
        <v>206</v>
      </c>
      <c r="H861">
        <v>0</v>
      </c>
      <c r="I861">
        <v>11</v>
      </c>
      <c r="J861" s="17">
        <v>0.72027972027972031</v>
      </c>
      <c r="K861">
        <v>43</v>
      </c>
      <c r="L861">
        <v>41</v>
      </c>
      <c r="M861" s="17">
        <v>0.95348837209302328</v>
      </c>
      <c r="N861" s="25">
        <v>13860</v>
      </c>
      <c r="O861" s="25">
        <v>1905.5</v>
      </c>
      <c r="P861" s="25">
        <v>7310</v>
      </c>
      <c r="Q861" s="25">
        <v>23075.5</v>
      </c>
      <c r="R861" s="18">
        <v>112.0169902912621</v>
      </c>
    </row>
    <row r="862" spans="1:18" x14ac:dyDescent="0.35">
      <c r="A862" s="13">
        <v>44954</v>
      </c>
      <c r="B862">
        <v>2023</v>
      </c>
      <c r="C862">
        <v>1</v>
      </c>
      <c r="D862" t="s">
        <v>80</v>
      </c>
      <c r="E862" t="s">
        <v>79</v>
      </c>
      <c r="F862">
        <v>224</v>
      </c>
      <c r="G862">
        <v>224</v>
      </c>
      <c r="H862">
        <v>0</v>
      </c>
      <c r="I862">
        <v>11</v>
      </c>
      <c r="J862" s="17">
        <v>0.78321678321678323</v>
      </c>
      <c r="K862">
        <v>43</v>
      </c>
      <c r="L862">
        <v>40</v>
      </c>
      <c r="M862" s="17">
        <v>0.93023255813953487</v>
      </c>
      <c r="N862" s="25">
        <v>13860</v>
      </c>
      <c r="O862" s="25">
        <v>2072</v>
      </c>
      <c r="P862" s="25">
        <v>7310</v>
      </c>
      <c r="Q862" s="25">
        <v>23242</v>
      </c>
      <c r="R862" s="18">
        <v>103.7589285714286</v>
      </c>
    </row>
    <row r="863" spans="1:18" x14ac:dyDescent="0.35">
      <c r="A863" s="13">
        <v>44961</v>
      </c>
      <c r="B863">
        <v>2023</v>
      </c>
      <c r="C863">
        <v>2</v>
      </c>
      <c r="D863" t="s">
        <v>80</v>
      </c>
      <c r="E863" t="s">
        <v>79</v>
      </c>
      <c r="F863">
        <v>226</v>
      </c>
      <c r="G863">
        <v>226</v>
      </c>
      <c r="H863">
        <v>0</v>
      </c>
      <c r="I863">
        <v>11</v>
      </c>
      <c r="J863" s="17">
        <v>0.79020979020979021</v>
      </c>
      <c r="K863">
        <v>43</v>
      </c>
      <c r="L863">
        <v>40</v>
      </c>
      <c r="M863" s="17">
        <v>0.93023255813953487</v>
      </c>
      <c r="N863" s="25">
        <v>13860</v>
      </c>
      <c r="O863" s="25">
        <v>2090.5</v>
      </c>
      <c r="P863" s="25">
        <v>7310</v>
      </c>
      <c r="Q863" s="25">
        <v>23260.5</v>
      </c>
      <c r="R863" s="18">
        <v>102.9225663716814</v>
      </c>
    </row>
    <row r="864" spans="1:18" x14ac:dyDescent="0.35">
      <c r="A864" s="13">
        <v>44968</v>
      </c>
      <c r="B864">
        <v>2023</v>
      </c>
      <c r="C864">
        <v>2</v>
      </c>
      <c r="D864" t="s">
        <v>80</v>
      </c>
      <c r="E864" t="s">
        <v>79</v>
      </c>
      <c r="F864">
        <v>236</v>
      </c>
      <c r="G864">
        <v>236</v>
      </c>
      <c r="H864">
        <v>0</v>
      </c>
      <c r="I864">
        <v>12</v>
      </c>
      <c r="J864" s="17">
        <v>0.75641025641025639</v>
      </c>
      <c r="K864">
        <v>43</v>
      </c>
      <c r="L864">
        <v>40</v>
      </c>
      <c r="M864" s="17">
        <v>0.93023255813953487</v>
      </c>
      <c r="N864" s="25">
        <v>15120</v>
      </c>
      <c r="O864" s="25">
        <v>2183</v>
      </c>
      <c r="P864" s="25">
        <v>7310</v>
      </c>
      <c r="Q864" s="25">
        <v>24613</v>
      </c>
      <c r="R864" s="18">
        <v>104.2923728813559</v>
      </c>
    </row>
    <row r="865" spans="1:18" x14ac:dyDescent="0.35">
      <c r="A865" s="13">
        <v>44975</v>
      </c>
      <c r="B865">
        <v>2023</v>
      </c>
      <c r="C865">
        <v>2</v>
      </c>
      <c r="D865" t="s">
        <v>80</v>
      </c>
      <c r="E865" t="s">
        <v>79</v>
      </c>
      <c r="F865">
        <v>240</v>
      </c>
      <c r="G865">
        <v>240</v>
      </c>
      <c r="H865">
        <v>0</v>
      </c>
      <c r="I865">
        <v>14</v>
      </c>
      <c r="J865" s="17">
        <v>0.65934065934065933</v>
      </c>
      <c r="K865">
        <v>43</v>
      </c>
      <c r="L865">
        <v>40</v>
      </c>
      <c r="M865" s="17">
        <v>0.93023255813953487</v>
      </c>
      <c r="N865" s="25">
        <v>17640</v>
      </c>
      <c r="O865" s="25">
        <v>2220</v>
      </c>
      <c r="P865" s="25">
        <v>7310</v>
      </c>
      <c r="Q865" s="25">
        <v>27170</v>
      </c>
      <c r="R865" s="18">
        <v>113.2083333333333</v>
      </c>
    </row>
    <row r="866" spans="1:18" x14ac:dyDescent="0.35">
      <c r="A866" s="13">
        <v>44982</v>
      </c>
      <c r="B866">
        <v>2023</v>
      </c>
      <c r="C866">
        <v>2</v>
      </c>
      <c r="D866" t="s">
        <v>80</v>
      </c>
      <c r="E866" t="s">
        <v>79</v>
      </c>
      <c r="F866">
        <v>239</v>
      </c>
      <c r="G866">
        <v>239</v>
      </c>
      <c r="H866">
        <v>0</v>
      </c>
      <c r="I866">
        <v>12</v>
      </c>
      <c r="J866" s="17">
        <v>0.76602564102564108</v>
      </c>
      <c r="K866">
        <v>43</v>
      </c>
      <c r="L866">
        <v>40</v>
      </c>
      <c r="M866" s="17">
        <v>0.93023255813953487</v>
      </c>
      <c r="N866" s="25">
        <v>15120</v>
      </c>
      <c r="O866" s="25">
        <v>2210.75</v>
      </c>
      <c r="P866" s="25">
        <v>7310</v>
      </c>
      <c r="Q866" s="25">
        <v>24640.75</v>
      </c>
      <c r="R866" s="18">
        <v>103.0993723849372</v>
      </c>
    </row>
    <row r="867" spans="1:18" x14ac:dyDescent="0.35">
      <c r="A867" s="13">
        <v>44989</v>
      </c>
      <c r="B867">
        <v>2023</v>
      </c>
      <c r="C867">
        <v>3</v>
      </c>
      <c r="D867" t="s">
        <v>80</v>
      </c>
      <c r="E867" t="s">
        <v>79</v>
      </c>
      <c r="F867">
        <v>246</v>
      </c>
      <c r="G867">
        <v>246</v>
      </c>
      <c r="H867">
        <v>0</v>
      </c>
      <c r="I867">
        <v>14</v>
      </c>
      <c r="J867" s="17">
        <v>0.67582417582417587</v>
      </c>
      <c r="K867">
        <v>43</v>
      </c>
      <c r="L867">
        <v>43</v>
      </c>
      <c r="M867" s="17">
        <v>1</v>
      </c>
      <c r="N867" s="25">
        <v>17640</v>
      </c>
      <c r="O867" s="25">
        <v>2275.5</v>
      </c>
      <c r="P867" s="25">
        <v>7310</v>
      </c>
      <c r="Q867" s="25">
        <v>27225.5</v>
      </c>
      <c r="R867" s="18">
        <v>110.6727642276423</v>
      </c>
    </row>
    <row r="868" spans="1:18" x14ac:dyDescent="0.35">
      <c r="A868" s="13">
        <v>44996</v>
      </c>
      <c r="B868">
        <v>2023</v>
      </c>
      <c r="C868">
        <v>3</v>
      </c>
      <c r="D868" t="s">
        <v>80</v>
      </c>
      <c r="E868" t="s">
        <v>79</v>
      </c>
      <c r="F868">
        <v>240</v>
      </c>
      <c r="G868">
        <v>240</v>
      </c>
      <c r="H868">
        <v>0</v>
      </c>
      <c r="I868">
        <v>12</v>
      </c>
      <c r="J868" s="17">
        <v>0.76923076923076927</v>
      </c>
      <c r="K868">
        <v>43</v>
      </c>
      <c r="L868">
        <v>43</v>
      </c>
      <c r="M868" s="17">
        <v>1</v>
      </c>
      <c r="N868" s="25">
        <v>15120</v>
      </c>
      <c r="O868" s="25">
        <v>2220</v>
      </c>
      <c r="P868" s="25">
        <v>7310</v>
      </c>
      <c r="Q868" s="25">
        <v>24650</v>
      </c>
      <c r="R868" s="18">
        <v>102.7083333333333</v>
      </c>
    </row>
    <row r="869" spans="1:18" x14ac:dyDescent="0.35">
      <c r="A869" s="13">
        <v>45003</v>
      </c>
      <c r="B869">
        <v>2023</v>
      </c>
      <c r="C869">
        <v>3</v>
      </c>
      <c r="D869" t="s">
        <v>80</v>
      </c>
      <c r="E869" t="s">
        <v>79</v>
      </c>
      <c r="F869">
        <v>246</v>
      </c>
      <c r="G869">
        <v>246</v>
      </c>
      <c r="H869">
        <v>0</v>
      </c>
      <c r="I869">
        <v>14</v>
      </c>
      <c r="J869" s="17">
        <v>0.67582417582417587</v>
      </c>
      <c r="K869">
        <v>43</v>
      </c>
      <c r="L869">
        <v>42</v>
      </c>
      <c r="M869" s="17">
        <v>0.97674418604651159</v>
      </c>
      <c r="N869" s="25">
        <v>17640</v>
      </c>
      <c r="O869" s="25">
        <v>2275.5</v>
      </c>
      <c r="P869" s="25">
        <v>7310</v>
      </c>
      <c r="Q869" s="25">
        <v>27225.5</v>
      </c>
      <c r="R869" s="18">
        <v>110.6727642276423</v>
      </c>
    </row>
    <row r="870" spans="1:18" x14ac:dyDescent="0.35">
      <c r="A870" s="13">
        <v>45010</v>
      </c>
      <c r="B870">
        <v>2023</v>
      </c>
      <c r="C870">
        <v>3</v>
      </c>
      <c r="D870" t="s">
        <v>80</v>
      </c>
      <c r="E870" t="s">
        <v>79</v>
      </c>
      <c r="F870">
        <v>258</v>
      </c>
      <c r="G870">
        <v>258</v>
      </c>
      <c r="H870">
        <v>0</v>
      </c>
      <c r="I870">
        <v>14</v>
      </c>
      <c r="J870" s="17">
        <v>0.70879120879120883</v>
      </c>
      <c r="K870">
        <v>43</v>
      </c>
      <c r="L870">
        <v>42</v>
      </c>
      <c r="M870" s="17">
        <v>0.97674418604651159</v>
      </c>
      <c r="N870" s="25">
        <v>17640</v>
      </c>
      <c r="O870" s="25">
        <v>2386.5</v>
      </c>
      <c r="P870" s="25">
        <v>7310</v>
      </c>
      <c r="Q870" s="25">
        <v>27336.5</v>
      </c>
      <c r="R870" s="18">
        <v>105.9554263565891</v>
      </c>
    </row>
    <row r="871" spans="1:18" x14ac:dyDescent="0.35">
      <c r="A871" s="13">
        <v>45017</v>
      </c>
      <c r="B871">
        <v>2023</v>
      </c>
      <c r="C871">
        <v>4</v>
      </c>
      <c r="D871" t="s">
        <v>80</v>
      </c>
      <c r="E871" t="s">
        <v>79</v>
      </c>
      <c r="F871">
        <v>263</v>
      </c>
      <c r="G871">
        <v>263</v>
      </c>
      <c r="H871">
        <v>0</v>
      </c>
      <c r="I871">
        <v>14</v>
      </c>
      <c r="J871" s="17">
        <v>0.72252747252747251</v>
      </c>
      <c r="K871">
        <v>43</v>
      </c>
      <c r="L871">
        <v>41</v>
      </c>
      <c r="M871" s="17">
        <v>0.95348837209302328</v>
      </c>
      <c r="N871" s="25">
        <v>17640</v>
      </c>
      <c r="O871" s="25">
        <v>2432.75</v>
      </c>
      <c r="P871" s="25">
        <v>7310</v>
      </c>
      <c r="Q871" s="25">
        <v>27382.75</v>
      </c>
      <c r="R871" s="18">
        <v>104.1169201520913</v>
      </c>
    </row>
    <row r="872" spans="1:18" x14ac:dyDescent="0.35">
      <c r="A872" s="13">
        <v>45024</v>
      </c>
      <c r="B872">
        <v>2023</v>
      </c>
      <c r="C872">
        <v>4</v>
      </c>
      <c r="D872" t="s">
        <v>80</v>
      </c>
      <c r="E872" t="s">
        <v>79</v>
      </c>
      <c r="F872">
        <v>248</v>
      </c>
      <c r="G872">
        <v>248</v>
      </c>
      <c r="H872">
        <v>0</v>
      </c>
      <c r="I872">
        <v>13</v>
      </c>
      <c r="J872" s="17">
        <v>0.73372781065088755</v>
      </c>
      <c r="K872">
        <v>43</v>
      </c>
      <c r="L872">
        <v>40</v>
      </c>
      <c r="M872" s="17">
        <v>0.93023255813953487</v>
      </c>
      <c r="N872" s="25">
        <v>16380</v>
      </c>
      <c r="O872" s="25">
        <v>2294</v>
      </c>
      <c r="P872" s="25">
        <v>7310</v>
      </c>
      <c r="Q872" s="25">
        <v>25984</v>
      </c>
      <c r="R872" s="18">
        <v>104.7741935483871</v>
      </c>
    </row>
    <row r="873" spans="1:18" x14ac:dyDescent="0.35">
      <c r="A873" s="13">
        <v>45031</v>
      </c>
      <c r="B873">
        <v>2023</v>
      </c>
      <c r="C873">
        <v>4</v>
      </c>
      <c r="D873" t="s">
        <v>80</v>
      </c>
      <c r="E873" t="s">
        <v>79</v>
      </c>
      <c r="F873">
        <v>252</v>
      </c>
      <c r="G873">
        <v>252</v>
      </c>
      <c r="H873">
        <v>0</v>
      </c>
      <c r="I873">
        <v>12</v>
      </c>
      <c r="J873" s="17">
        <v>0.80769230769230771</v>
      </c>
      <c r="K873">
        <v>43</v>
      </c>
      <c r="L873">
        <v>42</v>
      </c>
      <c r="M873" s="17">
        <v>0.97674418604651159</v>
      </c>
      <c r="N873" s="25">
        <v>15120</v>
      </c>
      <c r="O873" s="25">
        <v>2331</v>
      </c>
      <c r="P873" s="25">
        <v>7310</v>
      </c>
      <c r="Q873" s="25">
        <v>24761</v>
      </c>
      <c r="R873" s="18">
        <v>98.257936507936506</v>
      </c>
    </row>
    <row r="874" spans="1:18" x14ac:dyDescent="0.35">
      <c r="A874" s="13">
        <v>45038</v>
      </c>
      <c r="B874">
        <v>2023</v>
      </c>
      <c r="C874">
        <v>4</v>
      </c>
      <c r="D874" t="s">
        <v>80</v>
      </c>
      <c r="E874" t="s">
        <v>79</v>
      </c>
      <c r="F874">
        <v>268</v>
      </c>
      <c r="G874">
        <v>268</v>
      </c>
      <c r="H874">
        <v>0</v>
      </c>
      <c r="I874">
        <v>14</v>
      </c>
      <c r="J874" s="17">
        <v>0.73626373626373631</v>
      </c>
      <c r="K874">
        <v>43</v>
      </c>
      <c r="L874">
        <v>43</v>
      </c>
      <c r="M874" s="17">
        <v>1</v>
      </c>
      <c r="N874" s="25">
        <v>17640</v>
      </c>
      <c r="O874" s="25">
        <v>2479</v>
      </c>
      <c r="P874" s="25">
        <v>7310</v>
      </c>
      <c r="Q874" s="25">
        <v>27429</v>
      </c>
      <c r="R874" s="18">
        <v>102.3470149253731</v>
      </c>
    </row>
    <row r="875" spans="1:18" x14ac:dyDescent="0.35">
      <c r="A875" s="13">
        <v>45045</v>
      </c>
      <c r="B875">
        <v>2023</v>
      </c>
      <c r="C875">
        <v>4</v>
      </c>
      <c r="D875" t="s">
        <v>80</v>
      </c>
      <c r="E875" t="s">
        <v>79</v>
      </c>
      <c r="F875">
        <v>270</v>
      </c>
      <c r="G875">
        <v>270</v>
      </c>
      <c r="H875">
        <v>0</v>
      </c>
      <c r="I875">
        <v>14</v>
      </c>
      <c r="J875" s="17">
        <v>0.74175824175824179</v>
      </c>
      <c r="K875">
        <v>43</v>
      </c>
      <c r="L875">
        <v>42</v>
      </c>
      <c r="M875" s="17">
        <v>0.97674418604651159</v>
      </c>
      <c r="N875" s="25">
        <v>17640</v>
      </c>
      <c r="O875" s="25">
        <v>2497.5</v>
      </c>
      <c r="P875" s="25">
        <v>7310</v>
      </c>
      <c r="Q875" s="25">
        <v>27447.5</v>
      </c>
      <c r="R875" s="18">
        <v>101.6574074074074</v>
      </c>
    </row>
    <row r="876" spans="1:18" x14ac:dyDescent="0.35">
      <c r="A876" s="13">
        <v>45052</v>
      </c>
      <c r="B876">
        <v>2023</v>
      </c>
      <c r="C876">
        <v>5</v>
      </c>
      <c r="D876" t="s">
        <v>80</v>
      </c>
      <c r="E876" t="s">
        <v>79</v>
      </c>
      <c r="F876">
        <v>261</v>
      </c>
      <c r="G876">
        <v>261</v>
      </c>
      <c r="H876">
        <v>0</v>
      </c>
      <c r="I876">
        <v>13</v>
      </c>
      <c r="J876" s="17">
        <v>0.77218934911242598</v>
      </c>
      <c r="K876">
        <v>43</v>
      </c>
      <c r="L876">
        <v>43</v>
      </c>
      <c r="M876" s="17">
        <v>1</v>
      </c>
      <c r="N876" s="25">
        <v>16380</v>
      </c>
      <c r="O876" s="25">
        <v>2414.25</v>
      </c>
      <c r="P876" s="25">
        <v>7310</v>
      </c>
      <c r="Q876" s="25">
        <v>26104.25</v>
      </c>
      <c r="R876" s="18">
        <v>100.0162835249042</v>
      </c>
    </row>
    <row r="877" spans="1:18" x14ac:dyDescent="0.35">
      <c r="A877" s="13">
        <v>45059</v>
      </c>
      <c r="B877">
        <v>2023</v>
      </c>
      <c r="C877">
        <v>5</v>
      </c>
      <c r="D877" t="s">
        <v>80</v>
      </c>
      <c r="E877" t="s">
        <v>79</v>
      </c>
      <c r="F877">
        <v>274</v>
      </c>
      <c r="G877">
        <v>274</v>
      </c>
      <c r="H877">
        <v>0</v>
      </c>
      <c r="I877">
        <v>14</v>
      </c>
      <c r="J877" s="17">
        <v>0.75274725274725274</v>
      </c>
      <c r="K877">
        <v>43</v>
      </c>
      <c r="L877">
        <v>38</v>
      </c>
      <c r="M877" s="17">
        <v>0.88372093023255816</v>
      </c>
      <c r="N877" s="25">
        <v>17640</v>
      </c>
      <c r="O877" s="25">
        <v>2534.5</v>
      </c>
      <c r="P877" s="25">
        <v>7310</v>
      </c>
      <c r="Q877" s="25">
        <v>27484.5</v>
      </c>
      <c r="R877" s="18">
        <v>100.3083941605839</v>
      </c>
    </row>
    <row r="878" spans="1:18" x14ac:dyDescent="0.35">
      <c r="A878" s="13">
        <v>45066</v>
      </c>
      <c r="B878">
        <v>2023</v>
      </c>
      <c r="C878">
        <v>5</v>
      </c>
      <c r="D878" t="s">
        <v>80</v>
      </c>
      <c r="E878" t="s">
        <v>79</v>
      </c>
      <c r="F878">
        <v>278</v>
      </c>
      <c r="G878">
        <v>278</v>
      </c>
      <c r="H878">
        <v>0</v>
      </c>
      <c r="I878">
        <v>14</v>
      </c>
      <c r="J878" s="17">
        <v>0.76373626373626369</v>
      </c>
      <c r="K878">
        <v>43</v>
      </c>
      <c r="L878">
        <v>43</v>
      </c>
      <c r="M878" s="17">
        <v>1</v>
      </c>
      <c r="N878" s="25">
        <v>17640</v>
      </c>
      <c r="O878" s="25">
        <v>2571.5</v>
      </c>
      <c r="P878" s="25">
        <v>7310</v>
      </c>
      <c r="Q878" s="25">
        <v>27521.5</v>
      </c>
      <c r="R878" s="18">
        <v>98.998201438848923</v>
      </c>
    </row>
    <row r="879" spans="1:18" x14ac:dyDescent="0.35">
      <c r="A879" s="13">
        <v>45073</v>
      </c>
      <c r="B879">
        <v>2023</v>
      </c>
      <c r="C879">
        <v>5</v>
      </c>
      <c r="D879" t="s">
        <v>80</v>
      </c>
      <c r="E879" t="s">
        <v>79</v>
      </c>
      <c r="F879">
        <v>259</v>
      </c>
      <c r="G879">
        <v>259</v>
      </c>
      <c r="H879">
        <v>0</v>
      </c>
      <c r="I879">
        <v>14</v>
      </c>
      <c r="J879" s="17">
        <v>0.71153846153846156</v>
      </c>
      <c r="K879">
        <v>43</v>
      </c>
      <c r="L879">
        <v>41</v>
      </c>
      <c r="M879" s="17">
        <v>0.95348837209302328</v>
      </c>
      <c r="N879" s="25">
        <v>17640</v>
      </c>
      <c r="O879" s="25">
        <v>2395.75</v>
      </c>
      <c r="P879" s="25">
        <v>7310</v>
      </c>
      <c r="Q879" s="25">
        <v>27345.75</v>
      </c>
      <c r="R879" s="18">
        <v>105.5820463320463</v>
      </c>
    </row>
    <row r="880" spans="1:18" x14ac:dyDescent="0.35">
      <c r="A880" s="13">
        <v>45080</v>
      </c>
      <c r="B880">
        <v>2023</v>
      </c>
      <c r="C880">
        <v>6</v>
      </c>
      <c r="D880" t="s">
        <v>80</v>
      </c>
      <c r="E880" t="s">
        <v>79</v>
      </c>
      <c r="F880">
        <v>280</v>
      </c>
      <c r="G880">
        <v>280</v>
      </c>
      <c r="H880">
        <v>0</v>
      </c>
      <c r="I880">
        <v>14</v>
      </c>
      <c r="J880" s="17">
        <v>0.76923076923076927</v>
      </c>
      <c r="K880">
        <v>43</v>
      </c>
      <c r="L880">
        <v>42</v>
      </c>
      <c r="M880" s="17">
        <v>0.97674418604651159</v>
      </c>
      <c r="N880" s="25">
        <v>17640</v>
      </c>
      <c r="O880" s="25">
        <v>2590</v>
      </c>
      <c r="P880" s="25">
        <v>7310</v>
      </c>
      <c r="Q880" s="25">
        <v>27540</v>
      </c>
      <c r="R880" s="18">
        <v>98.357142857142861</v>
      </c>
    </row>
    <row r="881" spans="1:18" x14ac:dyDescent="0.35">
      <c r="A881" s="13">
        <v>45087</v>
      </c>
      <c r="B881">
        <v>2023</v>
      </c>
      <c r="C881">
        <v>6</v>
      </c>
      <c r="D881" t="s">
        <v>80</v>
      </c>
      <c r="E881" t="s">
        <v>79</v>
      </c>
      <c r="F881">
        <v>266</v>
      </c>
      <c r="G881">
        <v>266</v>
      </c>
      <c r="H881">
        <v>0</v>
      </c>
      <c r="I881">
        <v>14</v>
      </c>
      <c r="J881" s="17">
        <v>0.73076923076923073</v>
      </c>
      <c r="K881">
        <v>43</v>
      </c>
      <c r="L881">
        <v>42</v>
      </c>
      <c r="M881" s="17">
        <v>0.97674418604651159</v>
      </c>
      <c r="N881" s="25">
        <v>17640</v>
      </c>
      <c r="O881" s="25">
        <v>2460.5</v>
      </c>
      <c r="P881" s="25">
        <v>7310</v>
      </c>
      <c r="Q881" s="25">
        <v>27410.5</v>
      </c>
      <c r="R881" s="18">
        <v>103.04699248120301</v>
      </c>
    </row>
    <row r="882" spans="1:18" x14ac:dyDescent="0.35">
      <c r="A882" s="13">
        <v>45094</v>
      </c>
      <c r="B882">
        <v>2023</v>
      </c>
      <c r="C882">
        <v>6</v>
      </c>
      <c r="D882" t="s">
        <v>80</v>
      </c>
      <c r="E882" t="s">
        <v>79</v>
      </c>
      <c r="F882">
        <v>257</v>
      </c>
      <c r="G882">
        <v>257</v>
      </c>
      <c r="H882">
        <v>0</v>
      </c>
      <c r="I882">
        <v>12</v>
      </c>
      <c r="J882" s="17">
        <v>0.82371794871794868</v>
      </c>
      <c r="K882">
        <v>43</v>
      </c>
      <c r="L882">
        <v>43</v>
      </c>
      <c r="M882" s="17">
        <v>1</v>
      </c>
      <c r="N882" s="25">
        <v>15120</v>
      </c>
      <c r="O882" s="25">
        <v>2377.25</v>
      </c>
      <c r="P882" s="25">
        <v>7310</v>
      </c>
      <c r="Q882" s="25">
        <v>24807.25</v>
      </c>
      <c r="R882" s="18">
        <v>96.526264591439684</v>
      </c>
    </row>
    <row r="883" spans="1:18" x14ac:dyDescent="0.35">
      <c r="A883" s="13">
        <v>45101</v>
      </c>
      <c r="B883">
        <v>2023</v>
      </c>
      <c r="C883">
        <v>6</v>
      </c>
      <c r="D883" t="s">
        <v>80</v>
      </c>
      <c r="E883" t="s">
        <v>79</v>
      </c>
      <c r="F883">
        <v>251</v>
      </c>
      <c r="G883">
        <v>251</v>
      </c>
      <c r="H883">
        <v>0</v>
      </c>
      <c r="I883">
        <v>13</v>
      </c>
      <c r="J883" s="17">
        <v>0.74260355029585801</v>
      </c>
      <c r="K883">
        <v>43</v>
      </c>
      <c r="L883">
        <v>42</v>
      </c>
      <c r="M883" s="17">
        <v>0.97674418604651159</v>
      </c>
      <c r="N883" s="25">
        <v>16380</v>
      </c>
      <c r="O883" s="25">
        <v>2321.75</v>
      </c>
      <c r="P883" s="25">
        <v>7310</v>
      </c>
      <c r="Q883" s="25">
        <v>26011.75</v>
      </c>
      <c r="R883" s="18">
        <v>103.6324701195219</v>
      </c>
    </row>
    <row r="884" spans="1:18" x14ac:dyDescent="0.35">
      <c r="A884" s="13">
        <v>45108</v>
      </c>
      <c r="B884">
        <v>2023</v>
      </c>
      <c r="C884">
        <v>7</v>
      </c>
      <c r="D884" t="s">
        <v>80</v>
      </c>
      <c r="E884" t="s">
        <v>79</v>
      </c>
      <c r="F884">
        <v>269</v>
      </c>
      <c r="G884">
        <v>269</v>
      </c>
      <c r="H884">
        <v>0</v>
      </c>
      <c r="I884">
        <v>14</v>
      </c>
      <c r="J884" s="17">
        <v>0.73901098901098905</v>
      </c>
      <c r="K884">
        <v>43</v>
      </c>
      <c r="L884">
        <v>42</v>
      </c>
      <c r="M884" s="17">
        <v>0.97674418604651159</v>
      </c>
      <c r="N884" s="25">
        <v>17640</v>
      </c>
      <c r="O884" s="25">
        <v>2488.25</v>
      </c>
      <c r="P884" s="25">
        <v>7310</v>
      </c>
      <c r="Q884" s="25">
        <v>27438.25</v>
      </c>
      <c r="R884" s="18">
        <v>102.0009293680297</v>
      </c>
    </row>
    <row r="885" spans="1:18" x14ac:dyDescent="0.35">
      <c r="A885" s="13">
        <v>45115</v>
      </c>
      <c r="B885">
        <v>2023</v>
      </c>
      <c r="C885">
        <v>7</v>
      </c>
      <c r="D885" t="s">
        <v>80</v>
      </c>
      <c r="E885" t="s">
        <v>79</v>
      </c>
      <c r="F885">
        <v>253</v>
      </c>
      <c r="G885">
        <v>253</v>
      </c>
      <c r="H885">
        <v>0</v>
      </c>
      <c r="I885">
        <v>14</v>
      </c>
      <c r="J885" s="17">
        <v>0.69505494505494503</v>
      </c>
      <c r="K885">
        <v>43</v>
      </c>
      <c r="L885">
        <v>42</v>
      </c>
      <c r="M885" s="17">
        <v>0.97674418604651159</v>
      </c>
      <c r="N885" s="25">
        <v>17640</v>
      </c>
      <c r="O885" s="25">
        <v>2340.25</v>
      </c>
      <c r="P885" s="25">
        <v>7310</v>
      </c>
      <c r="Q885" s="25">
        <v>27290.25</v>
      </c>
      <c r="R885" s="18">
        <v>107.8666007905138</v>
      </c>
    </row>
    <row r="886" spans="1:18" x14ac:dyDescent="0.35">
      <c r="A886" s="13">
        <v>45122</v>
      </c>
      <c r="B886">
        <v>2023</v>
      </c>
      <c r="C886">
        <v>7</v>
      </c>
      <c r="D886" t="s">
        <v>80</v>
      </c>
      <c r="E886" t="s">
        <v>79</v>
      </c>
      <c r="F886">
        <v>251</v>
      </c>
      <c r="G886">
        <v>251</v>
      </c>
      <c r="H886">
        <v>0</v>
      </c>
      <c r="I886">
        <v>13</v>
      </c>
      <c r="J886" s="17">
        <v>0.74260355029585801</v>
      </c>
      <c r="K886">
        <v>43</v>
      </c>
      <c r="L886">
        <v>42</v>
      </c>
      <c r="M886" s="17">
        <v>0.97674418604651159</v>
      </c>
      <c r="N886" s="25">
        <v>16380</v>
      </c>
      <c r="O886" s="25">
        <v>2321.75</v>
      </c>
      <c r="P886" s="25">
        <v>7310</v>
      </c>
      <c r="Q886" s="25">
        <v>26011.75</v>
      </c>
      <c r="R886" s="18">
        <v>103.6324701195219</v>
      </c>
    </row>
    <row r="887" spans="1:18" x14ac:dyDescent="0.35">
      <c r="A887" s="13">
        <v>45129</v>
      </c>
      <c r="B887">
        <v>2023</v>
      </c>
      <c r="C887">
        <v>7</v>
      </c>
      <c r="D887" t="s">
        <v>80</v>
      </c>
      <c r="E887" t="s">
        <v>79</v>
      </c>
      <c r="F887">
        <v>271</v>
      </c>
      <c r="G887">
        <v>271</v>
      </c>
      <c r="H887">
        <v>0</v>
      </c>
      <c r="I887">
        <v>14</v>
      </c>
      <c r="J887" s="17">
        <v>0.74450549450549453</v>
      </c>
      <c r="K887">
        <v>43</v>
      </c>
      <c r="L887">
        <v>41</v>
      </c>
      <c r="M887" s="17">
        <v>0.95348837209302328</v>
      </c>
      <c r="N887" s="25">
        <v>17640</v>
      </c>
      <c r="O887" s="25">
        <v>2506.75</v>
      </c>
      <c r="P887" s="25">
        <v>7310</v>
      </c>
      <c r="Q887" s="25">
        <v>27456.75</v>
      </c>
      <c r="R887" s="18">
        <v>101.3164206642066</v>
      </c>
    </row>
    <row r="888" spans="1:18" x14ac:dyDescent="0.35">
      <c r="A888" s="13">
        <v>45136</v>
      </c>
      <c r="B888">
        <v>2023</v>
      </c>
      <c r="C888">
        <v>7</v>
      </c>
      <c r="D888" t="s">
        <v>80</v>
      </c>
      <c r="E888" t="s">
        <v>79</v>
      </c>
      <c r="F888">
        <v>273</v>
      </c>
      <c r="G888">
        <v>273</v>
      </c>
      <c r="H888">
        <v>0</v>
      </c>
      <c r="I888">
        <v>14</v>
      </c>
      <c r="J888" s="17">
        <v>0.75</v>
      </c>
      <c r="K888">
        <v>43</v>
      </c>
      <c r="L888">
        <v>41</v>
      </c>
      <c r="M888" s="17">
        <v>0.95348837209302328</v>
      </c>
      <c r="N888" s="25">
        <v>17640</v>
      </c>
      <c r="O888" s="25">
        <v>2525.25</v>
      </c>
      <c r="P888" s="25">
        <v>7310</v>
      </c>
      <c r="Q888" s="25">
        <v>27475.25</v>
      </c>
      <c r="R888" s="18">
        <v>100.6419413919414</v>
      </c>
    </row>
    <row r="889" spans="1:18" x14ac:dyDescent="0.35">
      <c r="A889" s="13">
        <v>45143</v>
      </c>
      <c r="B889">
        <v>2023</v>
      </c>
      <c r="C889">
        <v>8</v>
      </c>
      <c r="D889" t="s">
        <v>80</v>
      </c>
      <c r="E889" t="s">
        <v>79</v>
      </c>
      <c r="F889">
        <v>282</v>
      </c>
      <c r="G889">
        <v>282</v>
      </c>
      <c r="H889">
        <v>0</v>
      </c>
      <c r="I889">
        <v>15</v>
      </c>
      <c r="J889" s="17">
        <v>0.72307692307692306</v>
      </c>
      <c r="K889">
        <v>43</v>
      </c>
      <c r="L889">
        <v>39</v>
      </c>
      <c r="M889" s="17">
        <v>0.90697674418604646</v>
      </c>
      <c r="N889" s="25">
        <v>18900</v>
      </c>
      <c r="O889" s="25">
        <v>2608.5</v>
      </c>
      <c r="P889" s="25">
        <v>7310</v>
      </c>
      <c r="Q889" s="25">
        <v>28818.5</v>
      </c>
      <c r="R889" s="18">
        <v>102.1932624113475</v>
      </c>
    </row>
    <row r="890" spans="1:18" x14ac:dyDescent="0.35">
      <c r="A890" s="13">
        <v>45150</v>
      </c>
      <c r="B890">
        <v>2023</v>
      </c>
      <c r="C890">
        <v>8</v>
      </c>
      <c r="D890" t="s">
        <v>80</v>
      </c>
      <c r="E890" t="s">
        <v>79</v>
      </c>
      <c r="F890">
        <v>270</v>
      </c>
      <c r="G890">
        <v>270</v>
      </c>
      <c r="H890">
        <v>0</v>
      </c>
      <c r="I890">
        <v>14</v>
      </c>
      <c r="J890" s="17">
        <v>0.74175824175824179</v>
      </c>
      <c r="K890">
        <v>43</v>
      </c>
      <c r="L890">
        <v>43</v>
      </c>
      <c r="M890" s="17">
        <v>1</v>
      </c>
      <c r="N890" s="25">
        <v>17640</v>
      </c>
      <c r="O890" s="25">
        <v>2497.5</v>
      </c>
      <c r="P890" s="25">
        <v>7310</v>
      </c>
      <c r="Q890" s="25">
        <v>27447.5</v>
      </c>
      <c r="R890" s="18">
        <v>101.6574074074074</v>
      </c>
    </row>
    <row r="891" spans="1:18" x14ac:dyDescent="0.35">
      <c r="A891" s="13">
        <v>45157</v>
      </c>
      <c r="B891">
        <v>2023</v>
      </c>
      <c r="C891">
        <v>8</v>
      </c>
      <c r="D891" t="s">
        <v>80</v>
      </c>
      <c r="E891" t="s">
        <v>79</v>
      </c>
      <c r="F891">
        <v>271</v>
      </c>
      <c r="G891">
        <v>271</v>
      </c>
      <c r="H891">
        <v>0</v>
      </c>
      <c r="I891">
        <v>14</v>
      </c>
      <c r="J891" s="17">
        <v>0.74450549450549453</v>
      </c>
      <c r="K891">
        <v>43</v>
      </c>
      <c r="L891">
        <v>43</v>
      </c>
      <c r="M891" s="17">
        <v>1</v>
      </c>
      <c r="N891" s="25">
        <v>17640</v>
      </c>
      <c r="O891" s="25">
        <v>2506.75</v>
      </c>
      <c r="P891" s="25">
        <v>7310</v>
      </c>
      <c r="Q891" s="25">
        <v>27456.75</v>
      </c>
      <c r="R891" s="18">
        <v>101.3164206642066</v>
      </c>
    </row>
    <row r="892" spans="1:18" x14ac:dyDescent="0.35">
      <c r="A892" s="13">
        <v>45164</v>
      </c>
      <c r="B892">
        <v>2023</v>
      </c>
      <c r="C892">
        <v>8</v>
      </c>
      <c r="D892" t="s">
        <v>80</v>
      </c>
      <c r="E892" t="s">
        <v>79</v>
      </c>
      <c r="F892">
        <v>255</v>
      </c>
      <c r="G892">
        <v>255</v>
      </c>
      <c r="H892">
        <v>0</v>
      </c>
      <c r="I892">
        <v>14</v>
      </c>
      <c r="J892" s="17">
        <v>0.7005494505494505</v>
      </c>
      <c r="K892">
        <v>43</v>
      </c>
      <c r="L892">
        <v>42</v>
      </c>
      <c r="M892" s="17">
        <v>0.97674418604651159</v>
      </c>
      <c r="N892" s="25">
        <v>17640</v>
      </c>
      <c r="O892" s="25">
        <v>2358.75</v>
      </c>
      <c r="P892" s="25">
        <v>7310</v>
      </c>
      <c r="Q892" s="25">
        <v>27308.75</v>
      </c>
      <c r="R892" s="18">
        <v>107.093137254902</v>
      </c>
    </row>
    <row r="893" spans="1:18" x14ac:dyDescent="0.35">
      <c r="A893" s="13">
        <v>45171</v>
      </c>
      <c r="B893">
        <v>2023</v>
      </c>
      <c r="C893">
        <v>9</v>
      </c>
      <c r="D893" t="s">
        <v>80</v>
      </c>
      <c r="E893" t="s">
        <v>79</v>
      </c>
      <c r="F893">
        <v>248</v>
      </c>
      <c r="G893">
        <v>248</v>
      </c>
      <c r="H893">
        <v>0</v>
      </c>
      <c r="I893">
        <v>12</v>
      </c>
      <c r="J893" s="17">
        <v>0.79487179487179482</v>
      </c>
      <c r="K893">
        <v>43</v>
      </c>
      <c r="L893">
        <v>41</v>
      </c>
      <c r="M893" s="17">
        <v>0.95348837209302328</v>
      </c>
      <c r="N893" s="25">
        <v>15120</v>
      </c>
      <c r="O893" s="25">
        <v>2294</v>
      </c>
      <c r="P893" s="25">
        <v>7310</v>
      </c>
      <c r="Q893" s="25">
        <v>24724</v>
      </c>
      <c r="R893" s="18">
        <v>99.693548387096769</v>
      </c>
    </row>
    <row r="894" spans="1:18" x14ac:dyDescent="0.35">
      <c r="A894" s="13">
        <v>45178</v>
      </c>
      <c r="B894">
        <v>2023</v>
      </c>
      <c r="C894">
        <v>9</v>
      </c>
      <c r="D894" t="s">
        <v>80</v>
      </c>
      <c r="E894" t="s">
        <v>79</v>
      </c>
      <c r="F894">
        <v>242</v>
      </c>
      <c r="G894">
        <v>242</v>
      </c>
      <c r="H894">
        <v>0</v>
      </c>
      <c r="I894">
        <v>11</v>
      </c>
      <c r="J894" s="17">
        <v>0.84615384615384615</v>
      </c>
      <c r="K894">
        <v>43</v>
      </c>
      <c r="L894">
        <v>42</v>
      </c>
      <c r="M894" s="17">
        <v>0.97674418604651159</v>
      </c>
      <c r="N894" s="25">
        <v>13860</v>
      </c>
      <c r="O894" s="25">
        <v>2238.5</v>
      </c>
      <c r="P894" s="25">
        <v>7310</v>
      </c>
      <c r="Q894" s="25">
        <v>23408.5</v>
      </c>
      <c r="R894" s="18">
        <v>96.72933884297521</v>
      </c>
    </row>
    <row r="895" spans="1:18" x14ac:dyDescent="0.35">
      <c r="A895" s="13">
        <v>45185</v>
      </c>
      <c r="B895">
        <v>2023</v>
      </c>
      <c r="C895">
        <v>9</v>
      </c>
      <c r="D895" t="s">
        <v>80</v>
      </c>
      <c r="E895" t="s">
        <v>79</v>
      </c>
      <c r="F895">
        <v>251</v>
      </c>
      <c r="G895">
        <v>251</v>
      </c>
      <c r="H895">
        <v>0</v>
      </c>
      <c r="I895">
        <v>13</v>
      </c>
      <c r="J895" s="17">
        <v>0.74260355029585801</v>
      </c>
      <c r="K895">
        <v>43</v>
      </c>
      <c r="L895">
        <v>43</v>
      </c>
      <c r="M895" s="17">
        <v>1</v>
      </c>
      <c r="N895" s="25">
        <v>16380</v>
      </c>
      <c r="O895" s="25">
        <v>2321.75</v>
      </c>
      <c r="P895" s="25">
        <v>7310</v>
      </c>
      <c r="Q895" s="25">
        <v>26011.75</v>
      </c>
      <c r="R895" s="18">
        <v>103.6324701195219</v>
      </c>
    </row>
    <row r="896" spans="1:18" x14ac:dyDescent="0.35">
      <c r="A896" s="13">
        <v>45192</v>
      </c>
      <c r="B896">
        <v>2023</v>
      </c>
      <c r="C896">
        <v>9</v>
      </c>
      <c r="D896" t="s">
        <v>80</v>
      </c>
      <c r="E896" t="s">
        <v>79</v>
      </c>
      <c r="F896">
        <v>253</v>
      </c>
      <c r="G896">
        <v>253</v>
      </c>
      <c r="H896">
        <v>0</v>
      </c>
      <c r="I896">
        <v>12</v>
      </c>
      <c r="J896" s="17">
        <v>0.8108974358974359</v>
      </c>
      <c r="K896">
        <v>43</v>
      </c>
      <c r="L896">
        <v>42</v>
      </c>
      <c r="M896" s="17">
        <v>0.97674418604651159</v>
      </c>
      <c r="N896" s="25">
        <v>15120</v>
      </c>
      <c r="O896" s="25">
        <v>2340.25</v>
      </c>
      <c r="P896" s="25">
        <v>7310</v>
      </c>
      <c r="Q896" s="25">
        <v>24770.25</v>
      </c>
      <c r="R896" s="18">
        <v>97.906126482213438</v>
      </c>
    </row>
    <row r="897" spans="1:18" x14ac:dyDescent="0.35">
      <c r="A897" s="13">
        <v>45199</v>
      </c>
      <c r="B897">
        <v>2023</v>
      </c>
      <c r="C897">
        <v>9</v>
      </c>
      <c r="D897" t="s">
        <v>80</v>
      </c>
      <c r="E897" t="s">
        <v>79</v>
      </c>
      <c r="F897">
        <v>249</v>
      </c>
      <c r="G897">
        <v>249</v>
      </c>
      <c r="H897">
        <v>0</v>
      </c>
      <c r="I897">
        <v>13</v>
      </c>
      <c r="J897" s="17">
        <v>0.73668639053254437</v>
      </c>
      <c r="K897">
        <v>43</v>
      </c>
      <c r="L897">
        <v>43</v>
      </c>
      <c r="M897" s="17">
        <v>1</v>
      </c>
      <c r="N897" s="25">
        <v>16380</v>
      </c>
      <c r="O897" s="25">
        <v>2303.25</v>
      </c>
      <c r="P897" s="25">
        <v>7310</v>
      </c>
      <c r="Q897" s="25">
        <v>25993.25</v>
      </c>
      <c r="R897" s="18">
        <v>104.39056224899601</v>
      </c>
    </row>
    <row r="898" spans="1:18" x14ac:dyDescent="0.35">
      <c r="A898" s="13">
        <v>45206</v>
      </c>
      <c r="B898">
        <v>2023</v>
      </c>
      <c r="C898">
        <v>10</v>
      </c>
      <c r="D898" t="s">
        <v>80</v>
      </c>
      <c r="E898" t="s">
        <v>79</v>
      </c>
      <c r="F898">
        <v>251</v>
      </c>
      <c r="G898">
        <v>251</v>
      </c>
      <c r="H898">
        <v>0</v>
      </c>
      <c r="I898">
        <v>14</v>
      </c>
      <c r="J898" s="17">
        <v>0.68956043956043955</v>
      </c>
      <c r="K898">
        <v>43</v>
      </c>
      <c r="L898">
        <v>42</v>
      </c>
      <c r="M898" s="17">
        <v>0.97674418604651159</v>
      </c>
      <c r="N898" s="25">
        <v>17640</v>
      </c>
      <c r="O898" s="25">
        <v>2321.75</v>
      </c>
      <c r="P898" s="25">
        <v>7310</v>
      </c>
      <c r="Q898" s="25">
        <v>27271.75</v>
      </c>
      <c r="R898" s="18">
        <v>108.652390438247</v>
      </c>
    </row>
    <row r="899" spans="1:18" x14ac:dyDescent="0.35">
      <c r="A899" s="13">
        <v>45213</v>
      </c>
      <c r="B899">
        <v>2023</v>
      </c>
      <c r="C899">
        <v>10</v>
      </c>
      <c r="D899" t="s">
        <v>80</v>
      </c>
      <c r="E899" t="s">
        <v>79</v>
      </c>
      <c r="F899">
        <v>246</v>
      </c>
      <c r="G899">
        <v>246</v>
      </c>
      <c r="H899">
        <v>0</v>
      </c>
      <c r="I899">
        <v>13</v>
      </c>
      <c r="J899" s="17">
        <v>0.72781065088757402</v>
      </c>
      <c r="K899">
        <v>43</v>
      </c>
      <c r="L899">
        <v>43</v>
      </c>
      <c r="M899" s="17">
        <v>1</v>
      </c>
      <c r="N899" s="25">
        <v>16380</v>
      </c>
      <c r="O899" s="25">
        <v>2275.5</v>
      </c>
      <c r="P899" s="25">
        <v>7310</v>
      </c>
      <c r="Q899" s="25">
        <v>25965.5</v>
      </c>
      <c r="R899" s="18">
        <v>105.55081300813011</v>
      </c>
    </row>
    <row r="900" spans="1:18" x14ac:dyDescent="0.35">
      <c r="A900" s="13">
        <v>45220</v>
      </c>
      <c r="B900">
        <v>2023</v>
      </c>
      <c r="C900">
        <v>10</v>
      </c>
      <c r="D900" t="s">
        <v>80</v>
      </c>
      <c r="E900" t="s">
        <v>79</v>
      </c>
      <c r="F900">
        <v>270</v>
      </c>
      <c r="G900">
        <v>270</v>
      </c>
      <c r="H900">
        <v>0</v>
      </c>
      <c r="I900">
        <v>14</v>
      </c>
      <c r="J900" s="17">
        <v>0.74175824175824179</v>
      </c>
      <c r="K900">
        <v>43</v>
      </c>
      <c r="L900">
        <v>43</v>
      </c>
      <c r="M900" s="17">
        <v>1</v>
      </c>
      <c r="N900" s="25">
        <v>17640</v>
      </c>
      <c r="O900" s="25">
        <v>2497.5</v>
      </c>
      <c r="P900" s="25">
        <v>7310</v>
      </c>
      <c r="Q900" s="25">
        <v>27447.5</v>
      </c>
      <c r="R900" s="18">
        <v>101.6574074074074</v>
      </c>
    </row>
    <row r="901" spans="1:18" x14ac:dyDescent="0.35">
      <c r="A901" s="13">
        <v>45227</v>
      </c>
      <c r="B901">
        <v>2023</v>
      </c>
      <c r="C901">
        <v>10</v>
      </c>
      <c r="D901" t="s">
        <v>80</v>
      </c>
      <c r="E901" t="s">
        <v>79</v>
      </c>
      <c r="F901">
        <v>302</v>
      </c>
      <c r="G901">
        <v>302</v>
      </c>
      <c r="H901">
        <v>0</v>
      </c>
      <c r="I901">
        <v>15</v>
      </c>
      <c r="J901" s="17">
        <v>0.77435897435897438</v>
      </c>
      <c r="K901">
        <v>43</v>
      </c>
      <c r="L901">
        <v>43</v>
      </c>
      <c r="M901" s="17">
        <v>1</v>
      </c>
      <c r="N901" s="25">
        <v>18900</v>
      </c>
      <c r="O901" s="25">
        <v>2793.5</v>
      </c>
      <c r="P901" s="25">
        <v>7310</v>
      </c>
      <c r="Q901" s="25">
        <v>29003.5</v>
      </c>
      <c r="R901" s="18">
        <v>96.038079470198682</v>
      </c>
    </row>
    <row r="902" spans="1:18" x14ac:dyDescent="0.35">
      <c r="A902" s="13">
        <v>45234</v>
      </c>
      <c r="B902">
        <v>2023</v>
      </c>
      <c r="C902">
        <v>11</v>
      </c>
      <c r="D902" t="s">
        <v>80</v>
      </c>
      <c r="E902" t="s">
        <v>79</v>
      </c>
      <c r="F902">
        <v>287</v>
      </c>
      <c r="G902">
        <v>287</v>
      </c>
      <c r="H902">
        <v>0</v>
      </c>
      <c r="I902">
        <v>14</v>
      </c>
      <c r="J902" s="17">
        <v>0.78846153846153844</v>
      </c>
      <c r="K902">
        <v>43</v>
      </c>
      <c r="L902">
        <v>42</v>
      </c>
      <c r="M902" s="17">
        <v>0.97674418604651159</v>
      </c>
      <c r="N902" s="25">
        <v>17640</v>
      </c>
      <c r="O902" s="25">
        <v>2654.75</v>
      </c>
      <c r="P902" s="25">
        <v>7310</v>
      </c>
      <c r="Q902" s="25">
        <v>27604.75</v>
      </c>
      <c r="R902" s="18">
        <v>96.183797909407659</v>
      </c>
    </row>
    <row r="903" spans="1:18" x14ac:dyDescent="0.35">
      <c r="A903" s="13">
        <v>45241</v>
      </c>
      <c r="B903">
        <v>2023</v>
      </c>
      <c r="C903">
        <v>11</v>
      </c>
      <c r="D903" t="s">
        <v>80</v>
      </c>
      <c r="E903" t="s">
        <v>79</v>
      </c>
      <c r="F903">
        <v>308</v>
      </c>
      <c r="G903">
        <v>308</v>
      </c>
      <c r="H903">
        <v>0</v>
      </c>
      <c r="I903">
        <v>14</v>
      </c>
      <c r="J903" s="17">
        <v>0.84615384615384615</v>
      </c>
      <c r="K903">
        <v>43</v>
      </c>
      <c r="L903">
        <v>40</v>
      </c>
      <c r="M903" s="17">
        <v>0.93023255813953487</v>
      </c>
      <c r="N903" s="25">
        <v>17640</v>
      </c>
      <c r="O903" s="25">
        <v>2849</v>
      </c>
      <c r="P903" s="25">
        <v>7310</v>
      </c>
      <c r="Q903" s="25">
        <v>27799</v>
      </c>
      <c r="R903" s="18">
        <v>90.256493506493513</v>
      </c>
    </row>
    <row r="904" spans="1:18" x14ac:dyDescent="0.35">
      <c r="A904" s="13">
        <v>45248</v>
      </c>
      <c r="B904">
        <v>2023</v>
      </c>
      <c r="C904">
        <v>11</v>
      </c>
      <c r="D904" t="s">
        <v>80</v>
      </c>
      <c r="E904" t="s">
        <v>79</v>
      </c>
      <c r="F904">
        <v>325</v>
      </c>
      <c r="G904">
        <v>324</v>
      </c>
      <c r="H904">
        <v>1</v>
      </c>
      <c r="I904">
        <v>16</v>
      </c>
      <c r="J904" s="17">
        <v>0.77884615384615385</v>
      </c>
      <c r="K904">
        <v>43</v>
      </c>
      <c r="L904">
        <v>42</v>
      </c>
      <c r="M904" s="17">
        <v>0.97674418604651159</v>
      </c>
      <c r="N904" s="25">
        <v>20160</v>
      </c>
      <c r="O904" s="25">
        <v>2997</v>
      </c>
      <c r="P904" s="25">
        <v>7310</v>
      </c>
      <c r="Q904" s="25">
        <v>30467</v>
      </c>
      <c r="R904" s="18">
        <v>94.033950617283949</v>
      </c>
    </row>
    <row r="905" spans="1:18" x14ac:dyDescent="0.35">
      <c r="A905" s="13">
        <v>45255</v>
      </c>
      <c r="B905">
        <v>2023</v>
      </c>
      <c r="C905">
        <v>11</v>
      </c>
      <c r="D905" t="s">
        <v>80</v>
      </c>
      <c r="E905" t="s">
        <v>79</v>
      </c>
      <c r="F905">
        <v>359</v>
      </c>
      <c r="G905">
        <v>359</v>
      </c>
      <c r="H905">
        <v>1</v>
      </c>
      <c r="I905">
        <v>17</v>
      </c>
      <c r="J905" s="17">
        <v>0.81221719457013575</v>
      </c>
      <c r="K905">
        <v>43</v>
      </c>
      <c r="L905">
        <v>37</v>
      </c>
      <c r="M905" s="17">
        <v>0.86046511627906974</v>
      </c>
      <c r="N905" s="25">
        <v>21420</v>
      </c>
      <c r="O905" s="25">
        <v>3320.75</v>
      </c>
      <c r="P905" s="25">
        <v>7310</v>
      </c>
      <c r="Q905" s="25">
        <v>32050.75</v>
      </c>
      <c r="R905" s="18">
        <v>89.277855153203348</v>
      </c>
    </row>
    <row r="906" spans="1:18" x14ac:dyDescent="0.35">
      <c r="A906" s="13">
        <v>45262</v>
      </c>
      <c r="B906">
        <v>2023</v>
      </c>
      <c r="C906">
        <v>12</v>
      </c>
      <c r="D906" t="s">
        <v>80</v>
      </c>
      <c r="E906" t="s">
        <v>79</v>
      </c>
      <c r="F906">
        <v>375</v>
      </c>
      <c r="G906">
        <v>361</v>
      </c>
      <c r="H906">
        <v>15</v>
      </c>
      <c r="I906">
        <v>18</v>
      </c>
      <c r="J906" s="17">
        <v>0.7713675213675214</v>
      </c>
      <c r="K906">
        <v>43</v>
      </c>
      <c r="L906">
        <v>43</v>
      </c>
      <c r="M906" s="17">
        <v>1</v>
      </c>
      <c r="N906" s="25">
        <v>22680</v>
      </c>
      <c r="O906" s="25">
        <v>3339.25</v>
      </c>
      <c r="P906" s="25">
        <v>7310</v>
      </c>
      <c r="Q906" s="25">
        <v>33329.25</v>
      </c>
      <c r="R906" s="18">
        <v>92.32479224376732</v>
      </c>
    </row>
    <row r="907" spans="1:18" x14ac:dyDescent="0.35">
      <c r="A907" s="13">
        <v>45269</v>
      </c>
      <c r="B907">
        <v>2023</v>
      </c>
      <c r="C907">
        <v>12</v>
      </c>
      <c r="D907" t="s">
        <v>80</v>
      </c>
      <c r="E907" t="s">
        <v>79</v>
      </c>
      <c r="F907">
        <v>399</v>
      </c>
      <c r="G907">
        <v>377</v>
      </c>
      <c r="H907">
        <v>37</v>
      </c>
      <c r="I907">
        <v>18</v>
      </c>
      <c r="J907" s="17">
        <v>0.80555555555555558</v>
      </c>
      <c r="K907">
        <v>43</v>
      </c>
      <c r="L907">
        <v>40</v>
      </c>
      <c r="M907" s="17">
        <v>0.93023255813953487</v>
      </c>
      <c r="N907" s="25">
        <v>22680</v>
      </c>
      <c r="O907" s="25">
        <v>3487.25</v>
      </c>
      <c r="P907" s="25">
        <v>7310</v>
      </c>
      <c r="Q907" s="25">
        <v>33477.25</v>
      </c>
      <c r="R907" s="18">
        <v>88.799071618037132</v>
      </c>
    </row>
    <row r="908" spans="1:18" x14ac:dyDescent="0.35">
      <c r="A908" s="13">
        <v>45276</v>
      </c>
      <c r="B908">
        <v>2023</v>
      </c>
      <c r="C908">
        <v>12</v>
      </c>
      <c r="D908" t="s">
        <v>80</v>
      </c>
      <c r="E908" t="s">
        <v>79</v>
      </c>
      <c r="F908">
        <v>393</v>
      </c>
      <c r="G908">
        <v>377</v>
      </c>
      <c r="H908">
        <v>53</v>
      </c>
      <c r="I908">
        <v>19</v>
      </c>
      <c r="J908" s="17">
        <v>0.76315789473684215</v>
      </c>
      <c r="K908">
        <v>43</v>
      </c>
      <c r="L908">
        <v>42</v>
      </c>
      <c r="M908" s="17">
        <v>0.97674418604651159</v>
      </c>
      <c r="N908" s="25">
        <v>23940</v>
      </c>
      <c r="O908" s="25">
        <v>3487.25</v>
      </c>
      <c r="P908" s="25">
        <v>7310</v>
      </c>
      <c r="Q908" s="25">
        <v>34737.25</v>
      </c>
      <c r="R908" s="18">
        <v>92.141246684350136</v>
      </c>
    </row>
    <row r="909" spans="1:18" x14ac:dyDescent="0.35">
      <c r="A909" s="13">
        <v>45283</v>
      </c>
      <c r="B909">
        <v>2023</v>
      </c>
      <c r="C909">
        <v>12</v>
      </c>
      <c r="D909" t="s">
        <v>80</v>
      </c>
      <c r="E909" t="s">
        <v>79</v>
      </c>
      <c r="F909">
        <v>336</v>
      </c>
      <c r="G909">
        <v>361</v>
      </c>
      <c r="H909">
        <v>28</v>
      </c>
      <c r="I909">
        <v>19</v>
      </c>
      <c r="J909" s="17">
        <v>0.73076923076923073</v>
      </c>
      <c r="K909">
        <v>43</v>
      </c>
      <c r="L909">
        <v>43</v>
      </c>
      <c r="M909" s="17">
        <v>1</v>
      </c>
      <c r="N909" s="25">
        <v>23940</v>
      </c>
      <c r="O909" s="25">
        <v>3339.25</v>
      </c>
      <c r="P909" s="25">
        <v>7310</v>
      </c>
      <c r="Q909" s="25">
        <v>34589.25</v>
      </c>
      <c r="R909" s="18">
        <v>95.81509695290859</v>
      </c>
    </row>
    <row r="910" spans="1:18" x14ac:dyDescent="0.35">
      <c r="A910" s="13">
        <v>45290</v>
      </c>
      <c r="B910">
        <v>2023</v>
      </c>
      <c r="C910">
        <v>12</v>
      </c>
      <c r="D910" t="s">
        <v>80</v>
      </c>
      <c r="E910" t="s">
        <v>79</v>
      </c>
      <c r="F910">
        <v>286</v>
      </c>
      <c r="G910">
        <v>306</v>
      </c>
      <c r="H910">
        <v>8</v>
      </c>
      <c r="I910">
        <v>15</v>
      </c>
      <c r="J910" s="17">
        <v>0.7846153846153846</v>
      </c>
      <c r="K910">
        <v>43</v>
      </c>
      <c r="L910">
        <v>42</v>
      </c>
      <c r="M910" s="17">
        <v>0.97674418604651159</v>
      </c>
      <c r="N910" s="25">
        <v>18900</v>
      </c>
      <c r="O910" s="25">
        <v>2830.5</v>
      </c>
      <c r="P910" s="25">
        <v>7310</v>
      </c>
      <c r="Q910" s="25">
        <v>29040.5</v>
      </c>
      <c r="R910" s="18">
        <v>94.903594771241828</v>
      </c>
    </row>
    <row r="911" spans="1:18" x14ac:dyDescent="0.35">
      <c r="A911" s="13">
        <v>45297</v>
      </c>
      <c r="B911">
        <v>2024</v>
      </c>
      <c r="C911">
        <v>1</v>
      </c>
      <c r="D911" t="s">
        <v>80</v>
      </c>
      <c r="E911" t="s">
        <v>79</v>
      </c>
      <c r="F911">
        <v>238</v>
      </c>
      <c r="G911">
        <v>246</v>
      </c>
      <c r="H911">
        <v>0</v>
      </c>
      <c r="I911">
        <v>13</v>
      </c>
      <c r="J911" s="17">
        <v>0.72781065088757402</v>
      </c>
      <c r="K911">
        <v>43</v>
      </c>
      <c r="L911">
        <v>40</v>
      </c>
      <c r="M911" s="17">
        <v>0.93023255813953487</v>
      </c>
      <c r="N911" s="25">
        <v>16380</v>
      </c>
      <c r="O911" s="25">
        <v>2275.5</v>
      </c>
      <c r="P911" s="25">
        <v>7310</v>
      </c>
      <c r="Q911" s="25">
        <v>25965.5</v>
      </c>
      <c r="R911" s="18">
        <v>105.55081300813011</v>
      </c>
    </row>
    <row r="912" spans="1:18" x14ac:dyDescent="0.35">
      <c r="A912" s="13">
        <v>45304</v>
      </c>
      <c r="B912">
        <v>2024</v>
      </c>
      <c r="C912">
        <v>1</v>
      </c>
      <c r="D912" t="s">
        <v>80</v>
      </c>
      <c r="E912" t="s">
        <v>79</v>
      </c>
      <c r="F912">
        <v>200</v>
      </c>
      <c r="G912">
        <v>200</v>
      </c>
      <c r="H912">
        <v>0</v>
      </c>
      <c r="I912">
        <v>11</v>
      </c>
      <c r="J912" s="17">
        <v>0.69930069930069927</v>
      </c>
      <c r="K912">
        <v>43</v>
      </c>
      <c r="L912">
        <v>41</v>
      </c>
      <c r="M912" s="17">
        <v>0.95348837209302328</v>
      </c>
      <c r="N912" s="25">
        <v>13860</v>
      </c>
      <c r="O912" s="25">
        <v>1850</v>
      </c>
      <c r="P912" s="25">
        <v>7310</v>
      </c>
      <c r="Q912" s="25">
        <v>23020</v>
      </c>
      <c r="R912" s="18">
        <v>115.1</v>
      </c>
    </row>
    <row r="913" spans="1:18" x14ac:dyDescent="0.35">
      <c r="A913" s="13">
        <v>45311</v>
      </c>
      <c r="B913">
        <v>2024</v>
      </c>
      <c r="C913">
        <v>1</v>
      </c>
      <c r="D913" t="s">
        <v>80</v>
      </c>
      <c r="E913" t="s">
        <v>79</v>
      </c>
      <c r="F913">
        <v>216</v>
      </c>
      <c r="G913">
        <v>216</v>
      </c>
      <c r="H913">
        <v>0</v>
      </c>
      <c r="I913">
        <v>11</v>
      </c>
      <c r="J913" s="17">
        <v>0.75524475524475521</v>
      </c>
      <c r="K913">
        <v>43</v>
      </c>
      <c r="L913">
        <v>40</v>
      </c>
      <c r="M913" s="17">
        <v>0.93023255813953487</v>
      </c>
      <c r="N913" s="25">
        <v>13860</v>
      </c>
      <c r="O913" s="25">
        <v>1998</v>
      </c>
      <c r="P913" s="25">
        <v>7310</v>
      </c>
      <c r="Q913" s="25">
        <v>23168</v>
      </c>
      <c r="R913" s="18">
        <v>107.2592592592593</v>
      </c>
    </row>
    <row r="914" spans="1:18" x14ac:dyDescent="0.35">
      <c r="A914" s="13">
        <v>45318</v>
      </c>
      <c r="B914">
        <v>2024</v>
      </c>
      <c r="C914">
        <v>1</v>
      </c>
      <c r="D914" t="s">
        <v>80</v>
      </c>
      <c r="E914" t="s">
        <v>79</v>
      </c>
      <c r="F914">
        <v>221</v>
      </c>
      <c r="G914">
        <v>221</v>
      </c>
      <c r="H914">
        <v>0</v>
      </c>
      <c r="I914">
        <v>11</v>
      </c>
      <c r="J914" s="17">
        <v>0.77272727272727271</v>
      </c>
      <c r="K914">
        <v>43</v>
      </c>
      <c r="L914">
        <v>43</v>
      </c>
      <c r="M914" s="17">
        <v>1</v>
      </c>
      <c r="N914" s="25">
        <v>13860</v>
      </c>
      <c r="O914" s="25">
        <v>2044.25</v>
      </c>
      <c r="P914" s="25">
        <v>7310</v>
      </c>
      <c r="Q914" s="25">
        <v>23214.25</v>
      </c>
      <c r="R914" s="18">
        <v>105.0418552036199</v>
      </c>
    </row>
    <row r="915" spans="1:18" x14ac:dyDescent="0.35">
      <c r="A915" s="13">
        <v>45325</v>
      </c>
      <c r="B915">
        <v>2024</v>
      </c>
      <c r="C915">
        <v>2</v>
      </c>
      <c r="D915" t="s">
        <v>80</v>
      </c>
      <c r="E915" t="s">
        <v>79</v>
      </c>
      <c r="F915">
        <v>227</v>
      </c>
      <c r="G915">
        <v>227</v>
      </c>
      <c r="H915">
        <v>0</v>
      </c>
      <c r="I915">
        <v>11</v>
      </c>
      <c r="J915" s="17">
        <v>0.79370629370629375</v>
      </c>
      <c r="K915">
        <v>43</v>
      </c>
      <c r="L915">
        <v>42</v>
      </c>
      <c r="M915" s="17">
        <v>0.97674418604651159</v>
      </c>
      <c r="N915" s="25">
        <v>13860</v>
      </c>
      <c r="O915" s="25">
        <v>2099.75</v>
      </c>
      <c r="P915" s="25">
        <v>7310</v>
      </c>
      <c r="Q915" s="25">
        <v>23269.75</v>
      </c>
      <c r="R915" s="18">
        <v>102.5099118942731</v>
      </c>
    </row>
    <row r="916" spans="1:18" x14ac:dyDescent="0.35">
      <c r="A916" s="13">
        <v>45332</v>
      </c>
      <c r="B916">
        <v>2024</v>
      </c>
      <c r="C916">
        <v>2</v>
      </c>
      <c r="D916" t="s">
        <v>80</v>
      </c>
      <c r="E916" t="s">
        <v>79</v>
      </c>
      <c r="F916">
        <v>232</v>
      </c>
      <c r="G916">
        <v>232</v>
      </c>
      <c r="H916">
        <v>0</v>
      </c>
      <c r="I916">
        <v>11</v>
      </c>
      <c r="J916" s="17">
        <v>0.81118881118881114</v>
      </c>
      <c r="K916">
        <v>43</v>
      </c>
      <c r="L916">
        <v>38</v>
      </c>
      <c r="M916" s="17">
        <v>0.88372093023255816</v>
      </c>
      <c r="N916" s="25">
        <v>13860</v>
      </c>
      <c r="O916" s="25">
        <v>2146</v>
      </c>
      <c r="P916" s="25">
        <v>7310</v>
      </c>
      <c r="Q916" s="25">
        <v>23316</v>
      </c>
      <c r="R916" s="18">
        <v>100.5</v>
      </c>
    </row>
    <row r="917" spans="1:18" x14ac:dyDescent="0.35">
      <c r="A917" s="13">
        <v>45339</v>
      </c>
      <c r="B917">
        <v>2024</v>
      </c>
      <c r="C917">
        <v>2</v>
      </c>
      <c r="D917" t="s">
        <v>80</v>
      </c>
      <c r="E917" t="s">
        <v>79</v>
      </c>
      <c r="F917">
        <v>238</v>
      </c>
      <c r="G917">
        <v>238</v>
      </c>
      <c r="H917">
        <v>0</v>
      </c>
      <c r="I917">
        <v>12</v>
      </c>
      <c r="J917" s="17">
        <v>0.76282051282051277</v>
      </c>
      <c r="K917">
        <v>43</v>
      </c>
      <c r="L917">
        <v>39</v>
      </c>
      <c r="M917" s="17">
        <v>0.90697674418604646</v>
      </c>
      <c r="N917" s="25">
        <v>15120</v>
      </c>
      <c r="O917" s="25">
        <v>2201.5</v>
      </c>
      <c r="P917" s="25">
        <v>7310</v>
      </c>
      <c r="Q917" s="25">
        <v>24631.5</v>
      </c>
      <c r="R917" s="18">
        <v>103.49369747899161</v>
      </c>
    </row>
    <row r="918" spans="1:18" x14ac:dyDescent="0.35">
      <c r="A918" s="13">
        <v>45346</v>
      </c>
      <c r="B918">
        <v>2024</v>
      </c>
      <c r="C918">
        <v>2</v>
      </c>
      <c r="D918" t="s">
        <v>80</v>
      </c>
      <c r="E918" t="s">
        <v>79</v>
      </c>
      <c r="F918">
        <v>260</v>
      </c>
      <c r="G918">
        <v>260</v>
      </c>
      <c r="H918">
        <v>0</v>
      </c>
      <c r="I918">
        <v>13</v>
      </c>
      <c r="J918" s="17">
        <v>0.76923076923076927</v>
      </c>
      <c r="K918">
        <v>43</v>
      </c>
      <c r="L918">
        <v>39</v>
      </c>
      <c r="M918" s="17">
        <v>0.90697674418604646</v>
      </c>
      <c r="N918" s="25">
        <v>16380</v>
      </c>
      <c r="O918" s="25">
        <v>2405</v>
      </c>
      <c r="P918" s="25">
        <v>7310</v>
      </c>
      <c r="Q918" s="25">
        <v>26095</v>
      </c>
      <c r="R918" s="18">
        <v>100.3653846153846</v>
      </c>
    </row>
    <row r="919" spans="1:18" x14ac:dyDescent="0.35">
      <c r="A919" s="13">
        <v>45353</v>
      </c>
      <c r="B919">
        <v>2024</v>
      </c>
      <c r="C919">
        <v>3</v>
      </c>
      <c r="D919" t="s">
        <v>80</v>
      </c>
      <c r="E919" t="s">
        <v>79</v>
      </c>
      <c r="F919">
        <v>261</v>
      </c>
      <c r="G919">
        <v>261</v>
      </c>
      <c r="H919">
        <v>0</v>
      </c>
      <c r="I919">
        <v>13</v>
      </c>
      <c r="J919" s="17">
        <v>0.77218934911242598</v>
      </c>
      <c r="K919">
        <v>43</v>
      </c>
      <c r="L919">
        <v>43</v>
      </c>
      <c r="M919" s="17">
        <v>1</v>
      </c>
      <c r="N919" s="25">
        <v>16380</v>
      </c>
      <c r="O919" s="25">
        <v>2414.25</v>
      </c>
      <c r="P919" s="25">
        <v>7310</v>
      </c>
      <c r="Q919" s="25">
        <v>26104.25</v>
      </c>
      <c r="R919" s="18">
        <v>100.0162835249042</v>
      </c>
    </row>
    <row r="920" spans="1:18" x14ac:dyDescent="0.35">
      <c r="A920" s="13">
        <v>45360</v>
      </c>
      <c r="B920">
        <v>2024</v>
      </c>
      <c r="C920">
        <v>3</v>
      </c>
      <c r="D920" t="s">
        <v>80</v>
      </c>
      <c r="E920" t="s">
        <v>79</v>
      </c>
      <c r="F920">
        <v>272</v>
      </c>
      <c r="G920">
        <v>272</v>
      </c>
      <c r="H920">
        <v>0</v>
      </c>
      <c r="I920">
        <v>14</v>
      </c>
      <c r="J920" s="17">
        <v>0.74725274725274726</v>
      </c>
      <c r="K920">
        <v>43</v>
      </c>
      <c r="L920">
        <v>42</v>
      </c>
      <c r="M920" s="17">
        <v>0.97674418604651159</v>
      </c>
      <c r="N920" s="25">
        <v>17640</v>
      </c>
      <c r="O920" s="25">
        <v>2516</v>
      </c>
      <c r="P920" s="25">
        <v>7310</v>
      </c>
      <c r="Q920" s="25">
        <v>27466</v>
      </c>
      <c r="R920" s="18">
        <v>100.97794117647059</v>
      </c>
    </row>
    <row r="921" spans="1:18" x14ac:dyDescent="0.35">
      <c r="A921" s="13">
        <v>45367</v>
      </c>
      <c r="B921">
        <v>2024</v>
      </c>
      <c r="C921">
        <v>3</v>
      </c>
      <c r="D921" t="s">
        <v>80</v>
      </c>
      <c r="E921" t="s">
        <v>79</v>
      </c>
      <c r="F921">
        <v>260</v>
      </c>
      <c r="G921">
        <v>260</v>
      </c>
      <c r="H921">
        <v>0</v>
      </c>
      <c r="I921">
        <v>14</v>
      </c>
      <c r="J921" s="17">
        <v>0.7142857142857143</v>
      </c>
      <c r="K921">
        <v>43</v>
      </c>
      <c r="L921">
        <v>39</v>
      </c>
      <c r="M921" s="17">
        <v>0.90697674418604646</v>
      </c>
      <c r="N921" s="25">
        <v>17640</v>
      </c>
      <c r="O921" s="25">
        <v>2405</v>
      </c>
      <c r="P921" s="25">
        <v>7310</v>
      </c>
      <c r="Q921" s="25">
        <v>27355</v>
      </c>
      <c r="R921" s="18">
        <v>105.2115384615385</v>
      </c>
    </row>
    <row r="922" spans="1:18" x14ac:dyDescent="0.35">
      <c r="A922" s="13">
        <v>45374</v>
      </c>
      <c r="B922">
        <v>2024</v>
      </c>
      <c r="C922">
        <v>3</v>
      </c>
      <c r="D922" t="s">
        <v>80</v>
      </c>
      <c r="E922" t="s">
        <v>79</v>
      </c>
      <c r="F922">
        <v>257</v>
      </c>
      <c r="G922">
        <v>257</v>
      </c>
      <c r="H922">
        <v>0</v>
      </c>
      <c r="I922">
        <v>14</v>
      </c>
      <c r="J922" s="17">
        <v>0.70604395604395609</v>
      </c>
      <c r="K922">
        <v>43</v>
      </c>
      <c r="L922">
        <v>43</v>
      </c>
      <c r="M922" s="17">
        <v>1</v>
      </c>
      <c r="N922" s="25">
        <v>17640</v>
      </c>
      <c r="O922" s="25">
        <v>2377.25</v>
      </c>
      <c r="P922" s="25">
        <v>7310</v>
      </c>
      <c r="Q922" s="25">
        <v>27327.25</v>
      </c>
      <c r="R922" s="18">
        <v>106.3317120622568</v>
      </c>
    </row>
    <row r="923" spans="1:18" x14ac:dyDescent="0.35">
      <c r="A923" s="13">
        <v>45381</v>
      </c>
      <c r="B923">
        <v>2024</v>
      </c>
      <c r="C923">
        <v>3</v>
      </c>
      <c r="D923" t="s">
        <v>80</v>
      </c>
      <c r="E923" t="s">
        <v>79</v>
      </c>
      <c r="F923">
        <v>251</v>
      </c>
      <c r="G923">
        <v>251</v>
      </c>
      <c r="H923">
        <v>0</v>
      </c>
      <c r="I923">
        <v>13</v>
      </c>
      <c r="J923" s="17">
        <v>0.74260355029585801</v>
      </c>
      <c r="K923">
        <v>43</v>
      </c>
      <c r="L923">
        <v>42</v>
      </c>
      <c r="M923" s="17">
        <v>0.97674418604651159</v>
      </c>
      <c r="N923" s="25">
        <v>16380</v>
      </c>
      <c r="O923" s="25">
        <v>2321.75</v>
      </c>
      <c r="P923" s="25">
        <v>7310</v>
      </c>
      <c r="Q923" s="25">
        <v>26011.75</v>
      </c>
      <c r="R923" s="18">
        <v>103.6324701195219</v>
      </c>
    </row>
    <row r="924" spans="1:18" x14ac:dyDescent="0.35">
      <c r="A924" s="13">
        <v>45388</v>
      </c>
      <c r="B924">
        <v>2024</v>
      </c>
      <c r="C924">
        <v>4</v>
      </c>
      <c r="D924" t="s">
        <v>80</v>
      </c>
      <c r="E924" t="s">
        <v>79</v>
      </c>
      <c r="F924">
        <v>256</v>
      </c>
      <c r="G924">
        <v>256</v>
      </c>
      <c r="H924">
        <v>0</v>
      </c>
      <c r="I924">
        <v>14</v>
      </c>
      <c r="J924" s="17">
        <v>0.70329670329670335</v>
      </c>
      <c r="K924">
        <v>43</v>
      </c>
      <c r="L924">
        <v>42</v>
      </c>
      <c r="M924" s="17">
        <v>0.97674418604651159</v>
      </c>
      <c r="N924" s="25">
        <v>17640</v>
      </c>
      <c r="O924" s="25">
        <v>2368</v>
      </c>
      <c r="P924" s="25">
        <v>7310</v>
      </c>
      <c r="Q924" s="25">
        <v>27318</v>
      </c>
      <c r="R924" s="18">
        <v>106.7109375</v>
      </c>
    </row>
    <row r="925" spans="1:18" x14ac:dyDescent="0.35">
      <c r="A925" s="13">
        <v>45395</v>
      </c>
      <c r="B925">
        <v>2024</v>
      </c>
      <c r="C925">
        <v>4</v>
      </c>
      <c r="D925" t="s">
        <v>80</v>
      </c>
      <c r="E925" t="s">
        <v>79</v>
      </c>
      <c r="F925">
        <v>250</v>
      </c>
      <c r="G925">
        <v>250</v>
      </c>
      <c r="H925">
        <v>0</v>
      </c>
      <c r="I925">
        <v>14</v>
      </c>
      <c r="J925" s="17">
        <v>0.68681318681318682</v>
      </c>
      <c r="K925">
        <v>43</v>
      </c>
      <c r="L925">
        <v>41</v>
      </c>
      <c r="M925" s="17">
        <v>0.95348837209302328</v>
      </c>
      <c r="N925" s="25">
        <v>17640</v>
      </c>
      <c r="O925" s="25">
        <v>2312.5</v>
      </c>
      <c r="P925" s="25">
        <v>7310</v>
      </c>
      <c r="Q925" s="25">
        <v>27262.5</v>
      </c>
      <c r="R925" s="18">
        <v>109.05</v>
      </c>
    </row>
    <row r="926" spans="1:18" x14ac:dyDescent="0.35">
      <c r="A926" s="13">
        <v>45402</v>
      </c>
      <c r="B926">
        <v>2024</v>
      </c>
      <c r="C926">
        <v>4</v>
      </c>
      <c r="D926" t="s">
        <v>80</v>
      </c>
      <c r="E926" t="s">
        <v>79</v>
      </c>
      <c r="F926">
        <v>275</v>
      </c>
      <c r="G926">
        <v>275</v>
      </c>
      <c r="H926">
        <v>0</v>
      </c>
      <c r="I926">
        <v>14</v>
      </c>
      <c r="J926" s="17">
        <v>0.75549450549450547</v>
      </c>
      <c r="K926">
        <v>43</v>
      </c>
      <c r="L926">
        <v>42</v>
      </c>
      <c r="M926" s="17">
        <v>0.97674418604651159</v>
      </c>
      <c r="N926" s="25">
        <v>17640</v>
      </c>
      <c r="O926" s="25">
        <v>2543.75</v>
      </c>
      <c r="P926" s="25">
        <v>7310</v>
      </c>
      <c r="Q926" s="25">
        <v>27493.75</v>
      </c>
      <c r="R926" s="18">
        <v>99.977272727272734</v>
      </c>
    </row>
    <row r="927" spans="1:18" x14ac:dyDescent="0.35">
      <c r="A927" s="13">
        <v>45409</v>
      </c>
      <c r="B927">
        <v>2024</v>
      </c>
      <c r="C927">
        <v>4</v>
      </c>
      <c r="D927" t="s">
        <v>80</v>
      </c>
      <c r="E927" t="s">
        <v>79</v>
      </c>
      <c r="F927">
        <v>266</v>
      </c>
      <c r="G927">
        <v>266</v>
      </c>
      <c r="H927">
        <v>0</v>
      </c>
      <c r="I927">
        <v>14</v>
      </c>
      <c r="J927" s="17">
        <v>0.73076923076923073</v>
      </c>
      <c r="K927">
        <v>43</v>
      </c>
      <c r="L927">
        <v>42</v>
      </c>
      <c r="M927" s="17">
        <v>0.97674418604651159</v>
      </c>
      <c r="N927" s="25">
        <v>17640</v>
      </c>
      <c r="O927" s="25">
        <v>2460.5</v>
      </c>
      <c r="P927" s="25">
        <v>7310</v>
      </c>
      <c r="Q927" s="25">
        <v>27410.5</v>
      </c>
      <c r="R927" s="18">
        <v>103.04699248120301</v>
      </c>
    </row>
    <row r="928" spans="1:18" x14ac:dyDescent="0.35">
      <c r="A928" s="13">
        <v>45416</v>
      </c>
      <c r="B928">
        <v>2024</v>
      </c>
      <c r="C928">
        <v>5</v>
      </c>
      <c r="D928" t="s">
        <v>80</v>
      </c>
      <c r="E928" t="s">
        <v>79</v>
      </c>
      <c r="F928">
        <v>273</v>
      </c>
      <c r="G928">
        <v>273</v>
      </c>
      <c r="H928">
        <v>0</v>
      </c>
      <c r="I928">
        <v>14</v>
      </c>
      <c r="J928" s="17">
        <v>0.75</v>
      </c>
      <c r="K928">
        <v>43</v>
      </c>
      <c r="L928">
        <v>43</v>
      </c>
      <c r="M928" s="17">
        <v>1</v>
      </c>
      <c r="N928" s="25">
        <v>17640</v>
      </c>
      <c r="O928" s="25">
        <v>2525.25</v>
      </c>
      <c r="P928" s="25">
        <v>7310</v>
      </c>
      <c r="Q928" s="25">
        <v>27475.25</v>
      </c>
      <c r="R928" s="18">
        <v>100.6419413919414</v>
      </c>
    </row>
    <row r="929" spans="1:18" x14ac:dyDescent="0.35">
      <c r="A929" s="13">
        <v>45423</v>
      </c>
      <c r="B929">
        <v>2024</v>
      </c>
      <c r="C929">
        <v>5</v>
      </c>
      <c r="D929" t="s">
        <v>80</v>
      </c>
      <c r="E929" t="s">
        <v>79</v>
      </c>
      <c r="F929">
        <v>277</v>
      </c>
      <c r="G929">
        <v>277</v>
      </c>
      <c r="H929">
        <v>0</v>
      </c>
      <c r="I929">
        <v>14</v>
      </c>
      <c r="J929" s="17">
        <v>0.76098901098901095</v>
      </c>
      <c r="K929">
        <v>43</v>
      </c>
      <c r="L929">
        <v>43</v>
      </c>
      <c r="M929" s="17">
        <v>1</v>
      </c>
      <c r="N929" s="25">
        <v>17640</v>
      </c>
      <c r="O929" s="25">
        <v>2562.25</v>
      </c>
      <c r="P929" s="25">
        <v>7310</v>
      </c>
      <c r="Q929" s="25">
        <v>27512.25</v>
      </c>
      <c r="R929" s="18">
        <v>99.322202166064983</v>
      </c>
    </row>
    <row r="930" spans="1:18" x14ac:dyDescent="0.35">
      <c r="A930" s="13">
        <v>45430</v>
      </c>
      <c r="B930">
        <v>2024</v>
      </c>
      <c r="C930">
        <v>5</v>
      </c>
      <c r="D930" t="s">
        <v>80</v>
      </c>
      <c r="E930" t="s">
        <v>79</v>
      </c>
      <c r="F930">
        <v>284</v>
      </c>
      <c r="G930">
        <v>284</v>
      </c>
      <c r="H930">
        <v>0</v>
      </c>
      <c r="I930">
        <v>14</v>
      </c>
      <c r="J930" s="17">
        <v>0.78021978021978022</v>
      </c>
      <c r="K930">
        <v>43</v>
      </c>
      <c r="L930">
        <v>41</v>
      </c>
      <c r="M930" s="17">
        <v>0.95348837209302328</v>
      </c>
      <c r="N930" s="25">
        <v>17640</v>
      </c>
      <c r="O930" s="25">
        <v>2627</v>
      </c>
      <c r="P930" s="25">
        <v>7310</v>
      </c>
      <c r="Q930" s="25">
        <v>27577</v>
      </c>
      <c r="R930" s="18">
        <v>97.102112676056336</v>
      </c>
    </row>
    <row r="931" spans="1:18" x14ac:dyDescent="0.35">
      <c r="A931" s="13">
        <v>45437</v>
      </c>
      <c r="B931">
        <v>2024</v>
      </c>
      <c r="C931">
        <v>5</v>
      </c>
      <c r="D931" t="s">
        <v>80</v>
      </c>
      <c r="E931" t="s">
        <v>79</v>
      </c>
      <c r="F931">
        <v>271</v>
      </c>
      <c r="G931">
        <v>271</v>
      </c>
      <c r="H931">
        <v>0</v>
      </c>
      <c r="I931">
        <v>13</v>
      </c>
      <c r="J931" s="17">
        <v>0.80177514792899407</v>
      </c>
      <c r="K931">
        <v>43</v>
      </c>
      <c r="L931">
        <v>43</v>
      </c>
      <c r="M931" s="17">
        <v>1</v>
      </c>
      <c r="N931" s="25">
        <v>16380</v>
      </c>
      <c r="O931" s="25">
        <v>2506.75</v>
      </c>
      <c r="P931" s="25">
        <v>7310</v>
      </c>
      <c r="Q931" s="25">
        <v>26196.75</v>
      </c>
      <c r="R931" s="18">
        <v>96.666974169741692</v>
      </c>
    </row>
    <row r="932" spans="1:18" x14ac:dyDescent="0.35">
      <c r="A932" s="13">
        <v>45444</v>
      </c>
      <c r="B932">
        <v>2024</v>
      </c>
      <c r="C932">
        <v>6</v>
      </c>
      <c r="D932" t="s">
        <v>80</v>
      </c>
      <c r="E932" t="s">
        <v>79</v>
      </c>
      <c r="F932">
        <v>282</v>
      </c>
      <c r="G932">
        <v>282</v>
      </c>
      <c r="H932">
        <v>0</v>
      </c>
      <c r="I932">
        <v>14</v>
      </c>
      <c r="J932" s="17">
        <v>0.77472527472527475</v>
      </c>
      <c r="K932">
        <v>43</v>
      </c>
      <c r="L932">
        <v>43</v>
      </c>
      <c r="M932" s="17">
        <v>1</v>
      </c>
      <c r="N932" s="25">
        <v>17640</v>
      </c>
      <c r="O932" s="25">
        <v>2608.5</v>
      </c>
      <c r="P932" s="25">
        <v>7310</v>
      </c>
      <c r="Q932" s="25">
        <v>27558.5</v>
      </c>
      <c r="R932" s="18">
        <v>97.725177304964532</v>
      </c>
    </row>
    <row r="933" spans="1:18" x14ac:dyDescent="0.35">
      <c r="A933" s="13">
        <v>45451</v>
      </c>
      <c r="B933">
        <v>2024</v>
      </c>
      <c r="C933">
        <v>6</v>
      </c>
      <c r="D933" t="s">
        <v>80</v>
      </c>
      <c r="E933" t="s">
        <v>79</v>
      </c>
      <c r="F933">
        <v>285</v>
      </c>
      <c r="G933">
        <v>285</v>
      </c>
      <c r="H933">
        <v>0</v>
      </c>
      <c r="I933">
        <v>14</v>
      </c>
      <c r="J933" s="17">
        <v>0.78296703296703296</v>
      </c>
      <c r="K933">
        <v>43</v>
      </c>
      <c r="L933">
        <v>40</v>
      </c>
      <c r="M933" s="17">
        <v>0.93023255813953487</v>
      </c>
      <c r="N933" s="25">
        <v>17640</v>
      </c>
      <c r="O933" s="25">
        <v>2636.25</v>
      </c>
      <c r="P933" s="25">
        <v>7310</v>
      </c>
      <c r="Q933" s="25">
        <v>27586.25</v>
      </c>
      <c r="R933" s="18">
        <v>96.793859649122808</v>
      </c>
    </row>
    <row r="934" spans="1:18" x14ac:dyDescent="0.35">
      <c r="A934" s="13">
        <v>45458</v>
      </c>
      <c r="B934">
        <v>2024</v>
      </c>
      <c r="C934">
        <v>6</v>
      </c>
      <c r="D934" t="s">
        <v>80</v>
      </c>
      <c r="E934" t="s">
        <v>79</v>
      </c>
      <c r="F934">
        <v>266</v>
      </c>
      <c r="G934">
        <v>266</v>
      </c>
      <c r="H934">
        <v>0</v>
      </c>
      <c r="I934">
        <v>13</v>
      </c>
      <c r="J934" s="17">
        <v>0.78698224852071008</v>
      </c>
      <c r="K934">
        <v>43</v>
      </c>
      <c r="L934">
        <v>42</v>
      </c>
      <c r="M934" s="17">
        <v>0.97674418604651159</v>
      </c>
      <c r="N934" s="25">
        <v>16380</v>
      </c>
      <c r="O934" s="25">
        <v>2460.5</v>
      </c>
      <c r="P934" s="25">
        <v>7310</v>
      </c>
      <c r="Q934" s="25">
        <v>26150.5</v>
      </c>
      <c r="R934" s="18">
        <v>98.310150375939855</v>
      </c>
    </row>
    <row r="935" spans="1:18" x14ac:dyDescent="0.35">
      <c r="A935" s="13">
        <v>45465</v>
      </c>
      <c r="B935">
        <v>2024</v>
      </c>
      <c r="C935">
        <v>6</v>
      </c>
      <c r="D935" t="s">
        <v>80</v>
      </c>
      <c r="E935" t="s">
        <v>79</v>
      </c>
      <c r="F935">
        <v>263</v>
      </c>
      <c r="G935">
        <v>263</v>
      </c>
      <c r="H935">
        <v>0</v>
      </c>
      <c r="I935">
        <v>14</v>
      </c>
      <c r="J935" s="17">
        <v>0.72252747252747251</v>
      </c>
      <c r="K935">
        <v>43</v>
      </c>
      <c r="L935">
        <v>43</v>
      </c>
      <c r="M935" s="17">
        <v>1</v>
      </c>
      <c r="N935" s="25">
        <v>17640</v>
      </c>
      <c r="O935" s="25">
        <v>2432.75</v>
      </c>
      <c r="P935" s="25">
        <v>7310</v>
      </c>
      <c r="Q935" s="25">
        <v>27382.75</v>
      </c>
      <c r="R935" s="18">
        <v>104.1169201520913</v>
      </c>
    </row>
    <row r="936" spans="1:18" x14ac:dyDescent="0.35">
      <c r="A936" s="13">
        <v>45472</v>
      </c>
      <c r="B936">
        <v>2024</v>
      </c>
      <c r="C936">
        <v>6</v>
      </c>
      <c r="D936" t="s">
        <v>80</v>
      </c>
      <c r="E936" t="s">
        <v>79</v>
      </c>
      <c r="F936">
        <v>268</v>
      </c>
      <c r="G936">
        <v>268</v>
      </c>
      <c r="H936">
        <v>0</v>
      </c>
      <c r="I936">
        <v>14</v>
      </c>
      <c r="J936" s="17">
        <v>0.73626373626373631</v>
      </c>
      <c r="K936">
        <v>43</v>
      </c>
      <c r="L936">
        <v>41</v>
      </c>
      <c r="M936" s="17">
        <v>0.95348837209302328</v>
      </c>
      <c r="N936" s="25">
        <v>17640</v>
      </c>
      <c r="O936" s="25">
        <v>2479</v>
      </c>
      <c r="P936" s="25">
        <v>7310</v>
      </c>
      <c r="Q936" s="25">
        <v>27429</v>
      </c>
      <c r="R936" s="18">
        <v>102.3470149253731</v>
      </c>
    </row>
    <row r="937" spans="1:18" x14ac:dyDescent="0.35">
      <c r="A937" s="13">
        <v>45479</v>
      </c>
      <c r="B937">
        <v>2024</v>
      </c>
      <c r="C937">
        <v>7</v>
      </c>
      <c r="D937" t="s">
        <v>80</v>
      </c>
      <c r="E937" t="s">
        <v>79</v>
      </c>
      <c r="F937">
        <v>260</v>
      </c>
      <c r="G937">
        <v>260</v>
      </c>
      <c r="H937">
        <v>0</v>
      </c>
      <c r="I937">
        <v>14</v>
      </c>
      <c r="J937" s="17">
        <v>0.7142857142857143</v>
      </c>
      <c r="K937">
        <v>43</v>
      </c>
      <c r="L937">
        <v>40</v>
      </c>
      <c r="M937" s="17">
        <v>0.93023255813953487</v>
      </c>
      <c r="N937" s="25">
        <v>17640</v>
      </c>
      <c r="O937" s="25">
        <v>2405</v>
      </c>
      <c r="P937" s="25">
        <v>7310</v>
      </c>
      <c r="Q937" s="25">
        <v>27355</v>
      </c>
      <c r="R937" s="18">
        <v>105.2115384615385</v>
      </c>
    </row>
    <row r="938" spans="1:18" x14ac:dyDescent="0.35">
      <c r="A938" s="13">
        <v>45486</v>
      </c>
      <c r="B938">
        <v>2024</v>
      </c>
      <c r="C938">
        <v>7</v>
      </c>
      <c r="D938" t="s">
        <v>80</v>
      </c>
      <c r="E938" t="s">
        <v>79</v>
      </c>
      <c r="F938">
        <v>267</v>
      </c>
      <c r="G938">
        <v>267</v>
      </c>
      <c r="H938">
        <v>0</v>
      </c>
      <c r="I938">
        <v>13</v>
      </c>
      <c r="J938" s="17">
        <v>0.7899408284023669</v>
      </c>
      <c r="K938">
        <v>43</v>
      </c>
      <c r="L938">
        <v>43</v>
      </c>
      <c r="M938" s="17">
        <v>1</v>
      </c>
      <c r="N938" s="25">
        <v>16380</v>
      </c>
      <c r="O938" s="25">
        <v>2469.75</v>
      </c>
      <c r="P938" s="25">
        <v>7310</v>
      </c>
      <c r="Q938" s="25">
        <v>26159.75</v>
      </c>
      <c r="R938" s="18">
        <v>97.976591760299627</v>
      </c>
    </row>
    <row r="939" spans="1:18" x14ac:dyDescent="0.35">
      <c r="A939" s="13">
        <v>45493</v>
      </c>
      <c r="B939">
        <v>2024</v>
      </c>
      <c r="C939">
        <v>7</v>
      </c>
      <c r="D939" t="s">
        <v>80</v>
      </c>
      <c r="E939" t="s">
        <v>79</v>
      </c>
      <c r="F939">
        <v>276</v>
      </c>
      <c r="G939">
        <v>276</v>
      </c>
      <c r="H939">
        <v>0</v>
      </c>
      <c r="I939">
        <v>14</v>
      </c>
      <c r="J939" s="17">
        <v>0.75824175824175821</v>
      </c>
      <c r="K939">
        <v>43</v>
      </c>
      <c r="L939">
        <v>43</v>
      </c>
      <c r="M939" s="17">
        <v>1</v>
      </c>
      <c r="N939" s="25">
        <v>17640</v>
      </c>
      <c r="O939" s="25">
        <v>2553</v>
      </c>
      <c r="P939" s="25">
        <v>7310</v>
      </c>
      <c r="Q939" s="25">
        <v>27503</v>
      </c>
      <c r="R939" s="18">
        <v>99.648550724637687</v>
      </c>
    </row>
    <row r="940" spans="1:18" x14ac:dyDescent="0.35">
      <c r="A940" s="13">
        <v>45500</v>
      </c>
      <c r="B940">
        <v>2024</v>
      </c>
      <c r="C940">
        <v>7</v>
      </c>
      <c r="D940" t="s">
        <v>80</v>
      </c>
      <c r="E940" t="s">
        <v>79</v>
      </c>
      <c r="F940">
        <v>273</v>
      </c>
      <c r="G940">
        <v>273</v>
      </c>
      <c r="H940">
        <v>0</v>
      </c>
      <c r="I940">
        <v>14</v>
      </c>
      <c r="J940" s="17">
        <v>0.75</v>
      </c>
      <c r="K940">
        <v>43</v>
      </c>
      <c r="L940">
        <v>41</v>
      </c>
      <c r="M940" s="17">
        <v>0.95348837209302328</v>
      </c>
      <c r="N940" s="25">
        <v>17640</v>
      </c>
      <c r="O940" s="25">
        <v>2525.25</v>
      </c>
      <c r="P940" s="25">
        <v>7310</v>
      </c>
      <c r="Q940" s="25">
        <v>27475.25</v>
      </c>
      <c r="R940" s="18">
        <v>100.6419413919414</v>
      </c>
    </row>
    <row r="941" spans="1:18" x14ac:dyDescent="0.35">
      <c r="A941" s="13">
        <v>45507</v>
      </c>
      <c r="B941">
        <v>2024</v>
      </c>
      <c r="C941">
        <v>8</v>
      </c>
      <c r="D941" t="s">
        <v>80</v>
      </c>
      <c r="E941" t="s">
        <v>79</v>
      </c>
      <c r="F941">
        <v>280</v>
      </c>
      <c r="G941">
        <v>280</v>
      </c>
      <c r="H941">
        <v>0</v>
      </c>
      <c r="I941">
        <v>14</v>
      </c>
      <c r="J941" s="17">
        <v>0.76923076923076927</v>
      </c>
      <c r="K941">
        <v>43</v>
      </c>
      <c r="L941">
        <v>43</v>
      </c>
      <c r="M941" s="17">
        <v>1</v>
      </c>
      <c r="N941" s="25">
        <v>17640</v>
      </c>
      <c r="O941" s="25">
        <v>2590</v>
      </c>
      <c r="P941" s="25">
        <v>7310</v>
      </c>
      <c r="Q941" s="25">
        <v>27540</v>
      </c>
      <c r="R941" s="18">
        <v>98.357142857142861</v>
      </c>
    </row>
    <row r="942" spans="1:18" x14ac:dyDescent="0.35">
      <c r="A942" s="13">
        <v>45514</v>
      </c>
      <c r="B942">
        <v>2024</v>
      </c>
      <c r="C942">
        <v>8</v>
      </c>
      <c r="D942" t="s">
        <v>80</v>
      </c>
      <c r="E942" t="s">
        <v>79</v>
      </c>
      <c r="F942">
        <v>274</v>
      </c>
      <c r="G942">
        <v>274</v>
      </c>
      <c r="H942">
        <v>0</v>
      </c>
      <c r="I942">
        <v>14</v>
      </c>
      <c r="J942" s="17">
        <v>0.75274725274725274</v>
      </c>
      <c r="K942">
        <v>43</v>
      </c>
      <c r="L942">
        <v>41</v>
      </c>
      <c r="M942" s="17">
        <v>0.95348837209302328</v>
      </c>
      <c r="N942" s="25">
        <v>17640</v>
      </c>
      <c r="O942" s="25">
        <v>2534.5</v>
      </c>
      <c r="P942" s="25">
        <v>7310</v>
      </c>
      <c r="Q942" s="25">
        <v>27484.5</v>
      </c>
      <c r="R942" s="18">
        <v>100.3083941605839</v>
      </c>
    </row>
    <row r="943" spans="1:18" x14ac:dyDescent="0.35">
      <c r="A943" s="13">
        <v>45521</v>
      </c>
      <c r="B943">
        <v>2024</v>
      </c>
      <c r="C943">
        <v>8</v>
      </c>
      <c r="D943" t="s">
        <v>80</v>
      </c>
      <c r="E943" t="s">
        <v>79</v>
      </c>
      <c r="F943">
        <v>274</v>
      </c>
      <c r="G943">
        <v>274</v>
      </c>
      <c r="H943">
        <v>0</v>
      </c>
      <c r="I943">
        <v>14</v>
      </c>
      <c r="J943" s="17">
        <v>0.75274725274725274</v>
      </c>
      <c r="K943">
        <v>43</v>
      </c>
      <c r="L943">
        <v>41</v>
      </c>
      <c r="M943" s="17">
        <v>0.95348837209302328</v>
      </c>
      <c r="N943" s="25">
        <v>17640</v>
      </c>
      <c r="O943" s="25">
        <v>2534.5</v>
      </c>
      <c r="P943" s="25">
        <v>7310</v>
      </c>
      <c r="Q943" s="25">
        <v>27484.5</v>
      </c>
      <c r="R943" s="18">
        <v>100.3083941605839</v>
      </c>
    </row>
    <row r="944" spans="1:18" x14ac:dyDescent="0.35">
      <c r="A944" s="13">
        <v>45528</v>
      </c>
      <c r="B944">
        <v>2024</v>
      </c>
      <c r="C944">
        <v>8</v>
      </c>
      <c r="D944" t="s">
        <v>80</v>
      </c>
      <c r="E944" t="s">
        <v>79</v>
      </c>
      <c r="F944">
        <v>279</v>
      </c>
      <c r="G944">
        <v>279</v>
      </c>
      <c r="H944">
        <v>0</v>
      </c>
      <c r="I944">
        <v>14</v>
      </c>
      <c r="J944" s="17">
        <v>0.76648351648351654</v>
      </c>
      <c r="K944">
        <v>43</v>
      </c>
      <c r="L944">
        <v>38</v>
      </c>
      <c r="M944" s="17">
        <v>0.88372093023255816</v>
      </c>
      <c r="N944" s="25">
        <v>17640</v>
      </c>
      <c r="O944" s="25">
        <v>2580.75</v>
      </c>
      <c r="P944" s="25">
        <v>7310</v>
      </c>
      <c r="Q944" s="25">
        <v>27530.75</v>
      </c>
      <c r="R944" s="18">
        <v>98.676523297491045</v>
      </c>
    </row>
    <row r="945" spans="1:18" x14ac:dyDescent="0.35">
      <c r="A945" s="13">
        <v>45535</v>
      </c>
      <c r="B945">
        <v>2024</v>
      </c>
      <c r="C945">
        <v>8</v>
      </c>
      <c r="D945" t="s">
        <v>80</v>
      </c>
      <c r="E945" t="s">
        <v>79</v>
      </c>
      <c r="F945">
        <v>254</v>
      </c>
      <c r="G945">
        <v>254</v>
      </c>
      <c r="H945">
        <v>0</v>
      </c>
      <c r="I945">
        <v>12</v>
      </c>
      <c r="J945" s="17">
        <v>0.8141025641025641</v>
      </c>
      <c r="K945">
        <v>43</v>
      </c>
      <c r="L945">
        <v>42</v>
      </c>
      <c r="M945" s="17">
        <v>0.97674418604651159</v>
      </c>
      <c r="N945" s="25">
        <v>15120</v>
      </c>
      <c r="O945" s="25">
        <v>2349.5</v>
      </c>
      <c r="P945" s="25">
        <v>7310</v>
      </c>
      <c r="Q945" s="25">
        <v>24779.5</v>
      </c>
      <c r="R945" s="18">
        <v>97.55708661417323</v>
      </c>
    </row>
    <row r="946" spans="1:18" x14ac:dyDescent="0.35">
      <c r="A946" s="13">
        <v>45542</v>
      </c>
      <c r="B946">
        <v>2024</v>
      </c>
      <c r="C946">
        <v>9</v>
      </c>
      <c r="D946" t="s">
        <v>80</v>
      </c>
      <c r="E946" t="s">
        <v>79</v>
      </c>
      <c r="F946">
        <v>254</v>
      </c>
      <c r="G946">
        <v>254</v>
      </c>
      <c r="H946">
        <v>0</v>
      </c>
      <c r="I946">
        <v>13</v>
      </c>
      <c r="J946" s="17">
        <v>0.75147928994082835</v>
      </c>
      <c r="K946">
        <v>43</v>
      </c>
      <c r="L946">
        <v>43</v>
      </c>
      <c r="M946" s="17">
        <v>1</v>
      </c>
      <c r="N946" s="25">
        <v>16380</v>
      </c>
      <c r="O946" s="25">
        <v>2349.5</v>
      </c>
      <c r="P946" s="25">
        <v>7310</v>
      </c>
      <c r="Q946" s="25">
        <v>26039.5</v>
      </c>
      <c r="R946" s="18">
        <v>102.5177165354331</v>
      </c>
    </row>
    <row r="947" spans="1:18" x14ac:dyDescent="0.35">
      <c r="A947" s="13">
        <v>45549</v>
      </c>
      <c r="B947">
        <v>2024</v>
      </c>
      <c r="C947">
        <v>9</v>
      </c>
      <c r="D947" t="s">
        <v>80</v>
      </c>
      <c r="E947" t="s">
        <v>79</v>
      </c>
      <c r="F947">
        <v>238</v>
      </c>
      <c r="G947">
        <v>238</v>
      </c>
      <c r="H947">
        <v>0</v>
      </c>
      <c r="I947">
        <v>11</v>
      </c>
      <c r="J947" s="17">
        <v>0.83216783216783219</v>
      </c>
      <c r="K947">
        <v>43</v>
      </c>
      <c r="L947">
        <v>42</v>
      </c>
      <c r="M947" s="17">
        <v>0.97674418604651159</v>
      </c>
      <c r="N947" s="25">
        <v>13860</v>
      </c>
      <c r="O947" s="25">
        <v>2201.5</v>
      </c>
      <c r="P947" s="25">
        <v>7310</v>
      </c>
      <c r="Q947" s="25">
        <v>23371.5</v>
      </c>
      <c r="R947" s="18">
        <v>98.199579831932766</v>
      </c>
    </row>
    <row r="948" spans="1:18" x14ac:dyDescent="0.35">
      <c r="A948" s="13">
        <v>45556</v>
      </c>
      <c r="B948">
        <v>2024</v>
      </c>
      <c r="C948">
        <v>9</v>
      </c>
      <c r="D948" t="s">
        <v>80</v>
      </c>
      <c r="E948" t="s">
        <v>79</v>
      </c>
      <c r="F948">
        <v>248</v>
      </c>
      <c r="G948">
        <v>248</v>
      </c>
      <c r="H948">
        <v>0</v>
      </c>
      <c r="I948">
        <v>13</v>
      </c>
      <c r="J948" s="17">
        <v>0.73372781065088755</v>
      </c>
      <c r="K948">
        <v>43</v>
      </c>
      <c r="L948">
        <v>43</v>
      </c>
      <c r="M948" s="17">
        <v>1</v>
      </c>
      <c r="N948" s="25">
        <v>16380</v>
      </c>
      <c r="O948" s="25">
        <v>2294</v>
      </c>
      <c r="P948" s="25">
        <v>7310</v>
      </c>
      <c r="Q948" s="25">
        <v>25984</v>
      </c>
      <c r="R948" s="18">
        <v>104.7741935483871</v>
      </c>
    </row>
    <row r="949" spans="1:18" x14ac:dyDescent="0.35">
      <c r="A949" s="13">
        <v>45563</v>
      </c>
      <c r="B949">
        <v>2024</v>
      </c>
      <c r="C949">
        <v>9</v>
      </c>
      <c r="D949" t="s">
        <v>80</v>
      </c>
      <c r="E949" t="s">
        <v>79</v>
      </c>
      <c r="F949">
        <v>252</v>
      </c>
      <c r="G949">
        <v>252</v>
      </c>
      <c r="H949">
        <v>0</v>
      </c>
      <c r="I949">
        <v>13</v>
      </c>
      <c r="J949" s="17">
        <v>0.74556213017751483</v>
      </c>
      <c r="K949">
        <v>43</v>
      </c>
      <c r="L949">
        <v>42</v>
      </c>
      <c r="M949" s="17">
        <v>0.97674418604651159</v>
      </c>
      <c r="N949" s="25">
        <v>16380</v>
      </c>
      <c r="O949" s="25">
        <v>2331</v>
      </c>
      <c r="P949" s="25">
        <v>7310</v>
      </c>
      <c r="Q949" s="25">
        <v>26021</v>
      </c>
      <c r="R949" s="18">
        <v>103.25793650793651</v>
      </c>
    </row>
    <row r="950" spans="1:18" x14ac:dyDescent="0.35">
      <c r="A950" s="13">
        <v>45570</v>
      </c>
      <c r="B950">
        <v>2024</v>
      </c>
      <c r="C950">
        <v>10</v>
      </c>
      <c r="D950" t="s">
        <v>80</v>
      </c>
      <c r="E950" t="s">
        <v>79</v>
      </c>
      <c r="F950">
        <v>267</v>
      </c>
      <c r="G950">
        <v>267</v>
      </c>
      <c r="H950">
        <v>0</v>
      </c>
      <c r="I950">
        <v>14</v>
      </c>
      <c r="J950" s="17">
        <v>0.73351648351648346</v>
      </c>
      <c r="K950">
        <v>43</v>
      </c>
      <c r="L950">
        <v>42</v>
      </c>
      <c r="M950" s="17">
        <v>0.97674418604651159</v>
      </c>
      <c r="N950" s="25">
        <v>17640</v>
      </c>
      <c r="O950" s="25">
        <v>2469.75</v>
      </c>
      <c r="P950" s="25">
        <v>7310</v>
      </c>
      <c r="Q950" s="25">
        <v>27419.75</v>
      </c>
      <c r="R950" s="18">
        <v>102.69569288389511</v>
      </c>
    </row>
    <row r="951" spans="1:18" x14ac:dyDescent="0.35">
      <c r="A951" s="13">
        <v>45577</v>
      </c>
      <c r="B951">
        <v>2024</v>
      </c>
      <c r="C951">
        <v>10</v>
      </c>
      <c r="D951" t="s">
        <v>80</v>
      </c>
      <c r="E951" t="s">
        <v>79</v>
      </c>
      <c r="F951">
        <v>263</v>
      </c>
      <c r="G951">
        <v>263</v>
      </c>
      <c r="H951">
        <v>0</v>
      </c>
      <c r="I951">
        <v>14</v>
      </c>
      <c r="J951" s="17">
        <v>0.72252747252747251</v>
      </c>
      <c r="K951">
        <v>43</v>
      </c>
      <c r="L951">
        <v>41</v>
      </c>
      <c r="M951" s="17">
        <v>0.95348837209302328</v>
      </c>
      <c r="N951" s="25">
        <v>17640</v>
      </c>
      <c r="O951" s="25">
        <v>2432.75</v>
      </c>
      <c r="P951" s="25">
        <v>7310</v>
      </c>
      <c r="Q951" s="25">
        <v>27382.75</v>
      </c>
      <c r="R951" s="18">
        <v>104.1169201520913</v>
      </c>
    </row>
    <row r="952" spans="1:18" x14ac:dyDescent="0.35">
      <c r="A952" s="13">
        <v>45584</v>
      </c>
      <c r="B952">
        <v>2024</v>
      </c>
      <c r="C952">
        <v>10</v>
      </c>
      <c r="D952" t="s">
        <v>80</v>
      </c>
      <c r="E952" t="s">
        <v>79</v>
      </c>
      <c r="F952">
        <v>275</v>
      </c>
      <c r="G952">
        <v>275</v>
      </c>
      <c r="H952">
        <v>0</v>
      </c>
      <c r="I952">
        <v>14</v>
      </c>
      <c r="J952" s="17">
        <v>0.75549450549450547</v>
      </c>
      <c r="K952">
        <v>43</v>
      </c>
      <c r="L952">
        <v>43</v>
      </c>
      <c r="M952" s="17">
        <v>1</v>
      </c>
      <c r="N952" s="25">
        <v>17640</v>
      </c>
      <c r="O952" s="25">
        <v>2543.75</v>
      </c>
      <c r="P952" s="25">
        <v>7310</v>
      </c>
      <c r="Q952" s="25">
        <v>27493.75</v>
      </c>
      <c r="R952" s="18">
        <v>99.977272727272734</v>
      </c>
    </row>
    <row r="953" spans="1:18" x14ac:dyDescent="0.35">
      <c r="A953" s="13">
        <v>45591</v>
      </c>
      <c r="B953">
        <v>2024</v>
      </c>
      <c r="C953">
        <v>10</v>
      </c>
      <c r="D953" t="s">
        <v>80</v>
      </c>
      <c r="E953" t="s">
        <v>79</v>
      </c>
      <c r="F953">
        <v>300</v>
      </c>
      <c r="G953">
        <v>300</v>
      </c>
      <c r="H953">
        <v>0</v>
      </c>
      <c r="I953">
        <v>15</v>
      </c>
      <c r="J953" s="17">
        <v>0.76923076923076927</v>
      </c>
      <c r="K953">
        <v>43</v>
      </c>
      <c r="L953">
        <v>42</v>
      </c>
      <c r="M953" s="17">
        <v>0.97674418604651159</v>
      </c>
      <c r="N953" s="25">
        <v>18900</v>
      </c>
      <c r="O953" s="25">
        <v>2775</v>
      </c>
      <c r="P953" s="25">
        <v>7310</v>
      </c>
      <c r="Q953" s="25">
        <v>28985</v>
      </c>
      <c r="R953" s="18">
        <v>96.61666666666666</v>
      </c>
    </row>
    <row r="954" spans="1:18" x14ac:dyDescent="0.35">
      <c r="A954" s="13">
        <v>45598</v>
      </c>
      <c r="B954">
        <v>2024</v>
      </c>
      <c r="C954">
        <v>11</v>
      </c>
      <c r="D954" t="s">
        <v>80</v>
      </c>
      <c r="E954" t="s">
        <v>79</v>
      </c>
      <c r="F954">
        <v>298</v>
      </c>
      <c r="G954">
        <v>298</v>
      </c>
      <c r="H954">
        <v>0</v>
      </c>
      <c r="I954">
        <v>15</v>
      </c>
      <c r="J954" s="17">
        <v>0.76410256410256405</v>
      </c>
      <c r="K954">
        <v>43</v>
      </c>
      <c r="L954">
        <v>41</v>
      </c>
      <c r="M954" s="17">
        <v>0.95348837209302328</v>
      </c>
      <c r="N954" s="25">
        <v>18900</v>
      </c>
      <c r="O954" s="25">
        <v>2756.5</v>
      </c>
      <c r="P954" s="25">
        <v>7310</v>
      </c>
      <c r="Q954" s="25">
        <v>28966.5</v>
      </c>
      <c r="R954" s="18">
        <v>97.203020134228183</v>
      </c>
    </row>
    <row r="955" spans="1:18" x14ac:dyDescent="0.35">
      <c r="A955" s="13">
        <v>45605</v>
      </c>
      <c r="B955">
        <v>2024</v>
      </c>
      <c r="C955">
        <v>11</v>
      </c>
      <c r="D955" t="s">
        <v>80</v>
      </c>
      <c r="E955" t="s">
        <v>79</v>
      </c>
      <c r="F955">
        <v>313</v>
      </c>
      <c r="G955">
        <v>313</v>
      </c>
      <c r="H955">
        <v>0</v>
      </c>
      <c r="I955">
        <v>15</v>
      </c>
      <c r="J955" s="17">
        <v>0.8025641025641026</v>
      </c>
      <c r="K955">
        <v>43</v>
      </c>
      <c r="L955">
        <v>43</v>
      </c>
      <c r="M955" s="17">
        <v>1</v>
      </c>
      <c r="N955" s="25">
        <v>18900</v>
      </c>
      <c r="O955" s="25">
        <v>2895.25</v>
      </c>
      <c r="P955" s="25">
        <v>7310</v>
      </c>
      <c r="Q955" s="25">
        <v>29105.25</v>
      </c>
      <c r="R955" s="18">
        <v>92.988019169329078</v>
      </c>
    </row>
    <row r="956" spans="1:18" x14ac:dyDescent="0.35">
      <c r="A956" s="13">
        <v>45612</v>
      </c>
      <c r="B956">
        <v>2024</v>
      </c>
      <c r="C956">
        <v>11</v>
      </c>
      <c r="D956" t="s">
        <v>80</v>
      </c>
      <c r="E956" t="s">
        <v>79</v>
      </c>
      <c r="F956">
        <v>323</v>
      </c>
      <c r="G956">
        <v>322</v>
      </c>
      <c r="H956">
        <v>1</v>
      </c>
      <c r="I956">
        <v>14</v>
      </c>
      <c r="J956" s="17">
        <v>0.88461538461538458</v>
      </c>
      <c r="K956">
        <v>43</v>
      </c>
      <c r="L956">
        <v>39</v>
      </c>
      <c r="M956" s="17">
        <v>0.90697674418604646</v>
      </c>
      <c r="N956" s="25">
        <v>17640</v>
      </c>
      <c r="O956" s="25">
        <v>2978.5</v>
      </c>
      <c r="P956" s="25">
        <v>7310</v>
      </c>
      <c r="Q956" s="25">
        <v>27928.5</v>
      </c>
      <c r="R956" s="18">
        <v>86.734472049689444</v>
      </c>
    </row>
    <row r="957" spans="1:18" x14ac:dyDescent="0.35">
      <c r="A957" s="13">
        <v>45619</v>
      </c>
      <c r="B957">
        <v>2024</v>
      </c>
      <c r="C957">
        <v>11</v>
      </c>
      <c r="D957" t="s">
        <v>80</v>
      </c>
      <c r="E957" t="s">
        <v>79</v>
      </c>
      <c r="F957">
        <v>360</v>
      </c>
      <c r="G957">
        <v>358</v>
      </c>
      <c r="H957">
        <v>3</v>
      </c>
      <c r="I957">
        <v>16</v>
      </c>
      <c r="J957" s="17">
        <v>0.86057692307692313</v>
      </c>
      <c r="K957">
        <v>43</v>
      </c>
      <c r="L957">
        <v>41</v>
      </c>
      <c r="M957" s="17">
        <v>0.95348837209302328</v>
      </c>
      <c r="N957" s="25">
        <v>20160</v>
      </c>
      <c r="O957" s="25">
        <v>3311.5</v>
      </c>
      <c r="P957" s="25">
        <v>7310</v>
      </c>
      <c r="Q957" s="25">
        <v>30781.5</v>
      </c>
      <c r="R957" s="18">
        <v>85.981843575418992</v>
      </c>
    </row>
    <row r="958" spans="1:18" x14ac:dyDescent="0.35">
      <c r="A958" s="13">
        <v>45626</v>
      </c>
      <c r="B958">
        <v>2024</v>
      </c>
      <c r="C958">
        <v>11</v>
      </c>
      <c r="D958" t="s">
        <v>80</v>
      </c>
      <c r="E958" t="s">
        <v>79</v>
      </c>
      <c r="F958">
        <v>384</v>
      </c>
      <c r="G958">
        <v>370</v>
      </c>
      <c r="H958">
        <v>17</v>
      </c>
      <c r="I958">
        <v>17</v>
      </c>
      <c r="J958" s="17">
        <v>0.83710407239819007</v>
      </c>
      <c r="K958">
        <v>43</v>
      </c>
      <c r="L958">
        <v>40</v>
      </c>
      <c r="M958" s="17">
        <v>0.93023255813953487</v>
      </c>
      <c r="N958" s="25">
        <v>21420</v>
      </c>
      <c r="O958" s="25">
        <v>3422.5</v>
      </c>
      <c r="P958" s="25">
        <v>7310</v>
      </c>
      <c r="Q958" s="25">
        <v>32152.5</v>
      </c>
      <c r="R958" s="18">
        <v>86.898648648648646</v>
      </c>
    </row>
    <row r="959" spans="1:18" x14ac:dyDescent="0.35">
      <c r="A959" s="13">
        <v>45633</v>
      </c>
      <c r="B959">
        <v>2024</v>
      </c>
      <c r="C959">
        <v>12</v>
      </c>
      <c r="D959" t="s">
        <v>80</v>
      </c>
      <c r="E959" t="s">
        <v>79</v>
      </c>
      <c r="F959">
        <v>428</v>
      </c>
      <c r="G959">
        <v>380</v>
      </c>
      <c r="H959">
        <v>65</v>
      </c>
      <c r="I959">
        <v>19</v>
      </c>
      <c r="J959" s="17">
        <v>0.76923076923076927</v>
      </c>
      <c r="K959">
        <v>43</v>
      </c>
      <c r="L959">
        <v>39</v>
      </c>
      <c r="M959" s="17">
        <v>0.90697674418604646</v>
      </c>
      <c r="N959" s="25">
        <v>23940</v>
      </c>
      <c r="O959" s="25">
        <v>3515</v>
      </c>
      <c r="P959" s="25">
        <v>7310</v>
      </c>
      <c r="Q959" s="25">
        <v>34765</v>
      </c>
      <c r="R959" s="18">
        <v>91.486842105263165</v>
      </c>
    </row>
    <row r="960" spans="1:18" x14ac:dyDescent="0.35">
      <c r="A960" s="13">
        <v>45640</v>
      </c>
      <c r="B960">
        <v>2024</v>
      </c>
      <c r="C960">
        <v>12</v>
      </c>
      <c r="D960" t="s">
        <v>80</v>
      </c>
      <c r="E960" t="s">
        <v>79</v>
      </c>
      <c r="F960">
        <v>406</v>
      </c>
      <c r="G960">
        <v>382</v>
      </c>
      <c r="H960">
        <v>89</v>
      </c>
      <c r="I960">
        <v>18</v>
      </c>
      <c r="J960" s="17">
        <v>0.81623931623931623</v>
      </c>
      <c r="K960">
        <v>43</v>
      </c>
      <c r="L960">
        <v>43</v>
      </c>
      <c r="M960" s="17">
        <v>1</v>
      </c>
      <c r="N960" s="25">
        <v>22680</v>
      </c>
      <c r="O960" s="25">
        <v>3533.5</v>
      </c>
      <c r="P960" s="25">
        <v>7310</v>
      </c>
      <c r="Q960" s="25">
        <v>33523.5</v>
      </c>
      <c r="R960" s="18">
        <v>87.757853403141368</v>
      </c>
    </row>
    <row r="961" spans="1:18" x14ac:dyDescent="0.35">
      <c r="A961" s="13">
        <v>45647</v>
      </c>
      <c r="B961">
        <v>2024</v>
      </c>
      <c r="C961">
        <v>12</v>
      </c>
      <c r="D961" t="s">
        <v>80</v>
      </c>
      <c r="E961" t="s">
        <v>79</v>
      </c>
      <c r="F961">
        <v>366</v>
      </c>
      <c r="G961">
        <v>377</v>
      </c>
      <c r="H961">
        <v>78</v>
      </c>
      <c r="I961">
        <v>19</v>
      </c>
      <c r="J961" s="17">
        <v>0.76315789473684215</v>
      </c>
      <c r="K961">
        <v>43</v>
      </c>
      <c r="L961">
        <v>41</v>
      </c>
      <c r="M961" s="17">
        <v>0.95348837209302328</v>
      </c>
      <c r="N961" s="25">
        <v>23940</v>
      </c>
      <c r="O961" s="25">
        <v>3487.25</v>
      </c>
      <c r="P961" s="25">
        <v>7310</v>
      </c>
      <c r="Q961" s="25">
        <v>34737.25</v>
      </c>
      <c r="R961" s="18">
        <v>92.141246684350136</v>
      </c>
    </row>
    <row r="962" spans="1:18" x14ac:dyDescent="0.35">
      <c r="A962" s="13">
        <v>45654</v>
      </c>
      <c r="B962">
        <v>2024</v>
      </c>
      <c r="C962">
        <v>12</v>
      </c>
      <c r="D962" t="s">
        <v>80</v>
      </c>
      <c r="E962" t="s">
        <v>79</v>
      </c>
      <c r="F962">
        <v>311</v>
      </c>
      <c r="G962">
        <v>358</v>
      </c>
      <c r="H962">
        <v>31</v>
      </c>
      <c r="I962">
        <v>18</v>
      </c>
      <c r="J962" s="17">
        <v>0.7649572649572649</v>
      </c>
      <c r="K962">
        <v>43</v>
      </c>
      <c r="L962">
        <v>43</v>
      </c>
      <c r="M962" s="17">
        <v>1</v>
      </c>
      <c r="N962" s="25">
        <v>22680</v>
      </c>
      <c r="O962" s="25">
        <v>3311.5</v>
      </c>
      <c r="P962" s="25">
        <v>7310</v>
      </c>
      <c r="Q962" s="25">
        <v>33301.5</v>
      </c>
      <c r="R962" s="18">
        <v>93.020949720670387</v>
      </c>
    </row>
    <row r="963" spans="1:18" x14ac:dyDescent="0.35">
      <c r="A963" s="13">
        <v>45661</v>
      </c>
      <c r="B963">
        <v>2025</v>
      </c>
      <c r="C963">
        <v>1</v>
      </c>
      <c r="D963" t="s">
        <v>80</v>
      </c>
      <c r="E963" t="s">
        <v>79</v>
      </c>
      <c r="F963">
        <v>266</v>
      </c>
      <c r="G963">
        <v>295</v>
      </c>
      <c r="H963">
        <v>2</v>
      </c>
      <c r="I963">
        <v>14</v>
      </c>
      <c r="J963" s="17">
        <v>0.81043956043956045</v>
      </c>
      <c r="K963">
        <v>43</v>
      </c>
      <c r="L963">
        <v>41</v>
      </c>
      <c r="M963" s="17">
        <v>0.95348837209302328</v>
      </c>
      <c r="N963" s="25">
        <v>17640</v>
      </c>
      <c r="O963" s="25">
        <v>2728.75</v>
      </c>
      <c r="P963" s="25">
        <v>7310</v>
      </c>
      <c r="Q963" s="25">
        <v>27678.75</v>
      </c>
      <c r="R963" s="18">
        <v>93.826271186440678</v>
      </c>
    </row>
    <row r="964" spans="1:18" x14ac:dyDescent="0.35">
      <c r="A964" s="13">
        <v>45668</v>
      </c>
      <c r="B964">
        <v>2025</v>
      </c>
      <c r="C964">
        <v>1</v>
      </c>
      <c r="D964" t="s">
        <v>80</v>
      </c>
      <c r="E964" t="s">
        <v>79</v>
      </c>
      <c r="F964">
        <v>212</v>
      </c>
      <c r="G964">
        <v>214</v>
      </c>
      <c r="H964">
        <v>0</v>
      </c>
      <c r="I964">
        <v>11</v>
      </c>
      <c r="J964" s="17">
        <v>0.74825174825174823</v>
      </c>
      <c r="K964">
        <v>43</v>
      </c>
      <c r="L964">
        <v>41</v>
      </c>
      <c r="M964" s="17">
        <v>0.95348837209302328</v>
      </c>
      <c r="N964" s="25">
        <v>13860</v>
      </c>
      <c r="O964" s="25">
        <v>1979.5</v>
      </c>
      <c r="P964" s="25">
        <v>7310</v>
      </c>
      <c r="Q964" s="25">
        <v>23149.5</v>
      </c>
      <c r="R964" s="18">
        <v>108.1752336448598</v>
      </c>
    </row>
    <row r="965" spans="1:18" x14ac:dyDescent="0.35">
      <c r="A965" s="13">
        <v>45675</v>
      </c>
      <c r="B965">
        <v>2025</v>
      </c>
      <c r="C965">
        <v>1</v>
      </c>
      <c r="D965" t="s">
        <v>80</v>
      </c>
      <c r="E965" t="s">
        <v>79</v>
      </c>
      <c r="F965">
        <v>221</v>
      </c>
      <c r="G965">
        <v>221</v>
      </c>
      <c r="H965">
        <v>0</v>
      </c>
      <c r="I965">
        <v>11</v>
      </c>
      <c r="J965" s="17">
        <v>0.77272727272727271</v>
      </c>
      <c r="K965">
        <v>43</v>
      </c>
      <c r="L965">
        <v>43</v>
      </c>
      <c r="M965" s="17">
        <v>1</v>
      </c>
      <c r="N965" s="25">
        <v>13860</v>
      </c>
      <c r="O965" s="25">
        <v>2044.25</v>
      </c>
      <c r="P965" s="25">
        <v>7310</v>
      </c>
      <c r="Q965" s="25">
        <v>23214.25</v>
      </c>
      <c r="R965" s="18">
        <v>105.0418552036199</v>
      </c>
    </row>
    <row r="966" spans="1:18" x14ac:dyDescent="0.35">
      <c r="A966" s="13">
        <v>45682</v>
      </c>
      <c r="B966">
        <v>2025</v>
      </c>
      <c r="C966">
        <v>1</v>
      </c>
      <c r="D966" t="s">
        <v>80</v>
      </c>
      <c r="E966" t="s">
        <v>79</v>
      </c>
      <c r="F966">
        <v>231</v>
      </c>
      <c r="G966">
        <v>231</v>
      </c>
      <c r="H966">
        <v>0</v>
      </c>
      <c r="I966">
        <v>12</v>
      </c>
      <c r="J966" s="17">
        <v>0.74038461538461542</v>
      </c>
      <c r="K966">
        <v>43</v>
      </c>
      <c r="L966">
        <v>39</v>
      </c>
      <c r="M966" s="17">
        <v>0.90697674418604646</v>
      </c>
      <c r="N966" s="25">
        <v>15120</v>
      </c>
      <c r="O966" s="25">
        <v>2136.75</v>
      </c>
      <c r="P966" s="25">
        <v>7310</v>
      </c>
      <c r="Q966" s="25">
        <v>24566.75</v>
      </c>
      <c r="R966" s="18">
        <v>106.3495670995671</v>
      </c>
    </row>
    <row r="967" spans="1:18" x14ac:dyDescent="0.35">
      <c r="A967" s="13">
        <v>45689</v>
      </c>
      <c r="B967">
        <v>2025</v>
      </c>
      <c r="C967">
        <v>2</v>
      </c>
      <c r="D967" t="s">
        <v>80</v>
      </c>
      <c r="E967" t="s">
        <v>79</v>
      </c>
      <c r="F967">
        <v>224</v>
      </c>
      <c r="G967">
        <v>224</v>
      </c>
      <c r="H967">
        <v>0</v>
      </c>
      <c r="I967">
        <v>11</v>
      </c>
      <c r="J967" s="17">
        <v>0.78321678321678323</v>
      </c>
      <c r="K967">
        <v>43</v>
      </c>
      <c r="L967">
        <v>38</v>
      </c>
      <c r="M967" s="17">
        <v>0.88372093023255816</v>
      </c>
      <c r="N967" s="25">
        <v>13860</v>
      </c>
      <c r="O967" s="25">
        <v>2072</v>
      </c>
      <c r="P967" s="25">
        <v>7310</v>
      </c>
      <c r="Q967" s="25">
        <v>23242</v>
      </c>
      <c r="R967" s="18">
        <v>103.7589285714286</v>
      </c>
    </row>
    <row r="968" spans="1:18" x14ac:dyDescent="0.35">
      <c r="A968" s="13">
        <v>45696</v>
      </c>
      <c r="B968">
        <v>2025</v>
      </c>
      <c r="C968">
        <v>2</v>
      </c>
      <c r="D968" t="s">
        <v>80</v>
      </c>
      <c r="E968" t="s">
        <v>79</v>
      </c>
      <c r="F968">
        <v>253</v>
      </c>
      <c r="G968">
        <v>253</v>
      </c>
      <c r="H968">
        <v>0</v>
      </c>
      <c r="I968">
        <v>13</v>
      </c>
      <c r="J968" s="17">
        <v>0.74852071005917165</v>
      </c>
      <c r="K968">
        <v>43</v>
      </c>
      <c r="L968">
        <v>39</v>
      </c>
      <c r="M968" s="17">
        <v>0.90697674418604646</v>
      </c>
      <c r="N968" s="25">
        <v>16380</v>
      </c>
      <c r="O968" s="25">
        <v>2340.25</v>
      </c>
      <c r="P968" s="25">
        <v>7310</v>
      </c>
      <c r="Q968" s="25">
        <v>26030.25</v>
      </c>
      <c r="R968" s="18">
        <v>102.8863636363636</v>
      </c>
    </row>
    <row r="969" spans="1:18" x14ac:dyDescent="0.35">
      <c r="A969" s="13">
        <v>45703</v>
      </c>
      <c r="B969">
        <v>2025</v>
      </c>
      <c r="C969">
        <v>2</v>
      </c>
      <c r="D969" t="s">
        <v>80</v>
      </c>
      <c r="E969" t="s">
        <v>79</v>
      </c>
      <c r="F969">
        <v>257</v>
      </c>
      <c r="G969">
        <v>257</v>
      </c>
      <c r="H969">
        <v>0</v>
      </c>
      <c r="I969">
        <v>12</v>
      </c>
      <c r="J969" s="17">
        <v>0.82371794871794868</v>
      </c>
      <c r="K969">
        <v>43</v>
      </c>
      <c r="L969">
        <v>38</v>
      </c>
      <c r="M969" s="17">
        <v>0.88372093023255816</v>
      </c>
      <c r="N969" s="25">
        <v>15120</v>
      </c>
      <c r="O969" s="25">
        <v>2377.25</v>
      </c>
      <c r="P969" s="25">
        <v>7310</v>
      </c>
      <c r="Q969" s="25">
        <v>24807.25</v>
      </c>
      <c r="R969" s="18">
        <v>96.526264591439684</v>
      </c>
    </row>
    <row r="970" spans="1:18" x14ac:dyDescent="0.35">
      <c r="A970" s="13">
        <v>45710</v>
      </c>
      <c r="B970">
        <v>2025</v>
      </c>
      <c r="C970">
        <v>2</v>
      </c>
      <c r="D970" t="s">
        <v>80</v>
      </c>
      <c r="E970" t="s">
        <v>79</v>
      </c>
      <c r="F970">
        <v>256</v>
      </c>
      <c r="G970">
        <v>256</v>
      </c>
      <c r="H970">
        <v>0</v>
      </c>
      <c r="I970">
        <v>13</v>
      </c>
      <c r="J970" s="17">
        <v>0.75739644970414199</v>
      </c>
      <c r="K970">
        <v>43</v>
      </c>
      <c r="L970">
        <v>41</v>
      </c>
      <c r="M970" s="17">
        <v>0.95348837209302328</v>
      </c>
      <c r="N970" s="25">
        <v>16380</v>
      </c>
      <c r="O970" s="25">
        <v>2368</v>
      </c>
      <c r="P970" s="25">
        <v>7310</v>
      </c>
      <c r="Q970" s="25">
        <v>26058</v>
      </c>
      <c r="R970" s="18">
        <v>101.7890625</v>
      </c>
    </row>
    <row r="971" spans="1:18" x14ac:dyDescent="0.35">
      <c r="A971" s="13">
        <v>45717</v>
      </c>
      <c r="B971">
        <v>2025</v>
      </c>
      <c r="C971">
        <v>3</v>
      </c>
      <c r="D971" t="s">
        <v>80</v>
      </c>
      <c r="E971" t="s">
        <v>79</v>
      </c>
      <c r="F971">
        <v>259</v>
      </c>
      <c r="G971">
        <v>259</v>
      </c>
      <c r="H971">
        <v>0</v>
      </c>
      <c r="I971">
        <v>13</v>
      </c>
      <c r="J971" s="17">
        <v>0.76627218934911245</v>
      </c>
      <c r="K971">
        <v>43</v>
      </c>
      <c r="L971">
        <v>41</v>
      </c>
      <c r="M971" s="17">
        <v>0.95348837209302328</v>
      </c>
      <c r="N971" s="25">
        <v>16380</v>
      </c>
      <c r="O971" s="25">
        <v>2395.75</v>
      </c>
      <c r="P971" s="25">
        <v>7310</v>
      </c>
      <c r="Q971" s="25">
        <v>26085.75</v>
      </c>
      <c r="R971" s="18">
        <v>100.7171814671815</v>
      </c>
    </row>
    <row r="972" spans="1:18" x14ac:dyDescent="0.35">
      <c r="A972" s="13">
        <v>45724</v>
      </c>
      <c r="B972">
        <v>2025</v>
      </c>
      <c r="C972">
        <v>3</v>
      </c>
      <c r="D972" t="s">
        <v>80</v>
      </c>
      <c r="E972" t="s">
        <v>79</v>
      </c>
      <c r="F972">
        <v>270</v>
      </c>
      <c r="G972">
        <v>270</v>
      </c>
      <c r="H972">
        <v>0</v>
      </c>
      <c r="I972">
        <v>14</v>
      </c>
      <c r="J972" s="17">
        <v>0.74175824175824179</v>
      </c>
      <c r="K972">
        <v>43</v>
      </c>
      <c r="L972">
        <v>42</v>
      </c>
      <c r="M972" s="17">
        <v>0.97674418604651159</v>
      </c>
      <c r="N972" s="25">
        <v>17640</v>
      </c>
      <c r="O972" s="25">
        <v>2497.5</v>
      </c>
      <c r="P972" s="25">
        <v>7310</v>
      </c>
      <c r="Q972" s="25">
        <v>27447.5</v>
      </c>
      <c r="R972" s="18">
        <v>101.6574074074074</v>
      </c>
    </row>
    <row r="973" spans="1:18" x14ac:dyDescent="0.35">
      <c r="A973" s="13">
        <v>45731</v>
      </c>
      <c r="B973">
        <v>2025</v>
      </c>
      <c r="C973">
        <v>3</v>
      </c>
      <c r="D973" t="s">
        <v>80</v>
      </c>
      <c r="E973" t="s">
        <v>79</v>
      </c>
      <c r="F973">
        <v>258</v>
      </c>
      <c r="G973">
        <v>258</v>
      </c>
      <c r="H973">
        <v>0</v>
      </c>
      <c r="I973">
        <v>13</v>
      </c>
      <c r="J973" s="17">
        <v>0.76331360946745563</v>
      </c>
      <c r="K973">
        <v>43</v>
      </c>
      <c r="L973">
        <v>42</v>
      </c>
      <c r="M973" s="17">
        <v>0.97674418604651159</v>
      </c>
      <c r="N973" s="25">
        <v>16380</v>
      </c>
      <c r="O973" s="25">
        <v>2386.5</v>
      </c>
      <c r="P973" s="25">
        <v>7310</v>
      </c>
      <c r="Q973" s="25">
        <v>26076.5</v>
      </c>
      <c r="R973" s="18">
        <v>101.0717054263566</v>
      </c>
    </row>
    <row r="974" spans="1:18" x14ac:dyDescent="0.35">
      <c r="A974" s="13">
        <v>45738</v>
      </c>
      <c r="B974">
        <v>2025</v>
      </c>
      <c r="C974">
        <v>3</v>
      </c>
      <c r="D974" t="s">
        <v>80</v>
      </c>
      <c r="E974" t="s">
        <v>79</v>
      </c>
      <c r="F974">
        <v>274</v>
      </c>
      <c r="G974">
        <v>274</v>
      </c>
      <c r="H974">
        <v>0</v>
      </c>
      <c r="I974">
        <v>14</v>
      </c>
      <c r="J974" s="17">
        <v>0.75274725274725274</v>
      </c>
      <c r="K974">
        <v>43</v>
      </c>
      <c r="L974">
        <v>43</v>
      </c>
      <c r="M974" s="17">
        <v>1</v>
      </c>
      <c r="N974" s="25">
        <v>17640</v>
      </c>
      <c r="O974" s="25">
        <v>2534.5</v>
      </c>
      <c r="P974" s="25">
        <v>7310</v>
      </c>
      <c r="Q974" s="25">
        <v>27484.5</v>
      </c>
      <c r="R974" s="18">
        <v>100.3083941605839</v>
      </c>
    </row>
    <row r="975" spans="1:18" x14ac:dyDescent="0.35">
      <c r="A975" s="13">
        <v>45745</v>
      </c>
      <c r="B975">
        <v>2025</v>
      </c>
      <c r="C975">
        <v>3</v>
      </c>
      <c r="D975" t="s">
        <v>80</v>
      </c>
      <c r="E975" t="s">
        <v>79</v>
      </c>
      <c r="F975">
        <v>268</v>
      </c>
      <c r="G975">
        <v>268</v>
      </c>
      <c r="H975">
        <v>0</v>
      </c>
      <c r="I975">
        <v>14</v>
      </c>
      <c r="J975" s="17">
        <v>0.73626373626373631</v>
      </c>
      <c r="K975">
        <v>43</v>
      </c>
      <c r="L975">
        <v>41</v>
      </c>
      <c r="M975" s="17">
        <v>0.95348837209302328</v>
      </c>
      <c r="N975" s="25">
        <v>17640</v>
      </c>
      <c r="O975" s="25">
        <v>2479</v>
      </c>
      <c r="P975" s="25">
        <v>7310</v>
      </c>
      <c r="Q975" s="25">
        <v>27429</v>
      </c>
      <c r="R975" s="18">
        <v>102.3470149253731</v>
      </c>
    </row>
    <row r="976" spans="1:18" x14ac:dyDescent="0.35">
      <c r="A976" s="13">
        <v>45752</v>
      </c>
      <c r="B976">
        <v>2025</v>
      </c>
      <c r="C976">
        <v>4</v>
      </c>
      <c r="D976" t="s">
        <v>80</v>
      </c>
      <c r="E976" t="s">
        <v>79</v>
      </c>
      <c r="F976">
        <v>268</v>
      </c>
      <c r="G976">
        <v>268</v>
      </c>
      <c r="H976">
        <v>0</v>
      </c>
      <c r="I976">
        <v>13</v>
      </c>
      <c r="J976" s="17">
        <v>0.79289940828402372</v>
      </c>
      <c r="K976">
        <v>43</v>
      </c>
      <c r="L976">
        <v>43</v>
      </c>
      <c r="M976" s="17">
        <v>1</v>
      </c>
      <c r="N976" s="25">
        <v>16380</v>
      </c>
      <c r="O976" s="25">
        <v>2479</v>
      </c>
      <c r="P976" s="25">
        <v>7310</v>
      </c>
      <c r="Q976" s="25">
        <v>26169</v>
      </c>
      <c r="R976" s="18">
        <v>97.645522388059703</v>
      </c>
    </row>
    <row r="977" spans="1:18" x14ac:dyDescent="0.35">
      <c r="A977" s="13">
        <v>45759</v>
      </c>
      <c r="B977">
        <v>2025</v>
      </c>
      <c r="C977">
        <v>4</v>
      </c>
      <c r="D977" t="s">
        <v>80</v>
      </c>
      <c r="E977" t="s">
        <v>79</v>
      </c>
      <c r="F977">
        <v>276</v>
      </c>
      <c r="G977">
        <v>276</v>
      </c>
      <c r="H977">
        <v>0</v>
      </c>
      <c r="I977">
        <v>14</v>
      </c>
      <c r="J977" s="17">
        <v>0.75824175824175821</v>
      </c>
      <c r="K977">
        <v>43</v>
      </c>
      <c r="L977">
        <v>43</v>
      </c>
      <c r="M977" s="17">
        <v>1</v>
      </c>
      <c r="N977" s="25">
        <v>17640</v>
      </c>
      <c r="O977" s="25">
        <v>2553</v>
      </c>
      <c r="P977" s="25">
        <v>7310</v>
      </c>
      <c r="Q977" s="25">
        <v>27503</v>
      </c>
      <c r="R977" s="18">
        <v>99.648550724637687</v>
      </c>
    </row>
    <row r="978" spans="1:18" x14ac:dyDescent="0.35">
      <c r="A978" s="13">
        <v>45766</v>
      </c>
      <c r="B978">
        <v>2025</v>
      </c>
      <c r="C978">
        <v>4</v>
      </c>
      <c r="D978" t="s">
        <v>80</v>
      </c>
      <c r="E978" t="s">
        <v>79</v>
      </c>
      <c r="F978">
        <v>298</v>
      </c>
      <c r="G978">
        <v>298</v>
      </c>
      <c r="H978">
        <v>0</v>
      </c>
      <c r="I978">
        <v>14</v>
      </c>
      <c r="J978" s="17">
        <v>0.81868131868131866</v>
      </c>
      <c r="K978">
        <v>43</v>
      </c>
      <c r="L978">
        <v>42</v>
      </c>
      <c r="M978" s="17">
        <v>0.97674418604651159</v>
      </c>
      <c r="N978" s="25">
        <v>17640</v>
      </c>
      <c r="O978" s="25">
        <v>2756.5</v>
      </c>
      <c r="P978" s="25">
        <v>7310</v>
      </c>
      <c r="Q978" s="25">
        <v>27706.5</v>
      </c>
      <c r="R978" s="18">
        <v>92.974832214765101</v>
      </c>
    </row>
    <row r="979" spans="1:18" x14ac:dyDescent="0.35">
      <c r="A979" s="13">
        <v>45773</v>
      </c>
      <c r="B979">
        <v>2025</v>
      </c>
      <c r="C979">
        <v>4</v>
      </c>
      <c r="D979" t="s">
        <v>80</v>
      </c>
      <c r="E979" t="s">
        <v>79</v>
      </c>
      <c r="F979">
        <v>284</v>
      </c>
      <c r="G979">
        <v>284</v>
      </c>
      <c r="H979">
        <v>0</v>
      </c>
      <c r="I979">
        <v>14</v>
      </c>
      <c r="J979" s="17">
        <v>0.78021978021978022</v>
      </c>
      <c r="K979">
        <v>43</v>
      </c>
      <c r="L979">
        <v>43</v>
      </c>
      <c r="M979" s="17">
        <v>1</v>
      </c>
      <c r="N979" s="25">
        <v>17640</v>
      </c>
      <c r="O979" s="25">
        <v>2627</v>
      </c>
      <c r="P979" s="25">
        <v>7310</v>
      </c>
      <c r="Q979" s="25">
        <v>27577</v>
      </c>
      <c r="R979" s="18">
        <v>97.102112676056336</v>
      </c>
    </row>
    <row r="980" spans="1:18" x14ac:dyDescent="0.35">
      <c r="A980" s="13">
        <v>45780</v>
      </c>
      <c r="B980">
        <v>2025</v>
      </c>
      <c r="C980">
        <v>5</v>
      </c>
      <c r="D980" t="s">
        <v>80</v>
      </c>
      <c r="E980" t="s">
        <v>79</v>
      </c>
      <c r="F980">
        <v>280</v>
      </c>
      <c r="G980">
        <v>280</v>
      </c>
      <c r="H980">
        <v>0</v>
      </c>
      <c r="I980">
        <v>14</v>
      </c>
      <c r="J980" s="17">
        <v>0.76923076923076927</v>
      </c>
      <c r="K980">
        <v>43</v>
      </c>
      <c r="L980">
        <v>42</v>
      </c>
      <c r="M980" s="17">
        <v>0.97674418604651159</v>
      </c>
      <c r="N980" s="25">
        <v>17640</v>
      </c>
      <c r="O980" s="25">
        <v>2590</v>
      </c>
      <c r="P980" s="25">
        <v>7310</v>
      </c>
      <c r="Q980" s="25">
        <v>27540</v>
      </c>
      <c r="R980" s="18">
        <v>98.357142857142861</v>
      </c>
    </row>
    <row r="981" spans="1:18" x14ac:dyDescent="0.35">
      <c r="A981" s="13">
        <v>45787</v>
      </c>
      <c r="B981">
        <v>2025</v>
      </c>
      <c r="C981">
        <v>5</v>
      </c>
      <c r="D981" t="s">
        <v>80</v>
      </c>
      <c r="E981" t="s">
        <v>79</v>
      </c>
      <c r="F981">
        <v>287</v>
      </c>
      <c r="G981">
        <v>287</v>
      </c>
      <c r="H981">
        <v>0</v>
      </c>
      <c r="I981">
        <v>15</v>
      </c>
      <c r="J981" s="17">
        <v>0.73589743589743595</v>
      </c>
      <c r="K981">
        <v>43</v>
      </c>
      <c r="L981">
        <v>43</v>
      </c>
      <c r="M981" s="17">
        <v>1</v>
      </c>
      <c r="N981" s="25">
        <v>18900</v>
      </c>
      <c r="O981" s="25">
        <v>2654.75</v>
      </c>
      <c r="P981" s="25">
        <v>7310</v>
      </c>
      <c r="Q981" s="25">
        <v>28864.75</v>
      </c>
      <c r="R981" s="18">
        <v>100.5740418118467</v>
      </c>
    </row>
    <row r="982" spans="1:18" x14ac:dyDescent="0.35">
      <c r="A982" s="13">
        <v>45794</v>
      </c>
      <c r="B982">
        <v>2025</v>
      </c>
      <c r="C982">
        <v>5</v>
      </c>
      <c r="D982" t="s">
        <v>80</v>
      </c>
      <c r="E982" t="s">
        <v>79</v>
      </c>
      <c r="F982">
        <v>292</v>
      </c>
      <c r="G982">
        <v>292</v>
      </c>
      <c r="H982">
        <v>0</v>
      </c>
      <c r="I982">
        <v>14</v>
      </c>
      <c r="J982" s="17">
        <v>0.80219780219780223</v>
      </c>
      <c r="K982">
        <v>43</v>
      </c>
      <c r="L982">
        <v>43</v>
      </c>
      <c r="M982" s="17">
        <v>1</v>
      </c>
      <c r="N982" s="25">
        <v>17640</v>
      </c>
      <c r="O982" s="25">
        <v>2701</v>
      </c>
      <c r="P982" s="25">
        <v>7310</v>
      </c>
      <c r="Q982" s="25">
        <v>27651</v>
      </c>
      <c r="R982" s="18">
        <v>94.695205479452056</v>
      </c>
    </row>
    <row r="983" spans="1:18" x14ac:dyDescent="0.35">
      <c r="A983" s="13">
        <v>45801</v>
      </c>
      <c r="B983">
        <v>2025</v>
      </c>
      <c r="C983">
        <v>5</v>
      </c>
      <c r="D983" t="s">
        <v>80</v>
      </c>
      <c r="E983" t="s">
        <v>79</v>
      </c>
      <c r="F983">
        <v>286</v>
      </c>
      <c r="G983">
        <v>286</v>
      </c>
      <c r="H983">
        <v>0</v>
      </c>
      <c r="I983">
        <v>14</v>
      </c>
      <c r="J983" s="17">
        <v>0.7857142857142857</v>
      </c>
      <c r="K983">
        <v>43</v>
      </c>
      <c r="L983">
        <v>42</v>
      </c>
      <c r="M983" s="17">
        <v>0.97674418604651159</v>
      </c>
      <c r="N983" s="25">
        <v>17640</v>
      </c>
      <c r="O983" s="25">
        <v>2645.5</v>
      </c>
      <c r="P983" s="25">
        <v>7310</v>
      </c>
      <c r="Q983" s="25">
        <v>27595.5</v>
      </c>
      <c r="R983" s="18">
        <v>96.48776223776224</v>
      </c>
    </row>
    <row r="984" spans="1:18" x14ac:dyDescent="0.35">
      <c r="A984" s="13">
        <v>45808</v>
      </c>
      <c r="B984">
        <v>2025</v>
      </c>
      <c r="C984">
        <v>5</v>
      </c>
      <c r="D984" t="s">
        <v>80</v>
      </c>
      <c r="E984" t="s">
        <v>79</v>
      </c>
      <c r="F984">
        <v>280</v>
      </c>
      <c r="G984">
        <v>280</v>
      </c>
      <c r="H984">
        <v>0</v>
      </c>
      <c r="I984">
        <v>14</v>
      </c>
      <c r="J984" s="17">
        <v>0.76923076923076927</v>
      </c>
      <c r="K984">
        <v>43</v>
      </c>
      <c r="L984">
        <v>42</v>
      </c>
      <c r="M984" s="17">
        <v>0.97674418604651159</v>
      </c>
      <c r="N984" s="25">
        <v>17640</v>
      </c>
      <c r="O984" s="25">
        <v>2590</v>
      </c>
      <c r="P984" s="25">
        <v>7310</v>
      </c>
      <c r="Q984" s="25">
        <v>27540</v>
      </c>
      <c r="R984" s="18">
        <v>98.357142857142861</v>
      </c>
    </row>
    <row r="985" spans="1:18" x14ac:dyDescent="0.35">
      <c r="A985" s="13">
        <v>45815</v>
      </c>
      <c r="B985">
        <v>2025</v>
      </c>
      <c r="C985">
        <v>6</v>
      </c>
      <c r="D985" t="s">
        <v>80</v>
      </c>
      <c r="E985" t="s">
        <v>79</v>
      </c>
      <c r="F985">
        <v>290</v>
      </c>
      <c r="G985">
        <v>290</v>
      </c>
      <c r="H985">
        <v>0</v>
      </c>
      <c r="I985">
        <v>14</v>
      </c>
      <c r="J985" s="17">
        <v>0.79670329670329665</v>
      </c>
      <c r="K985">
        <v>43</v>
      </c>
      <c r="L985">
        <v>42</v>
      </c>
      <c r="M985" s="17">
        <v>0.97674418604651159</v>
      </c>
      <c r="N985" s="25">
        <v>17640</v>
      </c>
      <c r="O985" s="25">
        <v>2682.5</v>
      </c>
      <c r="P985" s="25">
        <v>7310</v>
      </c>
      <c r="Q985" s="25">
        <v>27632.5</v>
      </c>
      <c r="R985" s="18">
        <v>95.284482758620683</v>
      </c>
    </row>
    <row r="986" spans="1:18" x14ac:dyDescent="0.35">
      <c r="A986" s="13">
        <v>45822</v>
      </c>
      <c r="B986">
        <v>2025</v>
      </c>
      <c r="C986">
        <v>6</v>
      </c>
      <c r="D986" t="s">
        <v>80</v>
      </c>
      <c r="E986" t="s">
        <v>79</v>
      </c>
      <c r="F986">
        <v>281</v>
      </c>
      <c r="G986">
        <v>281</v>
      </c>
      <c r="H986">
        <v>0</v>
      </c>
      <c r="I986">
        <v>14</v>
      </c>
      <c r="J986" s="17">
        <v>0.77197802197802201</v>
      </c>
      <c r="K986">
        <v>43</v>
      </c>
      <c r="L986">
        <v>42</v>
      </c>
      <c r="M986" s="17">
        <v>0.97674418604651159</v>
      </c>
      <c r="N986" s="25">
        <v>17640</v>
      </c>
      <c r="O986" s="25">
        <v>2599.25</v>
      </c>
      <c r="P986" s="25">
        <v>7310</v>
      </c>
      <c r="Q986" s="25">
        <v>27549.25</v>
      </c>
      <c r="R986" s="18">
        <v>98.040035587188612</v>
      </c>
    </row>
    <row r="987" spans="1:18" x14ac:dyDescent="0.35">
      <c r="A987" s="13">
        <v>45829</v>
      </c>
      <c r="B987">
        <v>2025</v>
      </c>
      <c r="C987">
        <v>6</v>
      </c>
      <c r="D987" t="s">
        <v>80</v>
      </c>
      <c r="E987" t="s">
        <v>79</v>
      </c>
      <c r="F987">
        <v>289</v>
      </c>
      <c r="G987">
        <v>289</v>
      </c>
      <c r="H987">
        <v>0</v>
      </c>
      <c r="I987">
        <v>14</v>
      </c>
      <c r="J987" s="17">
        <v>0.79395604395604391</v>
      </c>
      <c r="K987">
        <v>43</v>
      </c>
      <c r="L987">
        <v>42</v>
      </c>
      <c r="M987" s="17">
        <v>0.97674418604651159</v>
      </c>
      <c r="N987" s="25">
        <v>17640</v>
      </c>
      <c r="O987" s="25">
        <v>2673.25</v>
      </c>
      <c r="P987" s="25">
        <v>7310</v>
      </c>
      <c r="Q987" s="25">
        <v>27623.25</v>
      </c>
      <c r="R987" s="18">
        <v>95.582179930795846</v>
      </c>
    </row>
    <row r="988" spans="1:18" x14ac:dyDescent="0.35">
      <c r="A988" s="13">
        <v>45836</v>
      </c>
      <c r="B988">
        <v>2025</v>
      </c>
      <c r="C988">
        <v>6</v>
      </c>
      <c r="D988" t="s">
        <v>80</v>
      </c>
      <c r="E988" t="s">
        <v>79</v>
      </c>
      <c r="F988">
        <v>282</v>
      </c>
      <c r="G988">
        <v>282</v>
      </c>
      <c r="H988">
        <v>0</v>
      </c>
      <c r="I988">
        <v>14</v>
      </c>
      <c r="J988" s="17">
        <v>0.77472527472527475</v>
      </c>
      <c r="K988">
        <v>43</v>
      </c>
      <c r="L988">
        <v>42</v>
      </c>
      <c r="M988" s="17">
        <v>0.97674418604651159</v>
      </c>
      <c r="N988" s="25">
        <v>17640</v>
      </c>
      <c r="O988" s="25">
        <v>2608.5</v>
      </c>
      <c r="P988" s="25">
        <v>7310</v>
      </c>
      <c r="Q988" s="25">
        <v>27558.5</v>
      </c>
      <c r="R988" s="18">
        <v>97.725177304964532</v>
      </c>
    </row>
    <row r="989" spans="1:18" x14ac:dyDescent="0.35">
      <c r="A989" s="13">
        <v>45843</v>
      </c>
      <c r="B989">
        <v>2025</v>
      </c>
      <c r="C989">
        <v>7</v>
      </c>
      <c r="D989" t="s">
        <v>80</v>
      </c>
      <c r="E989" t="s">
        <v>79</v>
      </c>
      <c r="F989">
        <v>294</v>
      </c>
      <c r="G989">
        <v>294</v>
      </c>
      <c r="H989">
        <v>0</v>
      </c>
      <c r="I989">
        <v>14</v>
      </c>
      <c r="J989" s="17">
        <v>0.80769230769230771</v>
      </c>
      <c r="K989">
        <v>43</v>
      </c>
      <c r="L989">
        <v>43</v>
      </c>
      <c r="M989" s="17">
        <v>1</v>
      </c>
      <c r="N989" s="25">
        <v>17640</v>
      </c>
      <c r="O989" s="25">
        <v>2719.5</v>
      </c>
      <c r="P989" s="25">
        <v>7310</v>
      </c>
      <c r="Q989" s="25">
        <v>27669.5</v>
      </c>
      <c r="R989" s="18">
        <v>94.113945578231295</v>
      </c>
    </row>
    <row r="990" spans="1:18" x14ac:dyDescent="0.35">
      <c r="A990" s="13">
        <v>45850</v>
      </c>
      <c r="B990">
        <v>2025</v>
      </c>
      <c r="C990">
        <v>7</v>
      </c>
      <c r="D990" t="s">
        <v>80</v>
      </c>
      <c r="E990" t="s">
        <v>79</v>
      </c>
      <c r="F990">
        <v>298</v>
      </c>
      <c r="G990">
        <v>298</v>
      </c>
      <c r="H990">
        <v>0</v>
      </c>
      <c r="I990">
        <v>15</v>
      </c>
      <c r="J990" s="17">
        <v>0.76410256410256405</v>
      </c>
      <c r="K990">
        <v>43</v>
      </c>
      <c r="L990">
        <v>40</v>
      </c>
      <c r="M990" s="17">
        <v>0.93023255813953487</v>
      </c>
      <c r="N990" s="25">
        <v>18900</v>
      </c>
      <c r="O990" s="25">
        <v>2756.5</v>
      </c>
      <c r="P990" s="25">
        <v>7310</v>
      </c>
      <c r="Q990" s="25">
        <v>28966.5</v>
      </c>
      <c r="R990" s="18">
        <v>97.203020134228183</v>
      </c>
    </row>
    <row r="991" spans="1:18" x14ac:dyDescent="0.35">
      <c r="A991" s="13">
        <v>45857</v>
      </c>
      <c r="B991">
        <v>2025</v>
      </c>
      <c r="C991">
        <v>7</v>
      </c>
      <c r="D991" t="s">
        <v>80</v>
      </c>
      <c r="E991" t="s">
        <v>79</v>
      </c>
      <c r="F991">
        <v>290</v>
      </c>
      <c r="G991">
        <v>290</v>
      </c>
      <c r="H991">
        <v>0</v>
      </c>
      <c r="I991">
        <v>14</v>
      </c>
      <c r="J991" s="17">
        <v>0.79670329670329665</v>
      </c>
      <c r="K991">
        <v>43</v>
      </c>
      <c r="L991">
        <v>43</v>
      </c>
      <c r="M991" s="17">
        <v>1</v>
      </c>
      <c r="N991" s="25">
        <v>17640</v>
      </c>
      <c r="O991" s="25">
        <v>2682.5</v>
      </c>
      <c r="P991" s="25">
        <v>7310</v>
      </c>
      <c r="Q991" s="25">
        <v>27632.5</v>
      </c>
      <c r="R991" s="18">
        <v>95.284482758620683</v>
      </c>
    </row>
    <row r="992" spans="1:18" x14ac:dyDescent="0.35">
      <c r="A992" s="13">
        <v>45864</v>
      </c>
      <c r="B992">
        <v>2025</v>
      </c>
      <c r="C992">
        <v>7</v>
      </c>
      <c r="D992" t="s">
        <v>80</v>
      </c>
      <c r="E992" t="s">
        <v>79</v>
      </c>
      <c r="F992">
        <v>302</v>
      </c>
      <c r="G992">
        <v>302</v>
      </c>
      <c r="H992">
        <v>0</v>
      </c>
      <c r="I992">
        <v>15</v>
      </c>
      <c r="J992" s="17">
        <v>0.77435897435897438</v>
      </c>
      <c r="K992">
        <v>43</v>
      </c>
      <c r="L992">
        <v>42</v>
      </c>
      <c r="M992" s="17">
        <v>0.97674418604651159</v>
      </c>
      <c r="N992" s="25">
        <v>18900</v>
      </c>
      <c r="O992" s="25">
        <v>2793.5</v>
      </c>
      <c r="P992" s="25">
        <v>7310</v>
      </c>
      <c r="Q992" s="25">
        <v>29003.5</v>
      </c>
      <c r="R992" s="18">
        <v>96.038079470198682</v>
      </c>
    </row>
    <row r="993" spans="1:18" x14ac:dyDescent="0.35">
      <c r="A993" s="13">
        <v>45871</v>
      </c>
      <c r="B993">
        <v>2025</v>
      </c>
      <c r="C993">
        <v>8</v>
      </c>
      <c r="D993" t="s">
        <v>80</v>
      </c>
      <c r="E993" t="s">
        <v>79</v>
      </c>
      <c r="F993">
        <v>301</v>
      </c>
      <c r="G993">
        <v>301</v>
      </c>
      <c r="H993">
        <v>0</v>
      </c>
      <c r="I993">
        <v>14</v>
      </c>
      <c r="J993" s="17">
        <v>0.82692307692307687</v>
      </c>
      <c r="K993">
        <v>43</v>
      </c>
      <c r="L993">
        <v>43</v>
      </c>
      <c r="M993" s="17">
        <v>1</v>
      </c>
      <c r="N993" s="25">
        <v>17640</v>
      </c>
      <c r="O993" s="25">
        <v>2784.25</v>
      </c>
      <c r="P993" s="25">
        <v>7310</v>
      </c>
      <c r="Q993" s="25">
        <v>27734.25</v>
      </c>
      <c r="R993" s="18">
        <v>92.14036544850498</v>
      </c>
    </row>
    <row r="994" spans="1:18" x14ac:dyDescent="0.35">
      <c r="A994" s="13">
        <v>45878</v>
      </c>
      <c r="B994">
        <v>2025</v>
      </c>
      <c r="C994">
        <v>8</v>
      </c>
      <c r="D994" t="s">
        <v>80</v>
      </c>
      <c r="E994" t="s">
        <v>79</v>
      </c>
      <c r="F994">
        <v>303</v>
      </c>
      <c r="G994">
        <v>303</v>
      </c>
      <c r="H994">
        <v>0</v>
      </c>
      <c r="I994">
        <v>15</v>
      </c>
      <c r="J994" s="17">
        <v>0.77692307692307694</v>
      </c>
      <c r="K994">
        <v>43</v>
      </c>
      <c r="L994">
        <v>41</v>
      </c>
      <c r="M994" s="17">
        <v>0.95348837209302328</v>
      </c>
      <c r="N994" s="25">
        <v>18900</v>
      </c>
      <c r="O994" s="25">
        <v>2802.75</v>
      </c>
      <c r="P994" s="25">
        <v>7310</v>
      </c>
      <c r="Q994" s="25">
        <v>29012.75</v>
      </c>
      <c r="R994" s="18">
        <v>95.7516501650165</v>
      </c>
    </row>
    <row r="995" spans="1:18" x14ac:dyDescent="0.35">
      <c r="A995" s="13">
        <v>45885</v>
      </c>
      <c r="B995">
        <v>2025</v>
      </c>
      <c r="C995">
        <v>8</v>
      </c>
      <c r="D995" t="s">
        <v>80</v>
      </c>
      <c r="E995" t="s">
        <v>79</v>
      </c>
      <c r="F995">
        <v>307</v>
      </c>
      <c r="G995">
        <v>306</v>
      </c>
      <c r="H995">
        <v>1</v>
      </c>
      <c r="I995">
        <v>15</v>
      </c>
      <c r="J995" s="17">
        <v>0.7846153846153846</v>
      </c>
      <c r="K995">
        <v>43</v>
      </c>
      <c r="L995">
        <v>43</v>
      </c>
      <c r="M995" s="17">
        <v>1</v>
      </c>
      <c r="N995" s="25">
        <v>18900</v>
      </c>
      <c r="O995" s="25">
        <v>2830.5</v>
      </c>
      <c r="P995" s="25">
        <v>7310</v>
      </c>
      <c r="Q995" s="25">
        <v>29040.5</v>
      </c>
      <c r="R995" s="18">
        <v>94.903594771241828</v>
      </c>
    </row>
    <row r="996" spans="1:18" x14ac:dyDescent="0.35">
      <c r="A996" s="13">
        <v>45892</v>
      </c>
      <c r="B996">
        <v>2025</v>
      </c>
      <c r="C996">
        <v>8</v>
      </c>
      <c r="D996" t="s">
        <v>80</v>
      </c>
      <c r="E996" t="s">
        <v>79</v>
      </c>
      <c r="F996">
        <v>291</v>
      </c>
      <c r="G996">
        <v>292</v>
      </c>
      <c r="H996">
        <v>0</v>
      </c>
      <c r="I996">
        <v>15</v>
      </c>
      <c r="J996" s="17">
        <v>0.74871794871794872</v>
      </c>
      <c r="K996">
        <v>43</v>
      </c>
      <c r="L996">
        <v>42</v>
      </c>
      <c r="M996" s="17">
        <v>0.97674418604651159</v>
      </c>
      <c r="N996" s="25">
        <v>18900</v>
      </c>
      <c r="O996" s="25">
        <v>2701</v>
      </c>
      <c r="P996" s="25">
        <v>7310</v>
      </c>
      <c r="Q996" s="25">
        <v>28911</v>
      </c>
      <c r="R996" s="18">
        <v>99.010273972602747</v>
      </c>
    </row>
    <row r="997" spans="1:18" x14ac:dyDescent="0.35">
      <c r="A997" s="13">
        <v>45899</v>
      </c>
      <c r="B997">
        <v>2025</v>
      </c>
      <c r="C997">
        <v>8</v>
      </c>
      <c r="D997" t="s">
        <v>80</v>
      </c>
      <c r="E997" t="s">
        <v>79</v>
      </c>
      <c r="F997">
        <v>278</v>
      </c>
      <c r="G997">
        <v>278</v>
      </c>
      <c r="H997">
        <v>0</v>
      </c>
      <c r="I997">
        <v>14</v>
      </c>
      <c r="J997" s="17">
        <v>0.76373626373626369</v>
      </c>
      <c r="K997">
        <v>43</v>
      </c>
      <c r="L997">
        <v>43</v>
      </c>
      <c r="M997" s="17">
        <v>1</v>
      </c>
      <c r="N997" s="25">
        <v>17640</v>
      </c>
      <c r="O997" s="25">
        <v>2571.5</v>
      </c>
      <c r="P997" s="25">
        <v>7310</v>
      </c>
      <c r="Q997" s="25">
        <v>27521.5</v>
      </c>
      <c r="R997" s="18">
        <v>98.998201438848923</v>
      </c>
    </row>
    <row r="998" spans="1:18" x14ac:dyDescent="0.35">
      <c r="A998" s="13">
        <v>45906</v>
      </c>
      <c r="B998">
        <v>2025</v>
      </c>
      <c r="C998">
        <v>9</v>
      </c>
      <c r="D998" t="s">
        <v>80</v>
      </c>
      <c r="E998" t="s">
        <v>79</v>
      </c>
      <c r="F998">
        <v>277</v>
      </c>
      <c r="G998">
        <v>277</v>
      </c>
      <c r="H998">
        <v>0</v>
      </c>
      <c r="I998">
        <v>14</v>
      </c>
      <c r="J998" s="17">
        <v>0.76098901098901095</v>
      </c>
      <c r="K998">
        <v>43</v>
      </c>
      <c r="L998">
        <v>39</v>
      </c>
      <c r="M998" s="17">
        <v>0.90697674418604646</v>
      </c>
      <c r="N998" s="25">
        <v>17640</v>
      </c>
      <c r="O998" s="25">
        <v>2562.25</v>
      </c>
      <c r="P998" s="25">
        <v>7310</v>
      </c>
      <c r="Q998" s="25">
        <v>27512.25</v>
      </c>
      <c r="R998" s="18">
        <v>99.322202166064983</v>
      </c>
    </row>
    <row r="999" spans="1:18" x14ac:dyDescent="0.35">
      <c r="A999" s="13">
        <v>45913</v>
      </c>
      <c r="B999">
        <v>2025</v>
      </c>
      <c r="C999">
        <v>9</v>
      </c>
      <c r="D999" t="s">
        <v>80</v>
      </c>
      <c r="E999" t="s">
        <v>79</v>
      </c>
      <c r="F999">
        <v>263</v>
      </c>
      <c r="G999">
        <v>263</v>
      </c>
      <c r="H999">
        <v>0</v>
      </c>
      <c r="I999">
        <v>13</v>
      </c>
      <c r="J999" s="17">
        <v>0.77810650887573962</v>
      </c>
      <c r="K999">
        <v>43</v>
      </c>
      <c r="L999">
        <v>42</v>
      </c>
      <c r="M999" s="17">
        <v>0.97674418604651159</v>
      </c>
      <c r="N999" s="25">
        <v>16380</v>
      </c>
      <c r="O999" s="25">
        <v>2432.75</v>
      </c>
      <c r="P999" s="25">
        <v>7310</v>
      </c>
      <c r="Q999" s="25">
        <v>26122.75</v>
      </c>
      <c r="R999" s="18">
        <v>99.326045627376431</v>
      </c>
    </row>
    <row r="1000" spans="1:18" x14ac:dyDescent="0.35">
      <c r="A1000" s="13">
        <v>45920</v>
      </c>
      <c r="B1000">
        <v>2025</v>
      </c>
      <c r="C1000">
        <v>9</v>
      </c>
      <c r="D1000" t="s">
        <v>80</v>
      </c>
      <c r="E1000" t="s">
        <v>79</v>
      </c>
      <c r="F1000">
        <v>273</v>
      </c>
      <c r="G1000">
        <v>273</v>
      </c>
      <c r="H1000">
        <v>0</v>
      </c>
      <c r="I1000">
        <v>14</v>
      </c>
      <c r="J1000" s="17">
        <v>0.75</v>
      </c>
      <c r="K1000">
        <v>43</v>
      </c>
      <c r="L1000">
        <v>42</v>
      </c>
      <c r="M1000" s="17">
        <v>0.97674418604651159</v>
      </c>
      <c r="N1000" s="25">
        <v>17640</v>
      </c>
      <c r="O1000" s="25">
        <v>2525.25</v>
      </c>
      <c r="P1000" s="25">
        <v>7310</v>
      </c>
      <c r="Q1000" s="25">
        <v>27475.25</v>
      </c>
      <c r="R1000" s="18">
        <v>100.6419413919414</v>
      </c>
    </row>
    <row r="1001" spans="1:18" x14ac:dyDescent="0.35">
      <c r="A1001" s="13">
        <v>45927</v>
      </c>
      <c r="B1001">
        <v>2025</v>
      </c>
      <c r="C1001">
        <v>9</v>
      </c>
      <c r="D1001" t="s">
        <v>80</v>
      </c>
      <c r="E1001" t="s">
        <v>79</v>
      </c>
      <c r="F1001">
        <v>266</v>
      </c>
      <c r="G1001">
        <v>266</v>
      </c>
      <c r="H1001">
        <v>0</v>
      </c>
      <c r="I1001">
        <v>13</v>
      </c>
      <c r="J1001" s="17">
        <v>0.78698224852071008</v>
      </c>
      <c r="K1001">
        <v>43</v>
      </c>
      <c r="L1001">
        <v>42</v>
      </c>
      <c r="M1001" s="17">
        <v>0.97674418604651159</v>
      </c>
      <c r="N1001" s="25">
        <v>16380</v>
      </c>
      <c r="O1001" s="25">
        <v>2460.5</v>
      </c>
      <c r="P1001" s="25">
        <v>7310</v>
      </c>
      <c r="Q1001" s="25">
        <v>26150.5</v>
      </c>
      <c r="R1001" s="18">
        <v>98.310150375939855</v>
      </c>
    </row>
    <row r="1002" spans="1:18" x14ac:dyDescent="0.35">
      <c r="A1002" s="13">
        <v>45934</v>
      </c>
      <c r="B1002">
        <v>2025</v>
      </c>
      <c r="C1002">
        <v>10</v>
      </c>
      <c r="D1002" t="s">
        <v>80</v>
      </c>
      <c r="E1002" t="s">
        <v>79</v>
      </c>
      <c r="F1002">
        <v>269</v>
      </c>
      <c r="G1002">
        <v>269</v>
      </c>
      <c r="H1002">
        <v>0</v>
      </c>
      <c r="I1002">
        <v>13</v>
      </c>
      <c r="J1002" s="17">
        <v>0.79585798816568043</v>
      </c>
      <c r="K1002">
        <v>43</v>
      </c>
      <c r="L1002">
        <v>42</v>
      </c>
      <c r="M1002" s="17">
        <v>0.97674418604651159</v>
      </c>
      <c r="N1002" s="25">
        <v>16380</v>
      </c>
      <c r="O1002" s="25">
        <v>2488.25</v>
      </c>
      <c r="P1002" s="25">
        <v>7310</v>
      </c>
      <c r="Q1002" s="25">
        <v>26178.25</v>
      </c>
      <c r="R1002" s="18">
        <v>97.316914498141259</v>
      </c>
    </row>
    <row r="1003" spans="1:18" x14ac:dyDescent="0.35">
      <c r="A1003" s="13">
        <v>45941</v>
      </c>
      <c r="B1003">
        <v>2025</v>
      </c>
      <c r="C1003">
        <v>10</v>
      </c>
      <c r="D1003" t="s">
        <v>80</v>
      </c>
      <c r="E1003" t="s">
        <v>79</v>
      </c>
      <c r="F1003">
        <v>282</v>
      </c>
      <c r="G1003">
        <v>282</v>
      </c>
      <c r="H1003">
        <v>0</v>
      </c>
      <c r="I1003">
        <v>14</v>
      </c>
      <c r="J1003" s="17">
        <v>0.77472527472527475</v>
      </c>
      <c r="K1003">
        <v>43</v>
      </c>
      <c r="L1003">
        <v>43</v>
      </c>
      <c r="M1003" s="17">
        <v>1</v>
      </c>
      <c r="N1003" s="25">
        <v>17640</v>
      </c>
      <c r="O1003" s="25">
        <v>2608.5</v>
      </c>
      <c r="P1003" s="25">
        <v>7310</v>
      </c>
      <c r="Q1003" s="25">
        <v>27558.5</v>
      </c>
      <c r="R1003" s="18">
        <v>97.725177304964532</v>
      </c>
    </row>
    <row r="1004" spans="1:18" x14ac:dyDescent="0.35">
      <c r="A1004" s="13">
        <v>45948</v>
      </c>
      <c r="B1004">
        <v>2025</v>
      </c>
      <c r="C1004">
        <v>10</v>
      </c>
      <c r="D1004" t="s">
        <v>80</v>
      </c>
      <c r="E1004" t="s">
        <v>79</v>
      </c>
      <c r="F1004">
        <v>292</v>
      </c>
      <c r="G1004">
        <v>292</v>
      </c>
      <c r="H1004">
        <v>0</v>
      </c>
      <c r="I1004">
        <v>14</v>
      </c>
      <c r="J1004" s="17">
        <v>0.80219780219780223</v>
      </c>
      <c r="K1004">
        <v>43</v>
      </c>
      <c r="L1004">
        <v>41</v>
      </c>
      <c r="M1004" s="17">
        <v>0.95348837209302328</v>
      </c>
      <c r="N1004" s="25">
        <v>17640</v>
      </c>
      <c r="O1004" s="25">
        <v>2701</v>
      </c>
      <c r="P1004" s="25">
        <v>7310</v>
      </c>
      <c r="Q1004" s="25">
        <v>27651</v>
      </c>
      <c r="R1004" s="18">
        <v>94.695205479452056</v>
      </c>
    </row>
    <row r="1005" spans="1:18" x14ac:dyDescent="0.35">
      <c r="A1005" s="13">
        <v>45955</v>
      </c>
      <c r="B1005">
        <v>2025</v>
      </c>
      <c r="C1005">
        <v>10</v>
      </c>
      <c r="D1005" t="s">
        <v>80</v>
      </c>
      <c r="E1005" t="s">
        <v>79</v>
      </c>
      <c r="F1005">
        <v>299</v>
      </c>
      <c r="G1005">
        <v>299</v>
      </c>
      <c r="H1005">
        <v>0</v>
      </c>
      <c r="I1005">
        <v>15</v>
      </c>
      <c r="J1005" s="17">
        <v>0.76666666666666672</v>
      </c>
      <c r="K1005">
        <v>43</v>
      </c>
      <c r="L1005">
        <v>42</v>
      </c>
      <c r="M1005" s="17">
        <v>0.97674418604651159</v>
      </c>
      <c r="N1005" s="25">
        <v>18900</v>
      </c>
      <c r="O1005" s="25">
        <v>2765.75</v>
      </c>
      <c r="P1005" s="25">
        <v>7310</v>
      </c>
      <c r="Q1005" s="25">
        <v>28975.75</v>
      </c>
      <c r="R1005" s="18">
        <v>96.908862876254176</v>
      </c>
    </row>
    <row r="1006" spans="1:18" x14ac:dyDescent="0.35">
      <c r="A1006" s="13">
        <v>45962</v>
      </c>
      <c r="B1006">
        <v>2025</v>
      </c>
      <c r="C1006">
        <v>11</v>
      </c>
      <c r="D1006" t="s">
        <v>80</v>
      </c>
      <c r="E1006" t="s">
        <v>79</v>
      </c>
      <c r="F1006">
        <v>320</v>
      </c>
      <c r="G1006">
        <v>319</v>
      </c>
      <c r="H1006">
        <v>1</v>
      </c>
      <c r="I1006">
        <v>15</v>
      </c>
      <c r="J1006" s="17">
        <v>0.81794871794871793</v>
      </c>
      <c r="K1006">
        <v>43</v>
      </c>
      <c r="L1006">
        <v>40</v>
      </c>
      <c r="M1006" s="17">
        <v>0.93023255813953487</v>
      </c>
      <c r="N1006" s="25">
        <v>18900</v>
      </c>
      <c r="O1006" s="25">
        <v>2950.75</v>
      </c>
      <c r="P1006" s="25">
        <v>7310</v>
      </c>
      <c r="Q1006" s="25">
        <v>29160.75</v>
      </c>
      <c r="R1006" s="18">
        <v>91.413009404388717</v>
      </c>
    </row>
    <row r="1007" spans="1:18" x14ac:dyDescent="0.35">
      <c r="A1007" s="13">
        <v>45969</v>
      </c>
      <c r="B1007">
        <v>2025</v>
      </c>
      <c r="C1007">
        <v>11</v>
      </c>
      <c r="D1007" t="s">
        <v>80</v>
      </c>
      <c r="E1007" t="s">
        <v>79</v>
      </c>
      <c r="F1007">
        <v>327</v>
      </c>
      <c r="G1007">
        <v>328</v>
      </c>
      <c r="H1007">
        <v>0</v>
      </c>
      <c r="I1007">
        <v>16</v>
      </c>
      <c r="J1007" s="17">
        <v>0.78846153846153844</v>
      </c>
      <c r="K1007">
        <v>43</v>
      </c>
      <c r="L1007">
        <v>43</v>
      </c>
      <c r="M1007" s="17">
        <v>1</v>
      </c>
      <c r="N1007" s="25">
        <v>20160</v>
      </c>
      <c r="O1007" s="25">
        <v>3034</v>
      </c>
      <c r="P1007" s="25">
        <v>7310</v>
      </c>
      <c r="Q1007" s="25">
        <v>30504</v>
      </c>
      <c r="R1007" s="18">
        <v>93</v>
      </c>
    </row>
    <row r="1008" spans="1:18" x14ac:dyDescent="0.35">
      <c r="A1008" s="13">
        <v>45976</v>
      </c>
      <c r="B1008">
        <v>2025</v>
      </c>
      <c r="C1008">
        <v>11</v>
      </c>
      <c r="D1008" t="s">
        <v>80</v>
      </c>
      <c r="E1008" t="s">
        <v>79</v>
      </c>
      <c r="F1008">
        <v>364</v>
      </c>
      <c r="G1008">
        <v>358</v>
      </c>
      <c r="H1008">
        <v>6</v>
      </c>
      <c r="I1008">
        <v>17</v>
      </c>
      <c r="J1008" s="17">
        <v>0.80995475113122173</v>
      </c>
      <c r="K1008">
        <v>43</v>
      </c>
      <c r="L1008">
        <v>41</v>
      </c>
      <c r="M1008" s="17">
        <v>0.95348837209302328</v>
      </c>
      <c r="N1008" s="25">
        <v>21420</v>
      </c>
      <c r="O1008" s="25">
        <v>3311.5</v>
      </c>
      <c r="P1008" s="25">
        <v>7310</v>
      </c>
      <c r="Q1008" s="25">
        <v>32041.5</v>
      </c>
      <c r="R1008" s="18">
        <v>89.50139664804469</v>
      </c>
    </row>
    <row r="1009" spans="1:18" x14ac:dyDescent="0.35">
      <c r="A1009" s="13">
        <v>45983</v>
      </c>
      <c r="B1009">
        <v>2025</v>
      </c>
      <c r="C1009">
        <v>11</v>
      </c>
      <c r="D1009" t="s">
        <v>80</v>
      </c>
      <c r="E1009" t="s">
        <v>79</v>
      </c>
      <c r="F1009">
        <v>365</v>
      </c>
      <c r="G1009">
        <v>362</v>
      </c>
      <c r="H1009">
        <v>9</v>
      </c>
      <c r="I1009">
        <v>16</v>
      </c>
      <c r="J1009" s="17">
        <v>0.87019230769230771</v>
      </c>
      <c r="K1009">
        <v>43</v>
      </c>
      <c r="L1009">
        <v>43</v>
      </c>
      <c r="M1009" s="17">
        <v>1</v>
      </c>
      <c r="N1009" s="25">
        <v>20160</v>
      </c>
      <c r="O1009" s="25">
        <v>3348.5</v>
      </c>
      <c r="P1009" s="25">
        <v>7310</v>
      </c>
      <c r="Q1009" s="25">
        <v>30818.5</v>
      </c>
      <c r="R1009" s="18">
        <v>85.13397790055248</v>
      </c>
    </row>
    <row r="1010" spans="1:18" x14ac:dyDescent="0.35">
      <c r="A1010" s="13">
        <v>45990</v>
      </c>
      <c r="B1010">
        <v>2025</v>
      </c>
      <c r="C1010">
        <v>11</v>
      </c>
      <c r="D1010" t="s">
        <v>80</v>
      </c>
      <c r="E1010" t="s">
        <v>79</v>
      </c>
      <c r="F1010">
        <v>401</v>
      </c>
      <c r="G1010">
        <v>373</v>
      </c>
      <c r="H1010">
        <v>37</v>
      </c>
      <c r="I1010">
        <v>17</v>
      </c>
      <c r="J1010" s="17">
        <v>0.84389140271493213</v>
      </c>
      <c r="K1010">
        <v>43</v>
      </c>
      <c r="L1010">
        <v>40</v>
      </c>
      <c r="M1010" s="17">
        <v>0.93023255813953487</v>
      </c>
      <c r="N1010" s="25">
        <v>21420</v>
      </c>
      <c r="O1010" s="25">
        <v>3450.25</v>
      </c>
      <c r="P1010" s="25">
        <v>7310</v>
      </c>
      <c r="Q1010" s="25">
        <v>32180.25</v>
      </c>
      <c r="R1010" s="18">
        <v>86.274128686327074</v>
      </c>
    </row>
    <row r="1011" spans="1:18" x14ac:dyDescent="0.35">
      <c r="A1011" s="13">
        <v>45997</v>
      </c>
      <c r="B1011">
        <v>2025</v>
      </c>
      <c r="C1011">
        <v>12</v>
      </c>
      <c r="D1011" t="s">
        <v>80</v>
      </c>
      <c r="E1011" t="s">
        <v>79</v>
      </c>
      <c r="F1011">
        <v>429</v>
      </c>
      <c r="G1011">
        <v>383</v>
      </c>
      <c r="H1011">
        <v>83</v>
      </c>
      <c r="I1011">
        <v>18</v>
      </c>
      <c r="J1011" s="17">
        <v>0.81837606837606836</v>
      </c>
      <c r="K1011">
        <v>43</v>
      </c>
      <c r="L1011">
        <v>41</v>
      </c>
      <c r="M1011" s="17">
        <v>0.95348837209302328</v>
      </c>
      <c r="N1011" s="25">
        <v>22680</v>
      </c>
      <c r="O1011" s="25">
        <v>3542.75</v>
      </c>
      <c r="P1011" s="25">
        <v>7310</v>
      </c>
      <c r="Q1011" s="25">
        <v>33532.75</v>
      </c>
      <c r="R1011" s="18">
        <v>87.552872062663184</v>
      </c>
    </row>
    <row r="1012" spans="1:18" x14ac:dyDescent="0.35">
      <c r="A1012" s="13">
        <v>46004</v>
      </c>
      <c r="B1012">
        <v>2025</v>
      </c>
      <c r="C1012">
        <v>12</v>
      </c>
      <c r="D1012" t="s">
        <v>80</v>
      </c>
      <c r="E1012" t="s">
        <v>79</v>
      </c>
      <c r="F1012">
        <v>484</v>
      </c>
      <c r="G1012">
        <v>383</v>
      </c>
      <c r="H1012">
        <v>184</v>
      </c>
      <c r="I1012">
        <v>19</v>
      </c>
      <c r="J1012" s="17">
        <v>0.7753036437246964</v>
      </c>
      <c r="K1012">
        <v>43</v>
      </c>
      <c r="L1012">
        <v>41</v>
      </c>
      <c r="M1012" s="17">
        <v>0.95348837209302328</v>
      </c>
      <c r="N1012" s="25">
        <v>23940</v>
      </c>
      <c r="O1012" s="25">
        <v>3542.75</v>
      </c>
      <c r="P1012" s="25">
        <v>7310</v>
      </c>
      <c r="Q1012" s="25">
        <v>34792.75</v>
      </c>
      <c r="R1012" s="18">
        <v>90.842689295039165</v>
      </c>
    </row>
    <row r="1013" spans="1:18" x14ac:dyDescent="0.35">
      <c r="A1013" s="13">
        <v>46011</v>
      </c>
      <c r="B1013">
        <v>2025</v>
      </c>
      <c r="C1013">
        <v>12</v>
      </c>
      <c r="D1013" t="s">
        <v>80</v>
      </c>
      <c r="E1013" t="s">
        <v>79</v>
      </c>
      <c r="F1013">
        <v>411</v>
      </c>
      <c r="G1013">
        <v>383</v>
      </c>
      <c r="H1013">
        <v>212</v>
      </c>
      <c r="I1013">
        <v>19</v>
      </c>
      <c r="J1013" s="17">
        <v>0.7753036437246964</v>
      </c>
      <c r="K1013">
        <v>43</v>
      </c>
      <c r="L1013">
        <v>42</v>
      </c>
      <c r="M1013" s="17">
        <v>0.97674418604651159</v>
      </c>
      <c r="N1013" s="25">
        <v>23940</v>
      </c>
      <c r="O1013" s="25">
        <v>3542.75</v>
      </c>
      <c r="P1013" s="25">
        <v>7310</v>
      </c>
      <c r="Q1013" s="25">
        <v>34792.75</v>
      </c>
      <c r="R1013" s="18">
        <v>90.842689295039165</v>
      </c>
    </row>
    <row r="1014" spans="1:18" x14ac:dyDescent="0.35">
      <c r="A1014" s="13">
        <v>46018</v>
      </c>
      <c r="B1014">
        <v>2025</v>
      </c>
      <c r="C1014">
        <v>12</v>
      </c>
      <c r="D1014" t="s">
        <v>80</v>
      </c>
      <c r="E1014" t="s">
        <v>79</v>
      </c>
      <c r="F1014">
        <v>353</v>
      </c>
      <c r="G1014">
        <v>382</v>
      </c>
      <c r="H1014">
        <v>183</v>
      </c>
      <c r="I1014">
        <v>19</v>
      </c>
      <c r="J1014" s="17">
        <v>0.77327935222672062</v>
      </c>
      <c r="K1014">
        <v>43</v>
      </c>
      <c r="L1014">
        <v>41</v>
      </c>
      <c r="M1014" s="17">
        <v>0.95348837209302328</v>
      </c>
      <c r="N1014" s="25">
        <v>23940</v>
      </c>
      <c r="O1014" s="25">
        <v>3533.5</v>
      </c>
      <c r="P1014" s="25">
        <v>7310</v>
      </c>
      <c r="Q1014" s="25">
        <v>34783.5</v>
      </c>
      <c r="R1014" s="18">
        <v>91.056282722513089</v>
      </c>
    </row>
    <row r="1015" spans="1:18" x14ac:dyDescent="0.35">
      <c r="A1015" s="13">
        <v>46025</v>
      </c>
      <c r="B1015">
        <v>2026</v>
      </c>
      <c r="C1015">
        <v>1</v>
      </c>
      <c r="D1015" t="s">
        <v>80</v>
      </c>
      <c r="E1015" t="s">
        <v>79</v>
      </c>
      <c r="F1015">
        <v>276</v>
      </c>
      <c r="G1015">
        <v>361</v>
      </c>
      <c r="H1015">
        <v>98</v>
      </c>
      <c r="I1015">
        <v>18</v>
      </c>
      <c r="J1015" s="17">
        <v>0.7713675213675214</v>
      </c>
      <c r="K1015">
        <v>43</v>
      </c>
      <c r="L1015">
        <v>39</v>
      </c>
      <c r="M1015" s="17">
        <v>0.90697674418604646</v>
      </c>
      <c r="N1015" s="25">
        <v>22680</v>
      </c>
      <c r="O1015" s="25">
        <v>3339.25</v>
      </c>
      <c r="P1015" s="25">
        <v>7310</v>
      </c>
      <c r="Q1015" s="25">
        <v>33329.25</v>
      </c>
      <c r="R1015" s="18">
        <v>92.32479224376732</v>
      </c>
    </row>
    <row r="1016" spans="1:18" x14ac:dyDescent="0.35">
      <c r="A1016" s="13">
        <v>46032</v>
      </c>
      <c r="B1016">
        <v>2026</v>
      </c>
      <c r="C1016">
        <v>1</v>
      </c>
      <c r="D1016" t="s">
        <v>80</v>
      </c>
      <c r="E1016" t="s">
        <v>79</v>
      </c>
      <c r="F1016">
        <v>243</v>
      </c>
      <c r="G1016">
        <v>294</v>
      </c>
      <c r="H1016">
        <v>47</v>
      </c>
      <c r="I1016">
        <v>15</v>
      </c>
      <c r="J1016" s="17">
        <v>0.75384615384615383</v>
      </c>
      <c r="K1016">
        <v>43</v>
      </c>
      <c r="L1016">
        <v>40</v>
      </c>
      <c r="M1016" s="17">
        <v>0.93023255813953487</v>
      </c>
      <c r="N1016" s="25">
        <v>18900</v>
      </c>
      <c r="O1016" s="25">
        <v>2719.5</v>
      </c>
      <c r="P1016" s="25">
        <v>7310</v>
      </c>
      <c r="Q1016" s="25">
        <v>28929.5</v>
      </c>
      <c r="R1016" s="18">
        <v>98.399659863945573</v>
      </c>
    </row>
    <row r="1017" spans="1:18" x14ac:dyDescent="0.35">
      <c r="A1017" s="13">
        <v>46039</v>
      </c>
      <c r="B1017">
        <v>2026</v>
      </c>
      <c r="C1017">
        <v>1</v>
      </c>
      <c r="D1017" t="s">
        <v>80</v>
      </c>
      <c r="E1017" t="s">
        <v>79</v>
      </c>
      <c r="F1017">
        <v>227</v>
      </c>
      <c r="G1017">
        <v>264</v>
      </c>
      <c r="H1017">
        <v>10</v>
      </c>
      <c r="I1017">
        <v>14</v>
      </c>
      <c r="J1017" s="17">
        <v>0.72527472527472525</v>
      </c>
      <c r="K1017">
        <v>43</v>
      </c>
      <c r="L1017">
        <v>40</v>
      </c>
      <c r="M1017" s="17">
        <v>0.93023255813953487</v>
      </c>
      <c r="N1017" s="25">
        <v>17640</v>
      </c>
      <c r="O1017" s="25">
        <v>2442</v>
      </c>
      <c r="P1017" s="25">
        <v>7310</v>
      </c>
      <c r="Q1017" s="25">
        <v>27392</v>
      </c>
      <c r="R1017" s="18">
        <v>103.75757575757579</v>
      </c>
    </row>
    <row r="1018" spans="1:18" x14ac:dyDescent="0.35">
      <c r="A1018" s="13">
        <v>46046</v>
      </c>
      <c r="B1018">
        <v>2026</v>
      </c>
      <c r="C1018">
        <v>1</v>
      </c>
      <c r="D1018" t="s">
        <v>80</v>
      </c>
      <c r="E1018" t="s">
        <v>79</v>
      </c>
      <c r="F1018">
        <v>244</v>
      </c>
      <c r="G1018">
        <v>254</v>
      </c>
      <c r="H1018">
        <v>0</v>
      </c>
      <c r="I1018">
        <v>13</v>
      </c>
      <c r="J1018" s="17">
        <v>0.75147928994082835</v>
      </c>
      <c r="K1018">
        <v>43</v>
      </c>
      <c r="L1018">
        <v>41</v>
      </c>
      <c r="M1018" s="17">
        <v>0.95348837209302328</v>
      </c>
      <c r="N1018" s="25">
        <v>16380</v>
      </c>
      <c r="O1018" s="25">
        <v>2349.5</v>
      </c>
      <c r="P1018" s="25">
        <v>7310</v>
      </c>
      <c r="Q1018" s="25">
        <v>26039.5</v>
      </c>
      <c r="R1018" s="18">
        <v>102.5177165354331</v>
      </c>
    </row>
    <row r="1019" spans="1:18" x14ac:dyDescent="0.35">
      <c r="A1019" s="13">
        <v>46053</v>
      </c>
      <c r="B1019">
        <v>2026</v>
      </c>
      <c r="C1019">
        <v>1</v>
      </c>
      <c r="D1019" t="s">
        <v>80</v>
      </c>
      <c r="E1019" t="s">
        <v>79</v>
      </c>
      <c r="F1019">
        <v>252</v>
      </c>
      <c r="G1019">
        <v>252</v>
      </c>
      <c r="H1019">
        <v>0</v>
      </c>
      <c r="I1019">
        <v>13</v>
      </c>
      <c r="J1019" s="17">
        <v>0.74556213017751483</v>
      </c>
      <c r="K1019">
        <v>43</v>
      </c>
      <c r="L1019">
        <v>40</v>
      </c>
      <c r="M1019" s="17">
        <v>0.93023255813953487</v>
      </c>
      <c r="N1019" s="25">
        <v>16380</v>
      </c>
      <c r="O1019" s="25">
        <v>2331</v>
      </c>
      <c r="P1019" s="25">
        <v>7310</v>
      </c>
      <c r="Q1019" s="25">
        <v>26021</v>
      </c>
      <c r="R1019" s="18">
        <v>103.25793650793651</v>
      </c>
    </row>
    <row r="1020" spans="1:18" x14ac:dyDescent="0.35">
      <c r="A1020" s="13">
        <v>46060</v>
      </c>
      <c r="B1020">
        <v>2026</v>
      </c>
      <c r="C1020">
        <v>2</v>
      </c>
      <c r="D1020" t="s">
        <v>80</v>
      </c>
      <c r="E1020" t="s">
        <v>79</v>
      </c>
      <c r="F1020">
        <v>261</v>
      </c>
      <c r="G1020">
        <v>261</v>
      </c>
      <c r="H1020">
        <v>0</v>
      </c>
      <c r="I1020">
        <v>13</v>
      </c>
      <c r="J1020" s="17">
        <v>0.77218934911242598</v>
      </c>
      <c r="K1020">
        <v>43</v>
      </c>
      <c r="L1020">
        <v>40</v>
      </c>
      <c r="M1020" s="17">
        <v>0.93023255813953487</v>
      </c>
      <c r="N1020" s="25">
        <v>16380</v>
      </c>
      <c r="O1020" s="25">
        <v>2414.25</v>
      </c>
      <c r="P1020" s="25">
        <v>7310</v>
      </c>
      <c r="Q1020" s="25">
        <v>26104.25</v>
      </c>
      <c r="R1020" s="18">
        <v>100.0162835249042</v>
      </c>
    </row>
    <row r="1021" spans="1:18" x14ac:dyDescent="0.35">
      <c r="A1021" s="13">
        <v>46067</v>
      </c>
      <c r="B1021">
        <v>2026</v>
      </c>
      <c r="C1021">
        <v>2</v>
      </c>
      <c r="D1021" t="s">
        <v>80</v>
      </c>
      <c r="E1021" t="s">
        <v>79</v>
      </c>
      <c r="F1021">
        <v>264</v>
      </c>
      <c r="G1021">
        <v>264</v>
      </c>
      <c r="H1021">
        <v>0</v>
      </c>
      <c r="I1021">
        <v>14</v>
      </c>
      <c r="J1021" s="17">
        <v>0.72527472527472525</v>
      </c>
      <c r="K1021">
        <v>43</v>
      </c>
      <c r="L1021">
        <v>42</v>
      </c>
      <c r="M1021" s="17">
        <v>0.97674418604651159</v>
      </c>
      <c r="N1021" s="25">
        <v>17640</v>
      </c>
      <c r="O1021" s="25">
        <v>2442</v>
      </c>
      <c r="P1021" s="25">
        <v>7310</v>
      </c>
      <c r="Q1021" s="25">
        <v>27392</v>
      </c>
      <c r="R1021" s="18">
        <v>103.75757575757579</v>
      </c>
    </row>
    <row r="1022" spans="1:18" x14ac:dyDescent="0.35">
      <c r="A1022" s="13">
        <v>46074</v>
      </c>
      <c r="B1022">
        <v>2026</v>
      </c>
      <c r="C1022">
        <v>2</v>
      </c>
      <c r="D1022" t="s">
        <v>80</v>
      </c>
      <c r="E1022" t="s">
        <v>79</v>
      </c>
      <c r="F1022">
        <v>277</v>
      </c>
      <c r="G1022">
        <v>277</v>
      </c>
      <c r="H1022">
        <v>0</v>
      </c>
      <c r="I1022">
        <v>14</v>
      </c>
      <c r="J1022" s="17">
        <v>0.76098901098901095</v>
      </c>
      <c r="K1022">
        <v>43</v>
      </c>
      <c r="L1022">
        <v>40</v>
      </c>
      <c r="M1022" s="17">
        <v>0.93023255813953487</v>
      </c>
      <c r="N1022" s="25">
        <v>17640</v>
      </c>
      <c r="O1022" s="25">
        <v>2562.25</v>
      </c>
      <c r="P1022" s="25">
        <v>7310</v>
      </c>
      <c r="Q1022" s="25">
        <v>27512.25</v>
      </c>
      <c r="R1022" s="18">
        <v>99.322202166064983</v>
      </c>
    </row>
    <row r="1023" spans="1:18" x14ac:dyDescent="0.35">
      <c r="A1023" s="13">
        <v>46081</v>
      </c>
      <c r="B1023">
        <v>2026</v>
      </c>
      <c r="C1023">
        <v>2</v>
      </c>
      <c r="D1023" t="s">
        <v>80</v>
      </c>
      <c r="E1023" t="s">
        <v>79</v>
      </c>
      <c r="F1023">
        <v>270</v>
      </c>
      <c r="G1023">
        <v>270</v>
      </c>
      <c r="H1023">
        <v>0</v>
      </c>
      <c r="I1023">
        <v>14</v>
      </c>
      <c r="J1023" s="17">
        <v>0.74175824175824179</v>
      </c>
      <c r="K1023">
        <v>43</v>
      </c>
      <c r="L1023">
        <v>38</v>
      </c>
      <c r="M1023" s="17">
        <v>0.88372093023255816</v>
      </c>
      <c r="N1023" s="25">
        <v>17640</v>
      </c>
      <c r="O1023" s="25">
        <v>2497.5</v>
      </c>
      <c r="P1023" s="25">
        <v>7310</v>
      </c>
      <c r="Q1023" s="25">
        <v>27447.5</v>
      </c>
      <c r="R1023" s="18">
        <v>101.6574074074074</v>
      </c>
    </row>
    <row r="1024" spans="1:18" x14ac:dyDescent="0.35">
      <c r="A1024" s="13">
        <v>46088</v>
      </c>
      <c r="B1024">
        <v>2026</v>
      </c>
      <c r="C1024">
        <v>3</v>
      </c>
      <c r="D1024" t="s">
        <v>80</v>
      </c>
      <c r="E1024" t="s">
        <v>79</v>
      </c>
      <c r="F1024">
        <v>285</v>
      </c>
      <c r="G1024">
        <v>285</v>
      </c>
      <c r="H1024">
        <v>0</v>
      </c>
      <c r="I1024">
        <v>15</v>
      </c>
      <c r="J1024" s="17">
        <v>0.73076923076923073</v>
      </c>
      <c r="K1024">
        <v>43</v>
      </c>
      <c r="L1024">
        <v>41</v>
      </c>
      <c r="M1024" s="17">
        <v>0.95348837209302328</v>
      </c>
      <c r="N1024" s="25">
        <v>18900</v>
      </c>
      <c r="O1024" s="25">
        <v>2636.25</v>
      </c>
      <c r="P1024" s="25">
        <v>7310</v>
      </c>
      <c r="Q1024" s="25">
        <v>28846.25</v>
      </c>
      <c r="R1024" s="18">
        <v>101.2149122807018</v>
      </c>
    </row>
    <row r="1025" spans="1:18" x14ac:dyDescent="0.35">
      <c r="A1025" s="13">
        <v>46095</v>
      </c>
      <c r="B1025">
        <v>2026</v>
      </c>
      <c r="C1025">
        <v>3</v>
      </c>
      <c r="D1025" t="s">
        <v>80</v>
      </c>
      <c r="E1025" t="s">
        <v>79</v>
      </c>
      <c r="F1025">
        <v>282</v>
      </c>
      <c r="G1025">
        <v>282</v>
      </c>
      <c r="H1025">
        <v>0</v>
      </c>
      <c r="I1025">
        <v>14</v>
      </c>
      <c r="J1025" s="17">
        <v>0.77472527472527475</v>
      </c>
      <c r="K1025">
        <v>43</v>
      </c>
      <c r="L1025">
        <v>42</v>
      </c>
      <c r="M1025" s="17">
        <v>0.97674418604651159</v>
      </c>
      <c r="N1025" s="25">
        <v>17640</v>
      </c>
      <c r="O1025" s="25">
        <v>2608.5</v>
      </c>
      <c r="P1025" s="25">
        <v>7310</v>
      </c>
      <c r="Q1025" s="25">
        <v>27558.5</v>
      </c>
      <c r="R1025" s="18">
        <v>97.725177304964532</v>
      </c>
    </row>
    <row r="1026" spans="1:18" x14ac:dyDescent="0.35">
      <c r="A1026" s="13">
        <v>46102</v>
      </c>
      <c r="B1026">
        <v>2026</v>
      </c>
      <c r="C1026">
        <v>3</v>
      </c>
      <c r="D1026" t="s">
        <v>80</v>
      </c>
      <c r="E1026" t="s">
        <v>79</v>
      </c>
      <c r="F1026">
        <v>286</v>
      </c>
      <c r="G1026">
        <v>286</v>
      </c>
      <c r="H1026">
        <v>0</v>
      </c>
      <c r="I1026">
        <v>14</v>
      </c>
      <c r="J1026" s="17">
        <v>0.7857142857142857</v>
      </c>
      <c r="K1026">
        <v>43</v>
      </c>
      <c r="L1026">
        <v>43</v>
      </c>
      <c r="M1026" s="17">
        <v>1</v>
      </c>
      <c r="N1026" s="25">
        <v>17640</v>
      </c>
      <c r="O1026" s="25">
        <v>2645.5</v>
      </c>
      <c r="P1026" s="25">
        <v>7310</v>
      </c>
      <c r="Q1026" s="25">
        <v>27595.5</v>
      </c>
      <c r="R1026" s="18">
        <v>96.48776223776224</v>
      </c>
    </row>
    <row r="1027" spans="1:18" x14ac:dyDescent="0.35">
      <c r="A1027" s="13">
        <v>46109</v>
      </c>
      <c r="B1027">
        <v>2026</v>
      </c>
      <c r="C1027">
        <v>3</v>
      </c>
      <c r="D1027" t="s">
        <v>80</v>
      </c>
      <c r="E1027" t="s">
        <v>79</v>
      </c>
      <c r="F1027">
        <v>282</v>
      </c>
      <c r="G1027">
        <v>282</v>
      </c>
      <c r="H1027">
        <v>0</v>
      </c>
      <c r="I1027">
        <v>14</v>
      </c>
      <c r="J1027" s="17">
        <v>0.77472527472527475</v>
      </c>
      <c r="K1027">
        <v>43</v>
      </c>
      <c r="L1027">
        <v>42</v>
      </c>
      <c r="M1027" s="17">
        <v>0.97674418604651159</v>
      </c>
      <c r="N1027" s="25">
        <v>17640</v>
      </c>
      <c r="O1027" s="25">
        <v>2608.5</v>
      </c>
      <c r="P1027" s="25">
        <v>7310</v>
      </c>
      <c r="Q1027" s="25">
        <v>27558.5</v>
      </c>
      <c r="R1027" s="18">
        <v>97.725177304964532</v>
      </c>
    </row>
    <row r="1028" spans="1:18" x14ac:dyDescent="0.35">
      <c r="A1028" s="13">
        <v>46116</v>
      </c>
      <c r="B1028">
        <v>2026</v>
      </c>
      <c r="C1028">
        <v>4</v>
      </c>
      <c r="D1028" t="s">
        <v>80</v>
      </c>
      <c r="E1028" t="s">
        <v>79</v>
      </c>
      <c r="F1028">
        <v>290</v>
      </c>
      <c r="G1028">
        <v>290</v>
      </c>
      <c r="H1028">
        <v>0</v>
      </c>
      <c r="I1028">
        <v>14</v>
      </c>
      <c r="J1028" s="17">
        <v>0.79670329670329665</v>
      </c>
      <c r="K1028">
        <v>43</v>
      </c>
      <c r="L1028">
        <v>43</v>
      </c>
      <c r="M1028" s="17">
        <v>1</v>
      </c>
      <c r="N1028" s="25">
        <v>17640</v>
      </c>
      <c r="O1028" s="25">
        <v>2682.5</v>
      </c>
      <c r="P1028" s="25">
        <v>7310</v>
      </c>
      <c r="Q1028" s="25">
        <v>27632.5</v>
      </c>
      <c r="R1028" s="18">
        <v>95.284482758620683</v>
      </c>
    </row>
    <row r="1029" spans="1:18" x14ac:dyDescent="0.35">
      <c r="A1029" s="13">
        <v>46123</v>
      </c>
      <c r="B1029">
        <v>2026</v>
      </c>
      <c r="C1029">
        <v>4</v>
      </c>
      <c r="D1029" t="s">
        <v>80</v>
      </c>
      <c r="E1029" t="s">
        <v>79</v>
      </c>
      <c r="F1029">
        <v>282</v>
      </c>
      <c r="G1029">
        <v>282</v>
      </c>
      <c r="H1029">
        <v>0</v>
      </c>
      <c r="I1029">
        <v>14</v>
      </c>
      <c r="J1029" s="17">
        <v>0.77472527472527475</v>
      </c>
      <c r="K1029">
        <v>43</v>
      </c>
      <c r="L1029">
        <v>43</v>
      </c>
      <c r="M1029" s="17">
        <v>1</v>
      </c>
      <c r="N1029" s="25">
        <v>17640</v>
      </c>
      <c r="O1029" s="25">
        <v>2608.5</v>
      </c>
      <c r="P1029" s="25">
        <v>7310</v>
      </c>
      <c r="Q1029" s="25">
        <v>27558.5</v>
      </c>
      <c r="R1029" s="18">
        <v>97.725177304964532</v>
      </c>
    </row>
    <row r="1030" spans="1:18" x14ac:dyDescent="0.35">
      <c r="A1030" s="13">
        <v>46130</v>
      </c>
      <c r="B1030">
        <v>2026</v>
      </c>
      <c r="C1030">
        <v>4</v>
      </c>
      <c r="D1030" t="s">
        <v>80</v>
      </c>
      <c r="E1030" t="s">
        <v>79</v>
      </c>
      <c r="F1030">
        <v>275</v>
      </c>
      <c r="G1030">
        <v>275</v>
      </c>
      <c r="H1030">
        <v>0</v>
      </c>
      <c r="I1030">
        <v>14</v>
      </c>
      <c r="J1030" s="17">
        <v>0.75549450549450547</v>
      </c>
      <c r="K1030">
        <v>43</v>
      </c>
      <c r="L1030">
        <v>43</v>
      </c>
      <c r="M1030" s="17">
        <v>1</v>
      </c>
      <c r="N1030" s="25">
        <v>17640</v>
      </c>
      <c r="O1030" s="25">
        <v>2543.75</v>
      </c>
      <c r="P1030" s="25">
        <v>7310</v>
      </c>
      <c r="Q1030" s="25">
        <v>27493.75</v>
      </c>
      <c r="R1030" s="18">
        <v>99.977272727272734</v>
      </c>
    </row>
    <row r="1031" spans="1:18" x14ac:dyDescent="0.35">
      <c r="A1031" s="13">
        <v>46137</v>
      </c>
      <c r="B1031">
        <v>2026</v>
      </c>
      <c r="C1031">
        <v>4</v>
      </c>
      <c r="D1031" t="s">
        <v>80</v>
      </c>
      <c r="E1031" t="s">
        <v>79</v>
      </c>
      <c r="F1031">
        <v>303</v>
      </c>
      <c r="G1031">
        <v>303</v>
      </c>
      <c r="H1031">
        <v>0</v>
      </c>
      <c r="I1031">
        <v>14</v>
      </c>
      <c r="J1031" s="17">
        <v>0.83241758241758246</v>
      </c>
      <c r="K1031">
        <v>43</v>
      </c>
      <c r="L1031">
        <v>41</v>
      </c>
      <c r="M1031" s="17">
        <v>0.95348837209302328</v>
      </c>
      <c r="N1031" s="25">
        <v>17640</v>
      </c>
      <c r="O1031" s="25">
        <v>2802.75</v>
      </c>
      <c r="P1031" s="25">
        <v>7310</v>
      </c>
      <c r="Q1031" s="25">
        <v>27752.75</v>
      </c>
      <c r="R1031" s="18">
        <v>91.593234323432341</v>
      </c>
    </row>
    <row r="1032" spans="1:18" x14ac:dyDescent="0.35">
      <c r="A1032" s="13">
        <v>46144</v>
      </c>
      <c r="B1032">
        <v>2026</v>
      </c>
      <c r="C1032">
        <v>5</v>
      </c>
      <c r="D1032" t="s">
        <v>80</v>
      </c>
      <c r="E1032" t="s">
        <v>79</v>
      </c>
      <c r="F1032">
        <v>314</v>
      </c>
      <c r="G1032">
        <v>313</v>
      </c>
      <c r="H1032">
        <v>1</v>
      </c>
      <c r="I1032">
        <v>15</v>
      </c>
      <c r="J1032" s="17">
        <v>0.8025641025641026</v>
      </c>
      <c r="K1032">
        <v>43</v>
      </c>
      <c r="L1032">
        <v>39</v>
      </c>
      <c r="M1032" s="17">
        <v>0.90697674418604646</v>
      </c>
      <c r="N1032" s="25">
        <v>18900</v>
      </c>
      <c r="O1032" s="25">
        <v>2895.25</v>
      </c>
      <c r="P1032" s="25">
        <v>7310</v>
      </c>
      <c r="Q1032" s="25">
        <v>29105.25</v>
      </c>
      <c r="R1032" s="18">
        <v>92.988019169329078</v>
      </c>
    </row>
    <row r="1033" spans="1:18" x14ac:dyDescent="0.35">
      <c r="A1033" s="13">
        <v>46151</v>
      </c>
      <c r="B1033">
        <v>2026</v>
      </c>
      <c r="C1033">
        <v>5</v>
      </c>
      <c r="D1033" t="s">
        <v>80</v>
      </c>
      <c r="E1033" t="s">
        <v>79</v>
      </c>
      <c r="F1033">
        <v>309</v>
      </c>
      <c r="G1033">
        <v>310</v>
      </c>
      <c r="H1033">
        <v>0</v>
      </c>
      <c r="I1033">
        <v>15</v>
      </c>
      <c r="J1033" s="17">
        <v>0.79487179487179482</v>
      </c>
      <c r="K1033">
        <v>43</v>
      </c>
      <c r="L1033">
        <v>42</v>
      </c>
      <c r="M1033" s="17">
        <v>0.97674418604651159</v>
      </c>
      <c r="N1033" s="25">
        <v>18900</v>
      </c>
      <c r="O1033" s="25">
        <v>2867.5</v>
      </c>
      <c r="P1033" s="25">
        <v>7310</v>
      </c>
      <c r="Q1033" s="25">
        <v>29077.5</v>
      </c>
      <c r="R1033" s="18">
        <v>93.798387096774192</v>
      </c>
    </row>
    <row r="1034" spans="1:18" x14ac:dyDescent="0.35">
      <c r="A1034" s="13">
        <v>46158</v>
      </c>
      <c r="B1034">
        <v>2026</v>
      </c>
      <c r="C1034">
        <v>5</v>
      </c>
      <c r="D1034" t="s">
        <v>80</v>
      </c>
      <c r="E1034" t="s">
        <v>79</v>
      </c>
      <c r="F1034">
        <v>319</v>
      </c>
      <c r="G1034">
        <v>319</v>
      </c>
      <c r="H1034">
        <v>0</v>
      </c>
      <c r="I1034">
        <v>15</v>
      </c>
      <c r="J1034" s="17">
        <v>0.81794871794871793</v>
      </c>
      <c r="K1034">
        <v>43</v>
      </c>
      <c r="L1034">
        <v>43</v>
      </c>
      <c r="M1034" s="17">
        <v>1</v>
      </c>
      <c r="N1034" s="25">
        <v>18900</v>
      </c>
      <c r="O1034" s="25">
        <v>2950.75</v>
      </c>
      <c r="P1034" s="25">
        <v>7310</v>
      </c>
      <c r="Q1034" s="25">
        <v>29160.75</v>
      </c>
      <c r="R1034" s="18">
        <v>91.413009404388717</v>
      </c>
    </row>
    <row r="1035" spans="1:18" x14ac:dyDescent="0.35">
      <c r="A1035" s="13">
        <v>46165</v>
      </c>
      <c r="B1035">
        <v>2026</v>
      </c>
      <c r="C1035">
        <v>5</v>
      </c>
      <c r="D1035" t="s">
        <v>80</v>
      </c>
      <c r="E1035" t="s">
        <v>79</v>
      </c>
      <c r="F1035">
        <v>311</v>
      </c>
      <c r="G1035">
        <v>311</v>
      </c>
      <c r="H1035">
        <v>0</v>
      </c>
      <c r="I1035">
        <v>15</v>
      </c>
      <c r="J1035" s="17">
        <v>0.79743589743589749</v>
      </c>
      <c r="K1035">
        <v>43</v>
      </c>
      <c r="L1035">
        <v>42</v>
      </c>
      <c r="M1035" s="17">
        <v>0.97674418604651159</v>
      </c>
      <c r="N1035" s="25">
        <v>18900</v>
      </c>
      <c r="O1035" s="25">
        <v>2876.75</v>
      </c>
      <c r="P1035" s="25">
        <v>7310</v>
      </c>
      <c r="Q1035" s="25">
        <v>29086.75</v>
      </c>
      <c r="R1035" s="18">
        <v>93.526527331189712</v>
      </c>
    </row>
    <row r="1036" spans="1:18" x14ac:dyDescent="0.35">
      <c r="A1036" s="13">
        <v>46172</v>
      </c>
      <c r="B1036">
        <v>2026</v>
      </c>
      <c r="C1036">
        <v>5</v>
      </c>
      <c r="D1036" t="s">
        <v>80</v>
      </c>
      <c r="E1036" t="s">
        <v>79</v>
      </c>
      <c r="F1036">
        <v>316</v>
      </c>
      <c r="G1036">
        <v>316</v>
      </c>
      <c r="H1036">
        <v>0</v>
      </c>
      <c r="I1036">
        <v>15</v>
      </c>
      <c r="J1036" s="17">
        <v>0.81025641025641026</v>
      </c>
      <c r="K1036">
        <v>43</v>
      </c>
      <c r="L1036">
        <v>43</v>
      </c>
      <c r="M1036" s="17">
        <v>1</v>
      </c>
      <c r="N1036" s="25">
        <v>18900</v>
      </c>
      <c r="O1036" s="25">
        <v>2923</v>
      </c>
      <c r="P1036" s="25">
        <v>7310</v>
      </c>
      <c r="Q1036" s="25">
        <v>29133</v>
      </c>
      <c r="R1036" s="18">
        <v>92.193037974683548</v>
      </c>
    </row>
    <row r="1037" spans="1:18" x14ac:dyDescent="0.35">
      <c r="A1037" s="13">
        <v>46179</v>
      </c>
      <c r="B1037">
        <v>2026</v>
      </c>
      <c r="C1037">
        <v>6</v>
      </c>
      <c r="D1037" t="s">
        <v>80</v>
      </c>
      <c r="E1037" t="s">
        <v>79</v>
      </c>
      <c r="F1037">
        <v>303</v>
      </c>
      <c r="G1037">
        <v>303</v>
      </c>
      <c r="H1037">
        <v>0</v>
      </c>
      <c r="I1037">
        <v>15</v>
      </c>
      <c r="J1037" s="17">
        <v>0.77692307692307694</v>
      </c>
      <c r="K1037">
        <v>43</v>
      </c>
      <c r="L1037">
        <v>42</v>
      </c>
      <c r="M1037" s="17">
        <v>0.97674418604651159</v>
      </c>
      <c r="N1037" s="25">
        <v>18900</v>
      </c>
      <c r="O1037" s="25">
        <v>2802.75</v>
      </c>
      <c r="P1037" s="25">
        <v>7310</v>
      </c>
      <c r="Q1037" s="25">
        <v>29012.75</v>
      </c>
      <c r="R1037" s="18">
        <v>95.7516501650165</v>
      </c>
    </row>
    <row r="1038" spans="1:18" x14ac:dyDescent="0.35">
      <c r="A1038" s="13">
        <v>46186</v>
      </c>
      <c r="B1038">
        <v>2026</v>
      </c>
      <c r="C1038">
        <v>6</v>
      </c>
      <c r="D1038" t="s">
        <v>80</v>
      </c>
      <c r="E1038" t="s">
        <v>79</v>
      </c>
      <c r="F1038">
        <v>282</v>
      </c>
      <c r="G1038">
        <v>282</v>
      </c>
      <c r="H1038">
        <v>0</v>
      </c>
      <c r="I1038">
        <v>14</v>
      </c>
      <c r="J1038" s="17">
        <v>0.77472527472527475</v>
      </c>
      <c r="K1038">
        <v>43</v>
      </c>
      <c r="L1038">
        <v>40</v>
      </c>
      <c r="M1038" s="17">
        <v>0.93023255813953487</v>
      </c>
      <c r="N1038" s="25">
        <v>17640</v>
      </c>
      <c r="O1038" s="25">
        <v>2608.5</v>
      </c>
      <c r="P1038" s="25">
        <v>7310</v>
      </c>
      <c r="Q1038" s="25">
        <v>27558.5</v>
      </c>
      <c r="R1038" s="18">
        <v>97.725177304964532</v>
      </c>
    </row>
    <row r="1039" spans="1:18" x14ac:dyDescent="0.35">
      <c r="A1039" s="13">
        <v>46193</v>
      </c>
      <c r="B1039">
        <v>2026</v>
      </c>
      <c r="C1039">
        <v>6</v>
      </c>
      <c r="D1039" t="s">
        <v>80</v>
      </c>
      <c r="E1039" t="s">
        <v>79</v>
      </c>
      <c r="F1039">
        <v>281</v>
      </c>
      <c r="G1039">
        <v>281</v>
      </c>
      <c r="H1039">
        <v>0</v>
      </c>
      <c r="I1039">
        <v>14</v>
      </c>
      <c r="J1039" s="17">
        <v>0.77197802197802201</v>
      </c>
      <c r="K1039">
        <v>43</v>
      </c>
      <c r="L1039">
        <v>43</v>
      </c>
      <c r="M1039" s="17">
        <v>1</v>
      </c>
      <c r="N1039" s="25">
        <v>17640</v>
      </c>
      <c r="O1039" s="25">
        <v>2599.25</v>
      </c>
      <c r="P1039" s="25">
        <v>7310</v>
      </c>
      <c r="Q1039" s="25">
        <v>27549.25</v>
      </c>
      <c r="R1039" s="18">
        <v>98.040035587188612</v>
      </c>
    </row>
    <row r="1040" spans="1:18" x14ac:dyDescent="0.35">
      <c r="A1040" s="13">
        <v>46200</v>
      </c>
      <c r="B1040">
        <v>2026</v>
      </c>
      <c r="C1040">
        <v>6</v>
      </c>
      <c r="D1040" t="s">
        <v>80</v>
      </c>
      <c r="E1040" t="s">
        <v>79</v>
      </c>
      <c r="F1040">
        <v>299</v>
      </c>
      <c r="G1040">
        <v>299</v>
      </c>
      <c r="H1040">
        <v>0</v>
      </c>
      <c r="I1040">
        <v>14</v>
      </c>
      <c r="J1040" s="17">
        <v>0.8214285714285714</v>
      </c>
      <c r="K1040">
        <v>43</v>
      </c>
      <c r="L1040">
        <v>43</v>
      </c>
      <c r="M1040" s="17">
        <v>1</v>
      </c>
      <c r="N1040" s="25">
        <v>17640</v>
      </c>
      <c r="O1040" s="25">
        <v>2765.75</v>
      </c>
      <c r="P1040" s="25">
        <v>7310</v>
      </c>
      <c r="Q1040" s="25">
        <v>27715.75</v>
      </c>
      <c r="R1040" s="18">
        <v>92.694816053511701</v>
      </c>
    </row>
    <row r="1041" spans="1:18" x14ac:dyDescent="0.35">
      <c r="A1041" s="13">
        <v>46207</v>
      </c>
      <c r="B1041">
        <v>2026</v>
      </c>
      <c r="C1041">
        <v>7</v>
      </c>
      <c r="D1041" t="s">
        <v>80</v>
      </c>
      <c r="E1041" t="s">
        <v>79</v>
      </c>
      <c r="F1041">
        <v>293</v>
      </c>
      <c r="G1041">
        <v>293</v>
      </c>
      <c r="H1041">
        <v>0</v>
      </c>
      <c r="I1041">
        <v>14</v>
      </c>
      <c r="J1041" s="17">
        <v>0.80494505494505497</v>
      </c>
      <c r="K1041">
        <v>43</v>
      </c>
      <c r="L1041">
        <v>42</v>
      </c>
      <c r="M1041" s="17">
        <v>0.97674418604651159</v>
      </c>
      <c r="N1041" s="25">
        <v>17640</v>
      </c>
      <c r="O1041" s="25">
        <v>2710.25</v>
      </c>
      <c r="P1041" s="25">
        <v>7310</v>
      </c>
      <c r="Q1041" s="25">
        <v>27660.25</v>
      </c>
      <c r="R1041" s="18">
        <v>94.403583617747444</v>
      </c>
    </row>
    <row r="1042" spans="1:18" x14ac:dyDescent="0.35">
      <c r="A1042" s="13">
        <v>46214</v>
      </c>
      <c r="B1042">
        <v>2026</v>
      </c>
      <c r="C1042">
        <v>7</v>
      </c>
      <c r="D1042" t="s">
        <v>80</v>
      </c>
      <c r="E1042" t="s">
        <v>79</v>
      </c>
      <c r="F1042">
        <v>298</v>
      </c>
      <c r="G1042">
        <v>298</v>
      </c>
      <c r="H1042">
        <v>0</v>
      </c>
      <c r="I1042">
        <v>14</v>
      </c>
      <c r="J1042" s="17">
        <v>0.81868131868131866</v>
      </c>
      <c r="K1042">
        <v>43</v>
      </c>
      <c r="L1042">
        <v>42</v>
      </c>
      <c r="M1042" s="17">
        <v>0.97674418604651159</v>
      </c>
      <c r="N1042" s="25">
        <v>17640</v>
      </c>
      <c r="O1042" s="25">
        <v>2756.5</v>
      </c>
      <c r="P1042" s="25">
        <v>7310</v>
      </c>
      <c r="Q1042" s="25">
        <v>27706.5</v>
      </c>
      <c r="R1042" s="18">
        <v>92.974832214765101</v>
      </c>
    </row>
    <row r="1043" spans="1:18" x14ac:dyDescent="0.35">
      <c r="A1043" s="13">
        <v>46221</v>
      </c>
      <c r="B1043">
        <v>2026</v>
      </c>
      <c r="C1043">
        <v>7</v>
      </c>
      <c r="D1043" t="s">
        <v>80</v>
      </c>
      <c r="E1043" t="s">
        <v>79</v>
      </c>
      <c r="F1043">
        <v>293</v>
      </c>
      <c r="G1043">
        <v>293</v>
      </c>
      <c r="H1043">
        <v>0</v>
      </c>
      <c r="I1043">
        <v>14</v>
      </c>
      <c r="J1043" s="17">
        <v>0.80494505494505497</v>
      </c>
      <c r="K1043">
        <v>43</v>
      </c>
      <c r="L1043">
        <v>42</v>
      </c>
      <c r="M1043" s="17">
        <v>0.97674418604651159</v>
      </c>
      <c r="N1043" s="25">
        <v>17640</v>
      </c>
      <c r="O1043" s="25">
        <v>2710.25</v>
      </c>
      <c r="P1043" s="25">
        <v>7310</v>
      </c>
      <c r="Q1043" s="25">
        <v>27660.25</v>
      </c>
      <c r="R1043" s="18">
        <v>94.403583617747444</v>
      </c>
    </row>
    <row r="1044" spans="1:18" x14ac:dyDescent="0.35">
      <c r="A1044" s="13">
        <v>46228</v>
      </c>
      <c r="B1044">
        <v>2026</v>
      </c>
      <c r="C1044">
        <v>7</v>
      </c>
      <c r="D1044" t="s">
        <v>80</v>
      </c>
      <c r="E1044" t="s">
        <v>79</v>
      </c>
      <c r="F1044">
        <v>298</v>
      </c>
      <c r="G1044">
        <v>298</v>
      </c>
      <c r="H1044">
        <v>0</v>
      </c>
      <c r="I1044">
        <v>15</v>
      </c>
      <c r="J1044" s="17">
        <v>0.76410256410256405</v>
      </c>
      <c r="K1044">
        <v>43</v>
      </c>
      <c r="L1044">
        <v>43</v>
      </c>
      <c r="M1044" s="17">
        <v>1</v>
      </c>
      <c r="N1044" s="25">
        <v>18900</v>
      </c>
      <c r="O1044" s="25">
        <v>2756.5</v>
      </c>
      <c r="P1044" s="25">
        <v>7310</v>
      </c>
      <c r="Q1044" s="25">
        <v>28966.5</v>
      </c>
      <c r="R1044" s="18">
        <v>97.203020134228183</v>
      </c>
    </row>
    <row r="1045" spans="1:18" x14ac:dyDescent="0.35">
      <c r="A1045" s="13">
        <v>44779</v>
      </c>
      <c r="B1045">
        <v>2022</v>
      </c>
      <c r="C1045">
        <v>8</v>
      </c>
      <c r="D1045" t="s">
        <v>82</v>
      </c>
      <c r="E1045" t="s">
        <v>84</v>
      </c>
      <c r="F1045">
        <v>238</v>
      </c>
      <c r="G1045">
        <v>238</v>
      </c>
      <c r="H1045">
        <v>0</v>
      </c>
      <c r="I1045">
        <v>13</v>
      </c>
      <c r="J1045" s="17">
        <v>0.70414201183431957</v>
      </c>
      <c r="K1045">
        <v>38</v>
      </c>
      <c r="L1045">
        <v>35</v>
      </c>
      <c r="M1045" s="17">
        <v>0.92105263157894735</v>
      </c>
      <c r="N1045" s="25">
        <v>7790.25</v>
      </c>
      <c r="O1045" s="25">
        <v>2320.5</v>
      </c>
      <c r="P1045" s="25">
        <v>6650</v>
      </c>
      <c r="Q1045" s="25">
        <v>16760.75</v>
      </c>
      <c r="R1045" s="18">
        <v>70.423319327731093</v>
      </c>
    </row>
    <row r="1046" spans="1:18" x14ac:dyDescent="0.35">
      <c r="A1046" s="13">
        <v>44786</v>
      </c>
      <c r="B1046">
        <v>2022</v>
      </c>
      <c r="C1046">
        <v>8</v>
      </c>
      <c r="D1046" t="s">
        <v>82</v>
      </c>
      <c r="E1046" t="s">
        <v>84</v>
      </c>
      <c r="F1046">
        <v>241</v>
      </c>
      <c r="G1046">
        <v>241</v>
      </c>
      <c r="H1046">
        <v>0</v>
      </c>
      <c r="I1046">
        <v>13</v>
      </c>
      <c r="J1046" s="17">
        <v>0.71301775147928992</v>
      </c>
      <c r="K1046">
        <v>38</v>
      </c>
      <c r="L1046">
        <v>36</v>
      </c>
      <c r="M1046" s="17">
        <v>0.94736842105263153</v>
      </c>
      <c r="N1046" s="25">
        <v>7790.25</v>
      </c>
      <c r="O1046" s="25">
        <v>2349.75</v>
      </c>
      <c r="P1046" s="25">
        <v>6650</v>
      </c>
      <c r="Q1046" s="25">
        <v>16790</v>
      </c>
      <c r="R1046" s="18">
        <v>69.668049792531122</v>
      </c>
    </row>
    <row r="1047" spans="1:18" x14ac:dyDescent="0.35">
      <c r="A1047" s="13">
        <v>44793</v>
      </c>
      <c r="B1047">
        <v>2022</v>
      </c>
      <c r="C1047">
        <v>8</v>
      </c>
      <c r="D1047" t="s">
        <v>82</v>
      </c>
      <c r="E1047" t="s">
        <v>84</v>
      </c>
      <c r="F1047">
        <v>240</v>
      </c>
      <c r="G1047">
        <v>240</v>
      </c>
      <c r="H1047">
        <v>0</v>
      </c>
      <c r="I1047">
        <v>12</v>
      </c>
      <c r="J1047" s="17">
        <v>0.76923076923076927</v>
      </c>
      <c r="K1047">
        <v>38</v>
      </c>
      <c r="L1047">
        <v>37</v>
      </c>
      <c r="M1047" s="17">
        <v>0.97368421052631582</v>
      </c>
      <c r="N1047" s="25">
        <v>7191</v>
      </c>
      <c r="O1047" s="25">
        <v>2340</v>
      </c>
      <c r="P1047" s="25">
        <v>6650</v>
      </c>
      <c r="Q1047" s="25">
        <v>16181</v>
      </c>
      <c r="R1047" s="18">
        <v>67.420833333333334</v>
      </c>
    </row>
    <row r="1048" spans="1:18" x14ac:dyDescent="0.35">
      <c r="A1048" s="13">
        <v>44800</v>
      </c>
      <c r="B1048">
        <v>2022</v>
      </c>
      <c r="C1048">
        <v>8</v>
      </c>
      <c r="D1048" t="s">
        <v>82</v>
      </c>
      <c r="E1048" t="s">
        <v>84</v>
      </c>
      <c r="F1048">
        <v>221</v>
      </c>
      <c r="G1048">
        <v>221</v>
      </c>
      <c r="H1048">
        <v>0</v>
      </c>
      <c r="I1048">
        <v>12</v>
      </c>
      <c r="J1048" s="17">
        <v>0.70833333333333337</v>
      </c>
      <c r="K1048">
        <v>38</v>
      </c>
      <c r="L1048">
        <v>38</v>
      </c>
      <c r="M1048" s="17">
        <v>1</v>
      </c>
      <c r="N1048" s="25">
        <v>7191</v>
      </c>
      <c r="O1048" s="25">
        <v>2154.75</v>
      </c>
      <c r="P1048" s="25">
        <v>6650</v>
      </c>
      <c r="Q1048" s="25">
        <v>15995.75</v>
      </c>
      <c r="R1048" s="18">
        <v>72.378959276018094</v>
      </c>
    </row>
    <row r="1049" spans="1:18" x14ac:dyDescent="0.35">
      <c r="A1049" s="13">
        <v>44807</v>
      </c>
      <c r="B1049">
        <v>2022</v>
      </c>
      <c r="C1049">
        <v>9</v>
      </c>
      <c r="D1049" t="s">
        <v>82</v>
      </c>
      <c r="E1049" t="s">
        <v>84</v>
      </c>
      <c r="F1049">
        <v>229</v>
      </c>
      <c r="G1049">
        <v>229</v>
      </c>
      <c r="H1049">
        <v>0</v>
      </c>
      <c r="I1049">
        <v>12</v>
      </c>
      <c r="J1049" s="17">
        <v>0.73397435897435892</v>
      </c>
      <c r="K1049">
        <v>38</v>
      </c>
      <c r="L1049">
        <v>34</v>
      </c>
      <c r="M1049" s="17">
        <v>0.89473684210526316</v>
      </c>
      <c r="N1049" s="25">
        <v>7191</v>
      </c>
      <c r="O1049" s="25">
        <v>2232.75</v>
      </c>
      <c r="P1049" s="25">
        <v>6650</v>
      </c>
      <c r="Q1049" s="25">
        <v>16073.75</v>
      </c>
      <c r="R1049" s="18">
        <v>70.191048034934497</v>
      </c>
    </row>
    <row r="1050" spans="1:18" x14ac:dyDescent="0.35">
      <c r="A1050" s="13">
        <v>44814</v>
      </c>
      <c r="B1050">
        <v>2022</v>
      </c>
      <c r="C1050">
        <v>9</v>
      </c>
      <c r="D1050" t="s">
        <v>82</v>
      </c>
      <c r="E1050" t="s">
        <v>84</v>
      </c>
      <c r="F1050">
        <v>213</v>
      </c>
      <c r="G1050">
        <v>213</v>
      </c>
      <c r="H1050">
        <v>0</v>
      </c>
      <c r="I1050">
        <v>11</v>
      </c>
      <c r="J1050" s="17">
        <v>0.74475524475524479</v>
      </c>
      <c r="K1050">
        <v>38</v>
      </c>
      <c r="L1050">
        <v>35</v>
      </c>
      <c r="M1050" s="17">
        <v>0.92105263157894735</v>
      </c>
      <c r="N1050" s="25">
        <v>6591.75</v>
      </c>
      <c r="O1050" s="25">
        <v>2076.75</v>
      </c>
      <c r="P1050" s="25">
        <v>6650</v>
      </c>
      <c r="Q1050" s="25">
        <v>15318.5</v>
      </c>
      <c r="R1050" s="18">
        <v>71.917840375586849</v>
      </c>
    </row>
    <row r="1051" spans="1:18" x14ac:dyDescent="0.35">
      <c r="A1051" s="13">
        <v>44821</v>
      </c>
      <c r="B1051">
        <v>2022</v>
      </c>
      <c r="C1051">
        <v>9</v>
      </c>
      <c r="D1051" t="s">
        <v>82</v>
      </c>
      <c r="E1051" t="s">
        <v>84</v>
      </c>
      <c r="F1051">
        <v>221</v>
      </c>
      <c r="G1051">
        <v>221</v>
      </c>
      <c r="H1051">
        <v>0</v>
      </c>
      <c r="I1051">
        <v>11</v>
      </c>
      <c r="J1051" s="17">
        <v>0.77272727272727271</v>
      </c>
      <c r="K1051">
        <v>38</v>
      </c>
      <c r="L1051">
        <v>38</v>
      </c>
      <c r="M1051" s="17">
        <v>1</v>
      </c>
      <c r="N1051" s="25">
        <v>6591.75</v>
      </c>
      <c r="O1051" s="25">
        <v>2154.75</v>
      </c>
      <c r="P1051" s="25">
        <v>6650</v>
      </c>
      <c r="Q1051" s="25">
        <v>15396.5</v>
      </c>
      <c r="R1051" s="18">
        <v>69.667420814479641</v>
      </c>
    </row>
    <row r="1052" spans="1:18" x14ac:dyDescent="0.35">
      <c r="A1052" s="13">
        <v>44828</v>
      </c>
      <c r="B1052">
        <v>2022</v>
      </c>
      <c r="C1052">
        <v>9</v>
      </c>
      <c r="D1052" t="s">
        <v>82</v>
      </c>
      <c r="E1052" t="s">
        <v>84</v>
      </c>
      <c r="F1052">
        <v>228</v>
      </c>
      <c r="G1052">
        <v>228</v>
      </c>
      <c r="H1052">
        <v>0</v>
      </c>
      <c r="I1052">
        <v>12</v>
      </c>
      <c r="J1052" s="17">
        <v>0.73076923076923073</v>
      </c>
      <c r="K1052">
        <v>38</v>
      </c>
      <c r="L1052">
        <v>37</v>
      </c>
      <c r="M1052" s="17">
        <v>0.97368421052631582</v>
      </c>
      <c r="N1052" s="25">
        <v>7191</v>
      </c>
      <c r="O1052" s="25">
        <v>2223</v>
      </c>
      <c r="P1052" s="25">
        <v>6650</v>
      </c>
      <c r="Q1052" s="25">
        <v>16064</v>
      </c>
      <c r="R1052" s="18">
        <v>70.456140350877192</v>
      </c>
    </row>
    <row r="1053" spans="1:18" x14ac:dyDescent="0.35">
      <c r="A1053" s="13">
        <v>44835</v>
      </c>
      <c r="B1053">
        <v>2022</v>
      </c>
      <c r="C1053">
        <v>10</v>
      </c>
      <c r="D1053" t="s">
        <v>82</v>
      </c>
      <c r="E1053" t="s">
        <v>84</v>
      </c>
      <c r="F1053">
        <v>222</v>
      </c>
      <c r="G1053">
        <v>222</v>
      </c>
      <c r="H1053">
        <v>0</v>
      </c>
      <c r="I1053">
        <v>12</v>
      </c>
      <c r="J1053" s="17">
        <v>0.71153846153846156</v>
      </c>
      <c r="K1053">
        <v>38</v>
      </c>
      <c r="L1053">
        <v>37</v>
      </c>
      <c r="M1053" s="17">
        <v>0.97368421052631582</v>
      </c>
      <c r="N1053" s="25">
        <v>7191</v>
      </c>
      <c r="O1053" s="25">
        <v>2164.5</v>
      </c>
      <c r="P1053" s="25">
        <v>6650</v>
      </c>
      <c r="Q1053" s="25">
        <v>16005.5</v>
      </c>
      <c r="R1053" s="18">
        <v>72.096846846846844</v>
      </c>
    </row>
    <row r="1054" spans="1:18" x14ac:dyDescent="0.35">
      <c r="A1054" s="13">
        <v>44842</v>
      </c>
      <c r="B1054">
        <v>2022</v>
      </c>
      <c r="C1054">
        <v>10</v>
      </c>
      <c r="D1054" t="s">
        <v>82</v>
      </c>
      <c r="E1054" t="s">
        <v>84</v>
      </c>
      <c r="F1054">
        <v>232</v>
      </c>
      <c r="G1054">
        <v>232</v>
      </c>
      <c r="H1054">
        <v>0</v>
      </c>
      <c r="I1054">
        <v>13</v>
      </c>
      <c r="J1054" s="17">
        <v>0.68639053254437865</v>
      </c>
      <c r="K1054">
        <v>38</v>
      </c>
      <c r="L1054">
        <v>36</v>
      </c>
      <c r="M1054" s="17">
        <v>0.94736842105263153</v>
      </c>
      <c r="N1054" s="25">
        <v>7790.25</v>
      </c>
      <c r="O1054" s="25">
        <v>2262</v>
      </c>
      <c r="P1054" s="25">
        <v>6650</v>
      </c>
      <c r="Q1054" s="25">
        <v>16702.25</v>
      </c>
      <c r="R1054" s="18">
        <v>71.99245689655173</v>
      </c>
    </row>
    <row r="1055" spans="1:18" x14ac:dyDescent="0.35">
      <c r="A1055" s="13">
        <v>44849</v>
      </c>
      <c r="B1055">
        <v>2022</v>
      </c>
      <c r="C1055">
        <v>10</v>
      </c>
      <c r="D1055" t="s">
        <v>82</v>
      </c>
      <c r="E1055" t="s">
        <v>84</v>
      </c>
      <c r="F1055">
        <v>222</v>
      </c>
      <c r="G1055">
        <v>222</v>
      </c>
      <c r="H1055">
        <v>0</v>
      </c>
      <c r="I1055">
        <v>11</v>
      </c>
      <c r="J1055" s="17">
        <v>0.77622377622377625</v>
      </c>
      <c r="K1055">
        <v>38</v>
      </c>
      <c r="L1055">
        <v>37</v>
      </c>
      <c r="M1055" s="17">
        <v>0.97368421052631582</v>
      </c>
      <c r="N1055" s="25">
        <v>6591.75</v>
      </c>
      <c r="O1055" s="25">
        <v>2164.5</v>
      </c>
      <c r="P1055" s="25">
        <v>6650</v>
      </c>
      <c r="Q1055" s="25">
        <v>15406.25</v>
      </c>
      <c r="R1055" s="18">
        <v>69.397522522522522</v>
      </c>
    </row>
    <row r="1056" spans="1:18" x14ac:dyDescent="0.35">
      <c r="A1056" s="13">
        <v>44856</v>
      </c>
      <c r="B1056">
        <v>2022</v>
      </c>
      <c r="C1056">
        <v>10</v>
      </c>
      <c r="D1056" t="s">
        <v>82</v>
      </c>
      <c r="E1056" t="s">
        <v>84</v>
      </c>
      <c r="F1056">
        <v>246</v>
      </c>
      <c r="G1056">
        <v>246</v>
      </c>
      <c r="H1056">
        <v>0</v>
      </c>
      <c r="I1056">
        <v>13</v>
      </c>
      <c r="J1056" s="17">
        <v>0.72781065088757402</v>
      </c>
      <c r="K1056">
        <v>38</v>
      </c>
      <c r="L1056">
        <v>37</v>
      </c>
      <c r="M1056" s="17">
        <v>0.97368421052631582</v>
      </c>
      <c r="N1056" s="25">
        <v>7790.25</v>
      </c>
      <c r="O1056" s="25">
        <v>2398.5</v>
      </c>
      <c r="P1056" s="25">
        <v>6650</v>
      </c>
      <c r="Q1056" s="25">
        <v>16838.75</v>
      </c>
      <c r="R1056" s="18">
        <v>68.450203252032523</v>
      </c>
    </row>
    <row r="1057" spans="1:18" x14ac:dyDescent="0.35">
      <c r="A1057" s="13">
        <v>44863</v>
      </c>
      <c r="B1057">
        <v>2022</v>
      </c>
      <c r="C1057">
        <v>10</v>
      </c>
      <c r="D1057" t="s">
        <v>82</v>
      </c>
      <c r="E1057" t="s">
        <v>84</v>
      </c>
      <c r="F1057">
        <v>244</v>
      </c>
      <c r="G1057">
        <v>244</v>
      </c>
      <c r="H1057">
        <v>0</v>
      </c>
      <c r="I1057">
        <v>13</v>
      </c>
      <c r="J1057" s="17">
        <v>0.72189349112426038</v>
      </c>
      <c r="K1057">
        <v>38</v>
      </c>
      <c r="L1057">
        <v>36</v>
      </c>
      <c r="M1057" s="17">
        <v>0.94736842105263153</v>
      </c>
      <c r="N1057" s="25">
        <v>7790.25</v>
      </c>
      <c r="O1057" s="25">
        <v>2379</v>
      </c>
      <c r="P1057" s="25">
        <v>6650</v>
      </c>
      <c r="Q1057" s="25">
        <v>16819.25</v>
      </c>
      <c r="R1057" s="18">
        <v>68.931352459016395</v>
      </c>
    </row>
    <row r="1058" spans="1:18" x14ac:dyDescent="0.35">
      <c r="A1058" s="13">
        <v>44870</v>
      </c>
      <c r="B1058">
        <v>2022</v>
      </c>
      <c r="C1058">
        <v>11</v>
      </c>
      <c r="D1058" t="s">
        <v>82</v>
      </c>
      <c r="E1058" t="s">
        <v>84</v>
      </c>
      <c r="F1058">
        <v>263</v>
      </c>
      <c r="G1058">
        <v>263</v>
      </c>
      <c r="H1058">
        <v>0</v>
      </c>
      <c r="I1058">
        <v>13</v>
      </c>
      <c r="J1058" s="17">
        <v>0.77810650887573962</v>
      </c>
      <c r="K1058">
        <v>38</v>
      </c>
      <c r="L1058">
        <v>34</v>
      </c>
      <c r="M1058" s="17">
        <v>0.89473684210526316</v>
      </c>
      <c r="N1058" s="25">
        <v>7790.25</v>
      </c>
      <c r="O1058" s="25">
        <v>2564.25</v>
      </c>
      <c r="P1058" s="25">
        <v>6650</v>
      </c>
      <c r="Q1058" s="25">
        <v>17004.5</v>
      </c>
      <c r="R1058" s="18">
        <v>64.655893536121667</v>
      </c>
    </row>
    <row r="1059" spans="1:18" x14ac:dyDescent="0.35">
      <c r="A1059" s="13">
        <v>44877</v>
      </c>
      <c r="B1059">
        <v>2022</v>
      </c>
      <c r="C1059">
        <v>11</v>
      </c>
      <c r="D1059" t="s">
        <v>82</v>
      </c>
      <c r="E1059" t="s">
        <v>84</v>
      </c>
      <c r="F1059">
        <v>250</v>
      </c>
      <c r="G1059">
        <v>250</v>
      </c>
      <c r="H1059">
        <v>0</v>
      </c>
      <c r="I1059">
        <v>14</v>
      </c>
      <c r="J1059" s="17">
        <v>0.68681318681318682</v>
      </c>
      <c r="K1059">
        <v>38</v>
      </c>
      <c r="L1059">
        <v>34</v>
      </c>
      <c r="M1059" s="17">
        <v>0.89473684210526316</v>
      </c>
      <c r="N1059" s="25">
        <v>8389.5</v>
      </c>
      <c r="O1059" s="25">
        <v>2437.5</v>
      </c>
      <c r="P1059" s="25">
        <v>6650</v>
      </c>
      <c r="Q1059" s="25">
        <v>17477</v>
      </c>
      <c r="R1059" s="18">
        <v>69.908000000000001</v>
      </c>
    </row>
    <row r="1060" spans="1:18" x14ac:dyDescent="0.35">
      <c r="A1060" s="13">
        <v>44884</v>
      </c>
      <c r="B1060">
        <v>2022</v>
      </c>
      <c r="C1060">
        <v>11</v>
      </c>
      <c r="D1060" t="s">
        <v>82</v>
      </c>
      <c r="E1060" t="s">
        <v>84</v>
      </c>
      <c r="F1060">
        <v>284</v>
      </c>
      <c r="G1060">
        <v>280</v>
      </c>
      <c r="H1060">
        <v>4</v>
      </c>
      <c r="I1060">
        <v>15</v>
      </c>
      <c r="J1060" s="17">
        <v>0.71794871794871795</v>
      </c>
      <c r="K1060">
        <v>38</v>
      </c>
      <c r="L1060">
        <v>37</v>
      </c>
      <c r="M1060" s="17">
        <v>0.97368421052631582</v>
      </c>
      <c r="N1060" s="25">
        <v>8988.75</v>
      </c>
      <c r="O1060" s="25">
        <v>2730</v>
      </c>
      <c r="P1060" s="25">
        <v>6650</v>
      </c>
      <c r="Q1060" s="25">
        <v>18368.75</v>
      </c>
      <c r="R1060" s="18">
        <v>65.602678571428569</v>
      </c>
    </row>
    <row r="1061" spans="1:18" x14ac:dyDescent="0.35">
      <c r="A1061" s="13">
        <v>44891</v>
      </c>
      <c r="B1061">
        <v>2022</v>
      </c>
      <c r="C1061">
        <v>11</v>
      </c>
      <c r="D1061" t="s">
        <v>82</v>
      </c>
      <c r="E1061" t="s">
        <v>84</v>
      </c>
      <c r="F1061">
        <v>303</v>
      </c>
      <c r="G1061">
        <v>303</v>
      </c>
      <c r="H1061">
        <v>4</v>
      </c>
      <c r="I1061">
        <v>15</v>
      </c>
      <c r="J1061" s="17">
        <v>0.77692307692307694</v>
      </c>
      <c r="K1061">
        <v>38</v>
      </c>
      <c r="L1061">
        <v>36</v>
      </c>
      <c r="M1061" s="17">
        <v>0.94736842105263153</v>
      </c>
      <c r="N1061" s="25">
        <v>8988.75</v>
      </c>
      <c r="O1061" s="25">
        <v>2954.25</v>
      </c>
      <c r="P1061" s="25">
        <v>6650</v>
      </c>
      <c r="Q1061" s="25">
        <v>18593</v>
      </c>
      <c r="R1061" s="18">
        <v>61.363036303630373</v>
      </c>
    </row>
    <row r="1062" spans="1:18" x14ac:dyDescent="0.35">
      <c r="A1062" s="13">
        <v>44898</v>
      </c>
      <c r="B1062">
        <v>2022</v>
      </c>
      <c r="C1062">
        <v>12</v>
      </c>
      <c r="D1062" t="s">
        <v>82</v>
      </c>
      <c r="E1062" t="s">
        <v>84</v>
      </c>
      <c r="F1062">
        <v>345</v>
      </c>
      <c r="G1062">
        <v>329</v>
      </c>
      <c r="H1062">
        <v>20</v>
      </c>
      <c r="I1062">
        <v>15</v>
      </c>
      <c r="J1062" s="17">
        <v>0.84358974358974359</v>
      </c>
      <c r="K1062">
        <v>38</v>
      </c>
      <c r="L1062">
        <v>36</v>
      </c>
      <c r="M1062" s="17">
        <v>0.94736842105263153</v>
      </c>
      <c r="N1062" s="25">
        <v>8988.75</v>
      </c>
      <c r="O1062" s="25">
        <v>3207.75</v>
      </c>
      <c r="P1062" s="25">
        <v>6650</v>
      </c>
      <c r="Q1062" s="25">
        <v>18846.5</v>
      </c>
      <c r="R1062" s="18">
        <v>57.284194528875382</v>
      </c>
    </row>
    <row r="1063" spans="1:18" x14ac:dyDescent="0.35">
      <c r="A1063" s="13">
        <v>44905</v>
      </c>
      <c r="B1063">
        <v>2022</v>
      </c>
      <c r="C1063">
        <v>12</v>
      </c>
      <c r="D1063" t="s">
        <v>82</v>
      </c>
      <c r="E1063" t="s">
        <v>84</v>
      </c>
      <c r="F1063">
        <v>358</v>
      </c>
      <c r="G1063">
        <v>339</v>
      </c>
      <c r="H1063">
        <v>39</v>
      </c>
      <c r="I1063">
        <v>15</v>
      </c>
      <c r="J1063" s="17">
        <v>0.86923076923076925</v>
      </c>
      <c r="K1063">
        <v>38</v>
      </c>
      <c r="L1063">
        <v>38</v>
      </c>
      <c r="M1063" s="17">
        <v>1</v>
      </c>
      <c r="N1063" s="25">
        <v>8988.75</v>
      </c>
      <c r="O1063" s="25">
        <v>3305.25</v>
      </c>
      <c r="P1063" s="25">
        <v>6650</v>
      </c>
      <c r="Q1063" s="25">
        <v>18944</v>
      </c>
      <c r="R1063" s="18">
        <v>55.882005899705007</v>
      </c>
    </row>
    <row r="1064" spans="1:18" x14ac:dyDescent="0.35">
      <c r="A1064" s="13">
        <v>44912</v>
      </c>
      <c r="B1064">
        <v>2022</v>
      </c>
      <c r="C1064">
        <v>12</v>
      </c>
      <c r="D1064" t="s">
        <v>82</v>
      </c>
      <c r="E1064" t="s">
        <v>84</v>
      </c>
      <c r="F1064">
        <v>340</v>
      </c>
      <c r="G1064">
        <v>335</v>
      </c>
      <c r="H1064">
        <v>44</v>
      </c>
      <c r="I1064">
        <v>16</v>
      </c>
      <c r="J1064" s="17">
        <v>0.80528846153846156</v>
      </c>
      <c r="K1064">
        <v>38</v>
      </c>
      <c r="L1064">
        <v>36</v>
      </c>
      <c r="M1064" s="17">
        <v>0.94736842105263153</v>
      </c>
      <c r="N1064" s="25">
        <v>9588</v>
      </c>
      <c r="O1064" s="25">
        <v>3266.25</v>
      </c>
      <c r="P1064" s="25">
        <v>6650</v>
      </c>
      <c r="Q1064" s="25">
        <v>19504.25</v>
      </c>
      <c r="R1064" s="18">
        <v>58.221641791044767</v>
      </c>
    </row>
    <row r="1065" spans="1:18" x14ac:dyDescent="0.35">
      <c r="A1065" s="13">
        <v>44919</v>
      </c>
      <c r="B1065">
        <v>2022</v>
      </c>
      <c r="C1065">
        <v>12</v>
      </c>
      <c r="D1065" t="s">
        <v>82</v>
      </c>
      <c r="E1065" t="s">
        <v>84</v>
      </c>
      <c r="F1065">
        <v>294</v>
      </c>
      <c r="G1065">
        <v>322</v>
      </c>
      <c r="H1065">
        <v>16</v>
      </c>
      <c r="I1065">
        <v>15</v>
      </c>
      <c r="J1065" s="17">
        <v>0.82564102564102559</v>
      </c>
      <c r="K1065">
        <v>38</v>
      </c>
      <c r="L1065">
        <v>37</v>
      </c>
      <c r="M1065" s="17">
        <v>0.97368421052631582</v>
      </c>
      <c r="N1065" s="25">
        <v>8988.75</v>
      </c>
      <c r="O1065" s="25">
        <v>3139.5</v>
      </c>
      <c r="P1065" s="25">
        <v>6650</v>
      </c>
      <c r="Q1065" s="25">
        <v>18778.25</v>
      </c>
      <c r="R1065" s="18">
        <v>58.317546583850927</v>
      </c>
    </row>
    <row r="1066" spans="1:18" x14ac:dyDescent="0.35">
      <c r="A1066" s="13">
        <v>44926</v>
      </c>
      <c r="B1066">
        <v>2022</v>
      </c>
      <c r="C1066">
        <v>12</v>
      </c>
      <c r="D1066" t="s">
        <v>82</v>
      </c>
      <c r="E1066" t="s">
        <v>84</v>
      </c>
      <c r="F1066">
        <v>243</v>
      </c>
      <c r="G1066">
        <v>259</v>
      </c>
      <c r="H1066">
        <v>0</v>
      </c>
      <c r="I1066">
        <v>13</v>
      </c>
      <c r="J1066" s="17">
        <v>0.76627218934911245</v>
      </c>
      <c r="K1066">
        <v>38</v>
      </c>
      <c r="L1066">
        <v>35</v>
      </c>
      <c r="M1066" s="17">
        <v>0.92105263157894735</v>
      </c>
      <c r="N1066" s="25">
        <v>7790.25</v>
      </c>
      <c r="O1066" s="25">
        <v>2525.25</v>
      </c>
      <c r="P1066" s="25">
        <v>6650</v>
      </c>
      <c r="Q1066" s="25">
        <v>16965.5</v>
      </c>
      <c r="R1066" s="18">
        <v>65.503861003861005</v>
      </c>
    </row>
    <row r="1067" spans="1:18" x14ac:dyDescent="0.35">
      <c r="A1067" s="13">
        <v>44933</v>
      </c>
      <c r="B1067">
        <v>2023</v>
      </c>
      <c r="C1067">
        <v>1</v>
      </c>
      <c r="D1067" t="s">
        <v>82</v>
      </c>
      <c r="E1067" t="s">
        <v>84</v>
      </c>
      <c r="F1067">
        <v>212</v>
      </c>
      <c r="G1067">
        <v>212</v>
      </c>
      <c r="H1067">
        <v>0</v>
      </c>
      <c r="I1067">
        <v>11</v>
      </c>
      <c r="J1067" s="17">
        <v>0.74125874125874125</v>
      </c>
      <c r="K1067">
        <v>38</v>
      </c>
      <c r="L1067">
        <v>38</v>
      </c>
      <c r="M1067" s="17">
        <v>1</v>
      </c>
      <c r="N1067" s="25">
        <v>6591.75</v>
      </c>
      <c r="O1067" s="25">
        <v>2067</v>
      </c>
      <c r="P1067" s="25">
        <v>6650</v>
      </c>
      <c r="Q1067" s="25">
        <v>15308.75</v>
      </c>
      <c r="R1067" s="18">
        <v>72.211084905660371</v>
      </c>
    </row>
    <row r="1068" spans="1:18" x14ac:dyDescent="0.35">
      <c r="A1068" s="13">
        <v>44940</v>
      </c>
      <c r="B1068">
        <v>2023</v>
      </c>
      <c r="C1068">
        <v>1</v>
      </c>
      <c r="D1068" t="s">
        <v>82</v>
      </c>
      <c r="E1068" t="s">
        <v>84</v>
      </c>
      <c r="F1068">
        <v>175</v>
      </c>
      <c r="G1068">
        <v>175</v>
      </c>
      <c r="H1068">
        <v>0</v>
      </c>
      <c r="I1068">
        <v>9</v>
      </c>
      <c r="J1068" s="17">
        <v>0.74786324786324787</v>
      </c>
      <c r="K1068">
        <v>38</v>
      </c>
      <c r="L1068">
        <v>35</v>
      </c>
      <c r="M1068" s="17">
        <v>0.92105263157894735</v>
      </c>
      <c r="N1068" s="25">
        <v>5393.25</v>
      </c>
      <c r="O1068" s="25">
        <v>1706.25</v>
      </c>
      <c r="P1068" s="25">
        <v>6650</v>
      </c>
      <c r="Q1068" s="25">
        <v>13749.5</v>
      </c>
      <c r="R1068" s="18">
        <v>78.568571428571431</v>
      </c>
    </row>
    <row r="1069" spans="1:18" x14ac:dyDescent="0.35">
      <c r="A1069" s="13">
        <v>44947</v>
      </c>
      <c r="B1069">
        <v>2023</v>
      </c>
      <c r="C1069">
        <v>1</v>
      </c>
      <c r="D1069" t="s">
        <v>82</v>
      </c>
      <c r="E1069" t="s">
        <v>84</v>
      </c>
      <c r="F1069">
        <v>186</v>
      </c>
      <c r="G1069">
        <v>186</v>
      </c>
      <c r="H1069">
        <v>0</v>
      </c>
      <c r="I1069">
        <v>10</v>
      </c>
      <c r="J1069" s="17">
        <v>0.7153846153846154</v>
      </c>
      <c r="K1069">
        <v>38</v>
      </c>
      <c r="L1069">
        <v>34</v>
      </c>
      <c r="M1069" s="17">
        <v>0.89473684210526316</v>
      </c>
      <c r="N1069" s="25">
        <v>5992.5</v>
      </c>
      <c r="O1069" s="25">
        <v>1813.5</v>
      </c>
      <c r="P1069" s="25">
        <v>6650</v>
      </c>
      <c r="Q1069" s="25">
        <v>14456</v>
      </c>
      <c r="R1069" s="18">
        <v>77.72043010752688</v>
      </c>
    </row>
    <row r="1070" spans="1:18" x14ac:dyDescent="0.35">
      <c r="A1070" s="13">
        <v>44954</v>
      </c>
      <c r="B1070">
        <v>2023</v>
      </c>
      <c r="C1070">
        <v>1</v>
      </c>
      <c r="D1070" t="s">
        <v>82</v>
      </c>
      <c r="E1070" t="s">
        <v>84</v>
      </c>
      <c r="F1070">
        <v>195</v>
      </c>
      <c r="G1070">
        <v>195</v>
      </c>
      <c r="H1070">
        <v>0</v>
      </c>
      <c r="I1070">
        <v>10</v>
      </c>
      <c r="J1070" s="17">
        <v>0.75</v>
      </c>
      <c r="K1070">
        <v>38</v>
      </c>
      <c r="L1070">
        <v>35</v>
      </c>
      <c r="M1070" s="17">
        <v>0.92105263157894735</v>
      </c>
      <c r="N1070" s="25">
        <v>5992.5</v>
      </c>
      <c r="O1070" s="25">
        <v>1901.25</v>
      </c>
      <c r="P1070" s="25">
        <v>6650</v>
      </c>
      <c r="Q1070" s="25">
        <v>14543.75</v>
      </c>
      <c r="R1070" s="18">
        <v>74.583333333333329</v>
      </c>
    </row>
    <row r="1071" spans="1:18" x14ac:dyDescent="0.35">
      <c r="A1071" s="13">
        <v>44961</v>
      </c>
      <c r="B1071">
        <v>2023</v>
      </c>
      <c r="C1071">
        <v>2</v>
      </c>
      <c r="D1071" t="s">
        <v>82</v>
      </c>
      <c r="E1071" t="s">
        <v>84</v>
      </c>
      <c r="F1071">
        <v>211</v>
      </c>
      <c r="G1071">
        <v>211</v>
      </c>
      <c r="H1071">
        <v>0</v>
      </c>
      <c r="I1071">
        <v>11</v>
      </c>
      <c r="J1071" s="17">
        <v>0.73776223776223782</v>
      </c>
      <c r="K1071">
        <v>38</v>
      </c>
      <c r="L1071">
        <v>36</v>
      </c>
      <c r="M1071" s="17">
        <v>0.94736842105263153</v>
      </c>
      <c r="N1071" s="25">
        <v>6591.75</v>
      </c>
      <c r="O1071" s="25">
        <v>2057.25</v>
      </c>
      <c r="P1071" s="25">
        <v>6650</v>
      </c>
      <c r="Q1071" s="25">
        <v>15299</v>
      </c>
      <c r="R1071" s="18">
        <v>72.507109004739334</v>
      </c>
    </row>
    <row r="1072" spans="1:18" x14ac:dyDescent="0.35">
      <c r="A1072" s="13">
        <v>44968</v>
      </c>
      <c r="B1072">
        <v>2023</v>
      </c>
      <c r="C1072">
        <v>2</v>
      </c>
      <c r="D1072" t="s">
        <v>82</v>
      </c>
      <c r="E1072" t="s">
        <v>84</v>
      </c>
      <c r="F1072">
        <v>218</v>
      </c>
      <c r="G1072">
        <v>218</v>
      </c>
      <c r="H1072">
        <v>0</v>
      </c>
      <c r="I1072">
        <v>11</v>
      </c>
      <c r="J1072" s="17">
        <v>0.76223776223776218</v>
      </c>
      <c r="K1072">
        <v>38</v>
      </c>
      <c r="L1072">
        <v>35</v>
      </c>
      <c r="M1072" s="17">
        <v>0.92105263157894735</v>
      </c>
      <c r="N1072" s="25">
        <v>6591.75</v>
      </c>
      <c r="O1072" s="25">
        <v>2125.5</v>
      </c>
      <c r="P1072" s="25">
        <v>6650</v>
      </c>
      <c r="Q1072" s="25">
        <v>15367.25</v>
      </c>
      <c r="R1072" s="18">
        <v>70.491972477064223</v>
      </c>
    </row>
    <row r="1073" spans="1:18" x14ac:dyDescent="0.35">
      <c r="A1073" s="13">
        <v>44975</v>
      </c>
      <c r="B1073">
        <v>2023</v>
      </c>
      <c r="C1073">
        <v>2</v>
      </c>
      <c r="D1073" t="s">
        <v>82</v>
      </c>
      <c r="E1073" t="s">
        <v>84</v>
      </c>
      <c r="F1073">
        <v>215</v>
      </c>
      <c r="G1073">
        <v>215</v>
      </c>
      <c r="H1073">
        <v>0</v>
      </c>
      <c r="I1073">
        <v>12</v>
      </c>
      <c r="J1073" s="17">
        <v>0.6891025641025641</v>
      </c>
      <c r="K1073">
        <v>38</v>
      </c>
      <c r="L1073">
        <v>36</v>
      </c>
      <c r="M1073" s="17">
        <v>0.94736842105263153</v>
      </c>
      <c r="N1073" s="25">
        <v>7191</v>
      </c>
      <c r="O1073" s="25">
        <v>2096.25</v>
      </c>
      <c r="P1073" s="25">
        <v>6650</v>
      </c>
      <c r="Q1073" s="25">
        <v>15937.25</v>
      </c>
      <c r="R1073" s="18">
        <v>74.126744186046508</v>
      </c>
    </row>
    <row r="1074" spans="1:18" x14ac:dyDescent="0.35">
      <c r="A1074" s="13">
        <v>44982</v>
      </c>
      <c r="B1074">
        <v>2023</v>
      </c>
      <c r="C1074">
        <v>2</v>
      </c>
      <c r="D1074" t="s">
        <v>82</v>
      </c>
      <c r="E1074" t="s">
        <v>84</v>
      </c>
      <c r="F1074">
        <v>204</v>
      </c>
      <c r="G1074">
        <v>204</v>
      </c>
      <c r="H1074">
        <v>0</v>
      </c>
      <c r="I1074">
        <v>10</v>
      </c>
      <c r="J1074" s="17">
        <v>0.7846153846153846</v>
      </c>
      <c r="K1074">
        <v>38</v>
      </c>
      <c r="L1074">
        <v>35</v>
      </c>
      <c r="M1074" s="17">
        <v>0.92105263157894735</v>
      </c>
      <c r="N1074" s="25">
        <v>5992.5</v>
      </c>
      <c r="O1074" s="25">
        <v>1989</v>
      </c>
      <c r="P1074" s="25">
        <v>6650</v>
      </c>
      <c r="Q1074" s="25">
        <v>14631.5</v>
      </c>
      <c r="R1074" s="18">
        <v>71.723039215686271</v>
      </c>
    </row>
    <row r="1075" spans="1:18" x14ac:dyDescent="0.35">
      <c r="A1075" s="13">
        <v>44989</v>
      </c>
      <c r="B1075">
        <v>2023</v>
      </c>
      <c r="C1075">
        <v>3</v>
      </c>
      <c r="D1075" t="s">
        <v>82</v>
      </c>
      <c r="E1075" t="s">
        <v>84</v>
      </c>
      <c r="F1075">
        <v>229</v>
      </c>
      <c r="G1075">
        <v>229</v>
      </c>
      <c r="H1075">
        <v>0</v>
      </c>
      <c r="I1075">
        <v>13</v>
      </c>
      <c r="J1075" s="17">
        <v>0.6775147928994083</v>
      </c>
      <c r="K1075">
        <v>38</v>
      </c>
      <c r="L1075">
        <v>37</v>
      </c>
      <c r="M1075" s="17">
        <v>0.97368421052631582</v>
      </c>
      <c r="N1075" s="25">
        <v>7790.25</v>
      </c>
      <c r="O1075" s="25">
        <v>2232.75</v>
      </c>
      <c r="P1075" s="25">
        <v>6650</v>
      </c>
      <c r="Q1075" s="25">
        <v>16673</v>
      </c>
      <c r="R1075" s="18">
        <v>72.807860262008731</v>
      </c>
    </row>
    <row r="1076" spans="1:18" x14ac:dyDescent="0.35">
      <c r="A1076" s="13">
        <v>44996</v>
      </c>
      <c r="B1076">
        <v>2023</v>
      </c>
      <c r="C1076">
        <v>3</v>
      </c>
      <c r="D1076" t="s">
        <v>82</v>
      </c>
      <c r="E1076" t="s">
        <v>84</v>
      </c>
      <c r="F1076">
        <v>222</v>
      </c>
      <c r="G1076">
        <v>222</v>
      </c>
      <c r="H1076">
        <v>0</v>
      </c>
      <c r="I1076">
        <v>12</v>
      </c>
      <c r="J1076" s="17">
        <v>0.71153846153846156</v>
      </c>
      <c r="K1076">
        <v>38</v>
      </c>
      <c r="L1076">
        <v>36</v>
      </c>
      <c r="M1076" s="17">
        <v>0.94736842105263153</v>
      </c>
      <c r="N1076" s="25">
        <v>7191</v>
      </c>
      <c r="O1076" s="25">
        <v>2164.5</v>
      </c>
      <c r="P1076" s="25">
        <v>6650</v>
      </c>
      <c r="Q1076" s="25">
        <v>16005.5</v>
      </c>
      <c r="R1076" s="18">
        <v>72.096846846846844</v>
      </c>
    </row>
    <row r="1077" spans="1:18" x14ac:dyDescent="0.35">
      <c r="A1077" s="13">
        <v>45003</v>
      </c>
      <c r="B1077">
        <v>2023</v>
      </c>
      <c r="C1077">
        <v>3</v>
      </c>
      <c r="D1077" t="s">
        <v>82</v>
      </c>
      <c r="E1077" t="s">
        <v>84</v>
      </c>
      <c r="F1077">
        <v>234</v>
      </c>
      <c r="G1077">
        <v>234</v>
      </c>
      <c r="H1077">
        <v>0</v>
      </c>
      <c r="I1077">
        <v>12</v>
      </c>
      <c r="J1077" s="17">
        <v>0.75</v>
      </c>
      <c r="K1077">
        <v>38</v>
      </c>
      <c r="L1077">
        <v>36</v>
      </c>
      <c r="M1077" s="17">
        <v>0.94736842105263153</v>
      </c>
      <c r="N1077" s="25">
        <v>7191</v>
      </c>
      <c r="O1077" s="25">
        <v>2281.5</v>
      </c>
      <c r="P1077" s="25">
        <v>6650</v>
      </c>
      <c r="Q1077" s="25">
        <v>16122.5</v>
      </c>
      <c r="R1077" s="18">
        <v>68.899572649572647</v>
      </c>
    </row>
    <row r="1078" spans="1:18" x14ac:dyDescent="0.35">
      <c r="A1078" s="13">
        <v>45010</v>
      </c>
      <c r="B1078">
        <v>2023</v>
      </c>
      <c r="C1078">
        <v>3</v>
      </c>
      <c r="D1078" t="s">
        <v>82</v>
      </c>
      <c r="E1078" t="s">
        <v>84</v>
      </c>
      <c r="F1078">
        <v>228</v>
      </c>
      <c r="G1078">
        <v>228</v>
      </c>
      <c r="H1078">
        <v>0</v>
      </c>
      <c r="I1078">
        <v>12</v>
      </c>
      <c r="J1078" s="17">
        <v>0.73076923076923073</v>
      </c>
      <c r="K1078">
        <v>38</v>
      </c>
      <c r="L1078">
        <v>37</v>
      </c>
      <c r="M1078" s="17">
        <v>0.97368421052631582</v>
      </c>
      <c r="N1078" s="25">
        <v>7191</v>
      </c>
      <c r="O1078" s="25">
        <v>2223</v>
      </c>
      <c r="P1078" s="25">
        <v>6650</v>
      </c>
      <c r="Q1078" s="25">
        <v>16064</v>
      </c>
      <c r="R1078" s="18">
        <v>70.456140350877192</v>
      </c>
    </row>
    <row r="1079" spans="1:18" x14ac:dyDescent="0.35">
      <c r="A1079" s="13">
        <v>45017</v>
      </c>
      <c r="B1079">
        <v>2023</v>
      </c>
      <c r="C1079">
        <v>4</v>
      </c>
      <c r="D1079" t="s">
        <v>82</v>
      </c>
      <c r="E1079" t="s">
        <v>84</v>
      </c>
      <c r="F1079">
        <v>228</v>
      </c>
      <c r="G1079">
        <v>228</v>
      </c>
      <c r="H1079">
        <v>0</v>
      </c>
      <c r="I1079">
        <v>12</v>
      </c>
      <c r="J1079" s="17">
        <v>0.73076923076923073</v>
      </c>
      <c r="K1079">
        <v>38</v>
      </c>
      <c r="L1079">
        <v>38</v>
      </c>
      <c r="M1079" s="17">
        <v>1</v>
      </c>
      <c r="N1079" s="25">
        <v>7191</v>
      </c>
      <c r="O1079" s="25">
        <v>2223</v>
      </c>
      <c r="P1079" s="25">
        <v>6650</v>
      </c>
      <c r="Q1079" s="25">
        <v>16064</v>
      </c>
      <c r="R1079" s="18">
        <v>70.456140350877192</v>
      </c>
    </row>
    <row r="1080" spans="1:18" x14ac:dyDescent="0.35">
      <c r="A1080" s="13">
        <v>45024</v>
      </c>
      <c r="B1080">
        <v>2023</v>
      </c>
      <c r="C1080">
        <v>4</v>
      </c>
      <c r="D1080" t="s">
        <v>82</v>
      </c>
      <c r="E1080" t="s">
        <v>84</v>
      </c>
      <c r="F1080">
        <v>233</v>
      </c>
      <c r="G1080">
        <v>233</v>
      </c>
      <c r="H1080">
        <v>0</v>
      </c>
      <c r="I1080">
        <v>12</v>
      </c>
      <c r="J1080" s="17">
        <v>0.74679487179487181</v>
      </c>
      <c r="K1080">
        <v>38</v>
      </c>
      <c r="L1080">
        <v>38</v>
      </c>
      <c r="M1080" s="17">
        <v>1</v>
      </c>
      <c r="N1080" s="25">
        <v>7191</v>
      </c>
      <c r="O1080" s="25">
        <v>2271.75</v>
      </c>
      <c r="P1080" s="25">
        <v>6650</v>
      </c>
      <c r="Q1080" s="25">
        <v>16112.75</v>
      </c>
      <c r="R1080" s="18">
        <v>69.153433476394852</v>
      </c>
    </row>
    <row r="1081" spans="1:18" x14ac:dyDescent="0.35">
      <c r="A1081" s="13">
        <v>45031</v>
      </c>
      <c r="B1081">
        <v>2023</v>
      </c>
      <c r="C1081">
        <v>4</v>
      </c>
      <c r="D1081" t="s">
        <v>82</v>
      </c>
      <c r="E1081" t="s">
        <v>84</v>
      </c>
      <c r="F1081">
        <v>232</v>
      </c>
      <c r="G1081">
        <v>232</v>
      </c>
      <c r="H1081">
        <v>0</v>
      </c>
      <c r="I1081">
        <v>11</v>
      </c>
      <c r="J1081" s="17">
        <v>0.81118881118881114</v>
      </c>
      <c r="K1081">
        <v>38</v>
      </c>
      <c r="L1081">
        <v>36</v>
      </c>
      <c r="M1081" s="17">
        <v>0.94736842105263153</v>
      </c>
      <c r="N1081" s="25">
        <v>6591.75</v>
      </c>
      <c r="O1081" s="25">
        <v>2262</v>
      </c>
      <c r="P1081" s="25">
        <v>6650</v>
      </c>
      <c r="Q1081" s="25">
        <v>15503.75</v>
      </c>
      <c r="R1081" s="18">
        <v>66.826508620689651</v>
      </c>
    </row>
    <row r="1082" spans="1:18" x14ac:dyDescent="0.35">
      <c r="A1082" s="13">
        <v>45038</v>
      </c>
      <c r="B1082">
        <v>2023</v>
      </c>
      <c r="C1082">
        <v>4</v>
      </c>
      <c r="D1082" t="s">
        <v>82</v>
      </c>
      <c r="E1082" t="s">
        <v>84</v>
      </c>
      <c r="F1082">
        <v>243</v>
      </c>
      <c r="G1082">
        <v>243</v>
      </c>
      <c r="H1082">
        <v>0</v>
      </c>
      <c r="I1082">
        <v>12</v>
      </c>
      <c r="J1082" s="17">
        <v>0.77884615384615385</v>
      </c>
      <c r="K1082">
        <v>38</v>
      </c>
      <c r="L1082">
        <v>38</v>
      </c>
      <c r="M1082" s="17">
        <v>1</v>
      </c>
      <c r="N1082" s="25">
        <v>7191</v>
      </c>
      <c r="O1082" s="25">
        <v>2369.25</v>
      </c>
      <c r="P1082" s="25">
        <v>6650</v>
      </c>
      <c r="Q1082" s="25">
        <v>16210.25</v>
      </c>
      <c r="R1082" s="18">
        <v>66.708847736625515</v>
      </c>
    </row>
    <row r="1083" spans="1:18" x14ac:dyDescent="0.35">
      <c r="A1083" s="13">
        <v>45045</v>
      </c>
      <c r="B1083">
        <v>2023</v>
      </c>
      <c r="C1083">
        <v>4</v>
      </c>
      <c r="D1083" t="s">
        <v>82</v>
      </c>
      <c r="E1083" t="s">
        <v>84</v>
      </c>
      <c r="F1083">
        <v>227</v>
      </c>
      <c r="G1083">
        <v>227</v>
      </c>
      <c r="H1083">
        <v>0</v>
      </c>
      <c r="I1083">
        <v>12</v>
      </c>
      <c r="J1083" s="17">
        <v>0.72756410256410253</v>
      </c>
      <c r="K1083">
        <v>38</v>
      </c>
      <c r="L1083">
        <v>36</v>
      </c>
      <c r="M1083" s="17">
        <v>0.94736842105263153</v>
      </c>
      <c r="N1083" s="25">
        <v>7191</v>
      </c>
      <c r="O1083" s="25">
        <v>2213.25</v>
      </c>
      <c r="P1083" s="25">
        <v>6650</v>
      </c>
      <c r="Q1083" s="25">
        <v>16054.25</v>
      </c>
      <c r="R1083" s="18">
        <v>70.723568281938327</v>
      </c>
    </row>
    <row r="1084" spans="1:18" x14ac:dyDescent="0.35">
      <c r="A1084" s="13">
        <v>45052</v>
      </c>
      <c r="B1084">
        <v>2023</v>
      </c>
      <c r="C1084">
        <v>5</v>
      </c>
      <c r="D1084" t="s">
        <v>82</v>
      </c>
      <c r="E1084" t="s">
        <v>84</v>
      </c>
      <c r="F1084">
        <v>245</v>
      </c>
      <c r="G1084">
        <v>245</v>
      </c>
      <c r="H1084">
        <v>0</v>
      </c>
      <c r="I1084">
        <v>13</v>
      </c>
      <c r="J1084" s="17">
        <v>0.7248520710059172</v>
      </c>
      <c r="K1084">
        <v>38</v>
      </c>
      <c r="L1084">
        <v>35</v>
      </c>
      <c r="M1084" s="17">
        <v>0.92105263157894735</v>
      </c>
      <c r="N1084" s="25">
        <v>7790.25</v>
      </c>
      <c r="O1084" s="25">
        <v>2388.75</v>
      </c>
      <c r="P1084" s="25">
        <v>6650</v>
      </c>
      <c r="Q1084" s="25">
        <v>16829</v>
      </c>
      <c r="R1084" s="18">
        <v>68.689795918367352</v>
      </c>
    </row>
    <row r="1085" spans="1:18" x14ac:dyDescent="0.35">
      <c r="A1085" s="13">
        <v>45059</v>
      </c>
      <c r="B1085">
        <v>2023</v>
      </c>
      <c r="C1085">
        <v>5</v>
      </c>
      <c r="D1085" t="s">
        <v>82</v>
      </c>
      <c r="E1085" t="s">
        <v>84</v>
      </c>
      <c r="F1085">
        <v>240</v>
      </c>
      <c r="G1085">
        <v>240</v>
      </c>
      <c r="H1085">
        <v>0</v>
      </c>
      <c r="I1085">
        <v>13</v>
      </c>
      <c r="J1085" s="17">
        <v>0.7100591715976331</v>
      </c>
      <c r="K1085">
        <v>38</v>
      </c>
      <c r="L1085">
        <v>34</v>
      </c>
      <c r="M1085" s="17">
        <v>0.89473684210526316</v>
      </c>
      <c r="N1085" s="25">
        <v>7790.25</v>
      </c>
      <c r="O1085" s="25">
        <v>2340</v>
      </c>
      <c r="P1085" s="25">
        <v>6650</v>
      </c>
      <c r="Q1085" s="25">
        <v>16780.25</v>
      </c>
      <c r="R1085" s="18">
        <v>69.917708333333337</v>
      </c>
    </row>
    <row r="1086" spans="1:18" x14ac:dyDescent="0.35">
      <c r="A1086" s="13">
        <v>45066</v>
      </c>
      <c r="B1086">
        <v>2023</v>
      </c>
      <c r="C1086">
        <v>5</v>
      </c>
      <c r="D1086" t="s">
        <v>82</v>
      </c>
      <c r="E1086" t="s">
        <v>84</v>
      </c>
      <c r="F1086">
        <v>245</v>
      </c>
      <c r="G1086">
        <v>245</v>
      </c>
      <c r="H1086">
        <v>0</v>
      </c>
      <c r="I1086">
        <v>12</v>
      </c>
      <c r="J1086" s="17">
        <v>0.78525641025641024</v>
      </c>
      <c r="K1086">
        <v>38</v>
      </c>
      <c r="L1086">
        <v>36</v>
      </c>
      <c r="M1086" s="17">
        <v>0.94736842105263153</v>
      </c>
      <c r="N1086" s="25">
        <v>7191</v>
      </c>
      <c r="O1086" s="25">
        <v>2388.75</v>
      </c>
      <c r="P1086" s="25">
        <v>6650</v>
      </c>
      <c r="Q1086" s="25">
        <v>16229.75</v>
      </c>
      <c r="R1086" s="18">
        <v>66.243877551020404</v>
      </c>
    </row>
    <row r="1087" spans="1:18" x14ac:dyDescent="0.35">
      <c r="A1087" s="13">
        <v>45073</v>
      </c>
      <c r="B1087">
        <v>2023</v>
      </c>
      <c r="C1087">
        <v>5</v>
      </c>
      <c r="D1087" t="s">
        <v>82</v>
      </c>
      <c r="E1087" t="s">
        <v>84</v>
      </c>
      <c r="F1087">
        <v>238</v>
      </c>
      <c r="G1087">
        <v>238</v>
      </c>
      <c r="H1087">
        <v>0</v>
      </c>
      <c r="I1087">
        <v>13</v>
      </c>
      <c r="J1087" s="17">
        <v>0.70414201183431957</v>
      </c>
      <c r="K1087">
        <v>38</v>
      </c>
      <c r="L1087">
        <v>31</v>
      </c>
      <c r="M1087" s="17">
        <v>0.81578947368421051</v>
      </c>
      <c r="N1087" s="25">
        <v>7790.25</v>
      </c>
      <c r="O1087" s="25">
        <v>2320.5</v>
      </c>
      <c r="P1087" s="25">
        <v>6650</v>
      </c>
      <c r="Q1087" s="25">
        <v>16760.75</v>
      </c>
      <c r="R1087" s="18">
        <v>70.423319327731093</v>
      </c>
    </row>
    <row r="1088" spans="1:18" x14ac:dyDescent="0.35">
      <c r="A1088" s="13">
        <v>45080</v>
      </c>
      <c r="B1088">
        <v>2023</v>
      </c>
      <c r="C1088">
        <v>6</v>
      </c>
      <c r="D1088" t="s">
        <v>82</v>
      </c>
      <c r="E1088" t="s">
        <v>84</v>
      </c>
      <c r="F1088">
        <v>230</v>
      </c>
      <c r="G1088">
        <v>230</v>
      </c>
      <c r="H1088">
        <v>0</v>
      </c>
      <c r="I1088">
        <v>11</v>
      </c>
      <c r="J1088" s="17">
        <v>0.80419580419580416</v>
      </c>
      <c r="K1088">
        <v>38</v>
      </c>
      <c r="L1088">
        <v>36</v>
      </c>
      <c r="M1088" s="17">
        <v>0.94736842105263153</v>
      </c>
      <c r="N1088" s="25">
        <v>6591.75</v>
      </c>
      <c r="O1088" s="25">
        <v>2242.5</v>
      </c>
      <c r="P1088" s="25">
        <v>6650</v>
      </c>
      <c r="Q1088" s="25">
        <v>15484.25</v>
      </c>
      <c r="R1088" s="18">
        <v>67.322826086956525</v>
      </c>
    </row>
    <row r="1089" spans="1:18" x14ac:dyDescent="0.35">
      <c r="A1089" s="13">
        <v>45087</v>
      </c>
      <c r="B1089">
        <v>2023</v>
      </c>
      <c r="C1089">
        <v>6</v>
      </c>
      <c r="D1089" t="s">
        <v>82</v>
      </c>
      <c r="E1089" t="s">
        <v>84</v>
      </c>
      <c r="F1089">
        <v>236</v>
      </c>
      <c r="G1089">
        <v>236</v>
      </c>
      <c r="H1089">
        <v>0</v>
      </c>
      <c r="I1089">
        <v>12</v>
      </c>
      <c r="J1089" s="17">
        <v>0.75641025641025639</v>
      </c>
      <c r="K1089">
        <v>38</v>
      </c>
      <c r="L1089">
        <v>38</v>
      </c>
      <c r="M1089" s="17">
        <v>1</v>
      </c>
      <c r="N1089" s="25">
        <v>7191</v>
      </c>
      <c r="O1089" s="25">
        <v>2301</v>
      </c>
      <c r="P1089" s="25">
        <v>6650</v>
      </c>
      <c r="Q1089" s="25">
        <v>16142</v>
      </c>
      <c r="R1089" s="18">
        <v>68.398305084745758</v>
      </c>
    </row>
    <row r="1090" spans="1:18" x14ac:dyDescent="0.35">
      <c r="A1090" s="13">
        <v>45094</v>
      </c>
      <c r="B1090">
        <v>2023</v>
      </c>
      <c r="C1090">
        <v>6</v>
      </c>
      <c r="D1090" t="s">
        <v>82</v>
      </c>
      <c r="E1090" t="s">
        <v>84</v>
      </c>
      <c r="F1090">
        <v>238</v>
      </c>
      <c r="G1090">
        <v>238</v>
      </c>
      <c r="H1090">
        <v>0</v>
      </c>
      <c r="I1090">
        <v>13</v>
      </c>
      <c r="J1090" s="17">
        <v>0.70414201183431957</v>
      </c>
      <c r="K1090">
        <v>38</v>
      </c>
      <c r="L1090">
        <v>38</v>
      </c>
      <c r="M1090" s="17">
        <v>1</v>
      </c>
      <c r="N1090" s="25">
        <v>7790.25</v>
      </c>
      <c r="O1090" s="25">
        <v>2320.5</v>
      </c>
      <c r="P1090" s="25">
        <v>6650</v>
      </c>
      <c r="Q1090" s="25">
        <v>16760.75</v>
      </c>
      <c r="R1090" s="18">
        <v>70.423319327731093</v>
      </c>
    </row>
    <row r="1091" spans="1:18" x14ac:dyDescent="0.35">
      <c r="A1091" s="13">
        <v>45101</v>
      </c>
      <c r="B1091">
        <v>2023</v>
      </c>
      <c r="C1091">
        <v>6</v>
      </c>
      <c r="D1091" t="s">
        <v>82</v>
      </c>
      <c r="E1091" t="s">
        <v>84</v>
      </c>
      <c r="F1091">
        <v>236</v>
      </c>
      <c r="G1091">
        <v>236</v>
      </c>
      <c r="H1091">
        <v>0</v>
      </c>
      <c r="I1091">
        <v>11</v>
      </c>
      <c r="J1091" s="17">
        <v>0.82517482517482521</v>
      </c>
      <c r="K1091">
        <v>38</v>
      </c>
      <c r="L1091">
        <v>36</v>
      </c>
      <c r="M1091" s="17">
        <v>0.94736842105263153</v>
      </c>
      <c r="N1091" s="25">
        <v>6591.75</v>
      </c>
      <c r="O1091" s="25">
        <v>2301</v>
      </c>
      <c r="P1091" s="25">
        <v>6650</v>
      </c>
      <c r="Q1091" s="25">
        <v>15542.75</v>
      </c>
      <c r="R1091" s="18">
        <v>65.85911016949153</v>
      </c>
    </row>
    <row r="1092" spans="1:18" x14ac:dyDescent="0.35">
      <c r="A1092" s="13">
        <v>45108</v>
      </c>
      <c r="B1092">
        <v>2023</v>
      </c>
      <c r="C1092">
        <v>7</v>
      </c>
      <c r="D1092" t="s">
        <v>82</v>
      </c>
      <c r="E1092" t="s">
        <v>84</v>
      </c>
      <c r="F1092">
        <v>225</v>
      </c>
      <c r="G1092">
        <v>225</v>
      </c>
      <c r="H1092">
        <v>0</v>
      </c>
      <c r="I1092">
        <v>11</v>
      </c>
      <c r="J1092" s="17">
        <v>0.78671328671328666</v>
      </c>
      <c r="K1092">
        <v>38</v>
      </c>
      <c r="L1092">
        <v>36</v>
      </c>
      <c r="M1092" s="17">
        <v>0.94736842105263153</v>
      </c>
      <c r="N1092" s="25">
        <v>6591.75</v>
      </c>
      <c r="O1092" s="25">
        <v>2193.75</v>
      </c>
      <c r="P1092" s="25">
        <v>6650</v>
      </c>
      <c r="Q1092" s="25">
        <v>15435.5</v>
      </c>
      <c r="R1092" s="18">
        <v>68.602222222222224</v>
      </c>
    </row>
    <row r="1093" spans="1:18" x14ac:dyDescent="0.35">
      <c r="A1093" s="13">
        <v>45115</v>
      </c>
      <c r="B1093">
        <v>2023</v>
      </c>
      <c r="C1093">
        <v>7</v>
      </c>
      <c r="D1093" t="s">
        <v>82</v>
      </c>
      <c r="E1093" t="s">
        <v>84</v>
      </c>
      <c r="F1093">
        <v>231</v>
      </c>
      <c r="G1093">
        <v>231</v>
      </c>
      <c r="H1093">
        <v>0</v>
      </c>
      <c r="I1093">
        <v>12</v>
      </c>
      <c r="J1093" s="17">
        <v>0.74038461538461542</v>
      </c>
      <c r="K1093">
        <v>38</v>
      </c>
      <c r="L1093">
        <v>38</v>
      </c>
      <c r="M1093" s="17">
        <v>1</v>
      </c>
      <c r="N1093" s="25">
        <v>7191</v>
      </c>
      <c r="O1093" s="25">
        <v>2252.25</v>
      </c>
      <c r="P1093" s="25">
        <v>6650</v>
      </c>
      <c r="Q1093" s="25">
        <v>16093.25</v>
      </c>
      <c r="R1093" s="18">
        <v>69.667748917748924</v>
      </c>
    </row>
    <row r="1094" spans="1:18" x14ac:dyDescent="0.35">
      <c r="A1094" s="13">
        <v>45122</v>
      </c>
      <c r="B1094">
        <v>2023</v>
      </c>
      <c r="C1094">
        <v>7</v>
      </c>
      <c r="D1094" t="s">
        <v>82</v>
      </c>
      <c r="E1094" t="s">
        <v>84</v>
      </c>
      <c r="F1094">
        <v>232</v>
      </c>
      <c r="G1094">
        <v>232</v>
      </c>
      <c r="H1094">
        <v>0</v>
      </c>
      <c r="I1094">
        <v>13</v>
      </c>
      <c r="J1094" s="17">
        <v>0.68639053254437865</v>
      </c>
      <c r="K1094">
        <v>38</v>
      </c>
      <c r="L1094">
        <v>33</v>
      </c>
      <c r="M1094" s="17">
        <v>0.86842105263157898</v>
      </c>
      <c r="N1094" s="25">
        <v>7790.25</v>
      </c>
      <c r="O1094" s="25">
        <v>2262</v>
      </c>
      <c r="P1094" s="25">
        <v>6650</v>
      </c>
      <c r="Q1094" s="25">
        <v>16702.25</v>
      </c>
      <c r="R1094" s="18">
        <v>71.99245689655173</v>
      </c>
    </row>
    <row r="1095" spans="1:18" x14ac:dyDescent="0.35">
      <c r="A1095" s="13">
        <v>45129</v>
      </c>
      <c r="B1095">
        <v>2023</v>
      </c>
      <c r="C1095">
        <v>7</v>
      </c>
      <c r="D1095" t="s">
        <v>82</v>
      </c>
      <c r="E1095" t="s">
        <v>84</v>
      </c>
      <c r="F1095">
        <v>240</v>
      </c>
      <c r="G1095">
        <v>240</v>
      </c>
      <c r="H1095">
        <v>0</v>
      </c>
      <c r="I1095">
        <v>12</v>
      </c>
      <c r="J1095" s="17">
        <v>0.76923076923076927</v>
      </c>
      <c r="K1095">
        <v>38</v>
      </c>
      <c r="L1095">
        <v>37</v>
      </c>
      <c r="M1095" s="17">
        <v>0.97368421052631582</v>
      </c>
      <c r="N1095" s="25">
        <v>7191</v>
      </c>
      <c r="O1095" s="25">
        <v>2340</v>
      </c>
      <c r="P1095" s="25">
        <v>6650</v>
      </c>
      <c r="Q1095" s="25">
        <v>16181</v>
      </c>
      <c r="R1095" s="18">
        <v>67.420833333333334</v>
      </c>
    </row>
    <row r="1096" spans="1:18" x14ac:dyDescent="0.35">
      <c r="A1096" s="13">
        <v>45136</v>
      </c>
      <c r="B1096">
        <v>2023</v>
      </c>
      <c r="C1096">
        <v>7</v>
      </c>
      <c r="D1096" t="s">
        <v>82</v>
      </c>
      <c r="E1096" t="s">
        <v>84</v>
      </c>
      <c r="F1096">
        <v>242</v>
      </c>
      <c r="G1096">
        <v>242</v>
      </c>
      <c r="H1096">
        <v>0</v>
      </c>
      <c r="I1096">
        <v>12</v>
      </c>
      <c r="J1096" s="17">
        <v>0.77564102564102566</v>
      </c>
      <c r="K1096">
        <v>38</v>
      </c>
      <c r="L1096">
        <v>38</v>
      </c>
      <c r="M1096" s="17">
        <v>1</v>
      </c>
      <c r="N1096" s="25">
        <v>7191</v>
      </c>
      <c r="O1096" s="25">
        <v>2359.5</v>
      </c>
      <c r="P1096" s="25">
        <v>6650</v>
      </c>
      <c r="Q1096" s="25">
        <v>16200.5</v>
      </c>
      <c r="R1096" s="18">
        <v>66.944214876033058</v>
      </c>
    </row>
    <row r="1097" spans="1:18" x14ac:dyDescent="0.35">
      <c r="A1097" s="13">
        <v>45143</v>
      </c>
      <c r="B1097">
        <v>2023</v>
      </c>
      <c r="C1097">
        <v>8</v>
      </c>
      <c r="D1097" t="s">
        <v>82</v>
      </c>
      <c r="E1097" t="s">
        <v>84</v>
      </c>
      <c r="F1097">
        <v>239</v>
      </c>
      <c r="G1097">
        <v>239</v>
      </c>
      <c r="H1097">
        <v>0</v>
      </c>
      <c r="I1097">
        <v>12</v>
      </c>
      <c r="J1097" s="17">
        <v>0.76602564102564108</v>
      </c>
      <c r="K1097">
        <v>38</v>
      </c>
      <c r="L1097">
        <v>37</v>
      </c>
      <c r="M1097" s="17">
        <v>0.97368421052631582</v>
      </c>
      <c r="N1097" s="25">
        <v>7191</v>
      </c>
      <c r="O1097" s="25">
        <v>2330.25</v>
      </c>
      <c r="P1097" s="25">
        <v>6650</v>
      </c>
      <c r="Q1097" s="25">
        <v>16171.25</v>
      </c>
      <c r="R1097" s="18">
        <v>67.662133891213387</v>
      </c>
    </row>
    <row r="1098" spans="1:18" x14ac:dyDescent="0.35">
      <c r="A1098" s="13">
        <v>45150</v>
      </c>
      <c r="B1098">
        <v>2023</v>
      </c>
      <c r="C1098">
        <v>8</v>
      </c>
      <c r="D1098" t="s">
        <v>82</v>
      </c>
      <c r="E1098" t="s">
        <v>84</v>
      </c>
      <c r="F1098">
        <v>253</v>
      </c>
      <c r="G1098">
        <v>253</v>
      </c>
      <c r="H1098">
        <v>0</v>
      </c>
      <c r="I1098">
        <v>13</v>
      </c>
      <c r="J1098" s="17">
        <v>0.74852071005917165</v>
      </c>
      <c r="K1098">
        <v>38</v>
      </c>
      <c r="L1098">
        <v>37</v>
      </c>
      <c r="M1098" s="17">
        <v>0.97368421052631582</v>
      </c>
      <c r="N1098" s="25">
        <v>7790.25</v>
      </c>
      <c r="O1098" s="25">
        <v>2466.75</v>
      </c>
      <c r="P1098" s="25">
        <v>6650</v>
      </c>
      <c r="Q1098" s="25">
        <v>16907</v>
      </c>
      <c r="R1098" s="18">
        <v>66.826086956521735</v>
      </c>
    </row>
    <row r="1099" spans="1:18" x14ac:dyDescent="0.35">
      <c r="A1099" s="13">
        <v>45157</v>
      </c>
      <c r="B1099">
        <v>2023</v>
      </c>
      <c r="C1099">
        <v>8</v>
      </c>
      <c r="D1099" t="s">
        <v>82</v>
      </c>
      <c r="E1099" t="s">
        <v>84</v>
      </c>
      <c r="F1099">
        <v>239</v>
      </c>
      <c r="G1099">
        <v>239</v>
      </c>
      <c r="H1099">
        <v>0</v>
      </c>
      <c r="I1099">
        <v>13</v>
      </c>
      <c r="J1099" s="17">
        <v>0.70710059171597628</v>
      </c>
      <c r="K1099">
        <v>38</v>
      </c>
      <c r="L1099">
        <v>37</v>
      </c>
      <c r="M1099" s="17">
        <v>0.97368421052631582</v>
      </c>
      <c r="N1099" s="25">
        <v>7790.25</v>
      </c>
      <c r="O1099" s="25">
        <v>2330.25</v>
      </c>
      <c r="P1099" s="25">
        <v>6650</v>
      </c>
      <c r="Q1099" s="25">
        <v>16770.5</v>
      </c>
      <c r="R1099" s="18">
        <v>70.169456066945614</v>
      </c>
    </row>
    <row r="1100" spans="1:18" x14ac:dyDescent="0.35">
      <c r="A1100" s="13">
        <v>45164</v>
      </c>
      <c r="B1100">
        <v>2023</v>
      </c>
      <c r="C1100">
        <v>8</v>
      </c>
      <c r="D1100" t="s">
        <v>82</v>
      </c>
      <c r="E1100" t="s">
        <v>84</v>
      </c>
      <c r="F1100">
        <v>238</v>
      </c>
      <c r="G1100">
        <v>238</v>
      </c>
      <c r="H1100">
        <v>0</v>
      </c>
      <c r="I1100">
        <v>13</v>
      </c>
      <c r="J1100" s="17">
        <v>0.70414201183431957</v>
      </c>
      <c r="K1100">
        <v>38</v>
      </c>
      <c r="L1100">
        <v>37</v>
      </c>
      <c r="M1100" s="17">
        <v>0.97368421052631582</v>
      </c>
      <c r="N1100" s="25">
        <v>7790.25</v>
      </c>
      <c r="O1100" s="25">
        <v>2320.5</v>
      </c>
      <c r="P1100" s="25">
        <v>6650</v>
      </c>
      <c r="Q1100" s="25">
        <v>16760.75</v>
      </c>
      <c r="R1100" s="18">
        <v>70.423319327731093</v>
      </c>
    </row>
    <row r="1101" spans="1:18" x14ac:dyDescent="0.35">
      <c r="A1101" s="13">
        <v>45171</v>
      </c>
      <c r="B1101">
        <v>2023</v>
      </c>
      <c r="C1101">
        <v>9</v>
      </c>
      <c r="D1101" t="s">
        <v>82</v>
      </c>
      <c r="E1101" t="s">
        <v>84</v>
      </c>
      <c r="F1101">
        <v>232</v>
      </c>
      <c r="G1101">
        <v>232</v>
      </c>
      <c r="H1101">
        <v>0</v>
      </c>
      <c r="I1101">
        <v>11</v>
      </c>
      <c r="J1101" s="17">
        <v>0.81118881118881114</v>
      </c>
      <c r="K1101">
        <v>38</v>
      </c>
      <c r="L1101">
        <v>36</v>
      </c>
      <c r="M1101" s="17">
        <v>0.94736842105263153</v>
      </c>
      <c r="N1101" s="25">
        <v>6591.75</v>
      </c>
      <c r="O1101" s="25">
        <v>2262</v>
      </c>
      <c r="P1101" s="25">
        <v>6650</v>
      </c>
      <c r="Q1101" s="25">
        <v>15503.75</v>
      </c>
      <c r="R1101" s="18">
        <v>66.826508620689651</v>
      </c>
    </row>
    <row r="1102" spans="1:18" x14ac:dyDescent="0.35">
      <c r="A1102" s="13">
        <v>45178</v>
      </c>
      <c r="B1102">
        <v>2023</v>
      </c>
      <c r="C1102">
        <v>9</v>
      </c>
      <c r="D1102" t="s">
        <v>82</v>
      </c>
      <c r="E1102" t="s">
        <v>84</v>
      </c>
      <c r="F1102">
        <v>235</v>
      </c>
      <c r="G1102">
        <v>235</v>
      </c>
      <c r="H1102">
        <v>0</v>
      </c>
      <c r="I1102">
        <v>13</v>
      </c>
      <c r="J1102" s="17">
        <v>0.69526627218934911</v>
      </c>
      <c r="K1102">
        <v>38</v>
      </c>
      <c r="L1102">
        <v>35</v>
      </c>
      <c r="M1102" s="17">
        <v>0.92105263157894735</v>
      </c>
      <c r="N1102" s="25">
        <v>7790.25</v>
      </c>
      <c r="O1102" s="25">
        <v>2291.25</v>
      </c>
      <c r="P1102" s="25">
        <v>6650</v>
      </c>
      <c r="Q1102" s="25">
        <v>16731.5</v>
      </c>
      <c r="R1102" s="18">
        <v>71.197872340425533</v>
      </c>
    </row>
    <row r="1103" spans="1:18" x14ac:dyDescent="0.35">
      <c r="A1103" s="13">
        <v>45185</v>
      </c>
      <c r="B1103">
        <v>2023</v>
      </c>
      <c r="C1103">
        <v>9</v>
      </c>
      <c r="D1103" t="s">
        <v>82</v>
      </c>
      <c r="E1103" t="s">
        <v>84</v>
      </c>
      <c r="F1103">
        <v>221</v>
      </c>
      <c r="G1103">
        <v>221</v>
      </c>
      <c r="H1103">
        <v>0</v>
      </c>
      <c r="I1103">
        <v>11</v>
      </c>
      <c r="J1103" s="17">
        <v>0.77272727272727271</v>
      </c>
      <c r="K1103">
        <v>38</v>
      </c>
      <c r="L1103">
        <v>36</v>
      </c>
      <c r="M1103" s="17">
        <v>0.94736842105263153</v>
      </c>
      <c r="N1103" s="25">
        <v>6591.75</v>
      </c>
      <c r="O1103" s="25">
        <v>2154.75</v>
      </c>
      <c r="P1103" s="25">
        <v>6650</v>
      </c>
      <c r="Q1103" s="25">
        <v>15396.5</v>
      </c>
      <c r="R1103" s="18">
        <v>69.667420814479641</v>
      </c>
    </row>
    <row r="1104" spans="1:18" x14ac:dyDescent="0.35">
      <c r="A1104" s="13">
        <v>45192</v>
      </c>
      <c r="B1104">
        <v>2023</v>
      </c>
      <c r="C1104">
        <v>9</v>
      </c>
      <c r="D1104" t="s">
        <v>82</v>
      </c>
      <c r="E1104" t="s">
        <v>84</v>
      </c>
      <c r="F1104">
        <v>228</v>
      </c>
      <c r="G1104">
        <v>228</v>
      </c>
      <c r="H1104">
        <v>0</v>
      </c>
      <c r="I1104">
        <v>11</v>
      </c>
      <c r="J1104" s="17">
        <v>0.79720279720279719</v>
      </c>
      <c r="K1104">
        <v>38</v>
      </c>
      <c r="L1104">
        <v>35</v>
      </c>
      <c r="M1104" s="17">
        <v>0.92105263157894735</v>
      </c>
      <c r="N1104" s="25">
        <v>6591.75</v>
      </c>
      <c r="O1104" s="25">
        <v>2223</v>
      </c>
      <c r="P1104" s="25">
        <v>6650</v>
      </c>
      <c r="Q1104" s="25">
        <v>15464.75</v>
      </c>
      <c r="R1104" s="18">
        <v>67.827850877192986</v>
      </c>
    </row>
    <row r="1105" spans="1:18" x14ac:dyDescent="0.35">
      <c r="A1105" s="13">
        <v>45199</v>
      </c>
      <c r="B1105">
        <v>2023</v>
      </c>
      <c r="C1105">
        <v>9</v>
      </c>
      <c r="D1105" t="s">
        <v>82</v>
      </c>
      <c r="E1105" t="s">
        <v>84</v>
      </c>
      <c r="F1105">
        <v>217</v>
      </c>
      <c r="G1105">
        <v>217</v>
      </c>
      <c r="H1105">
        <v>0</v>
      </c>
      <c r="I1105">
        <v>11</v>
      </c>
      <c r="J1105" s="17">
        <v>0.75874125874125875</v>
      </c>
      <c r="K1105">
        <v>38</v>
      </c>
      <c r="L1105">
        <v>36</v>
      </c>
      <c r="M1105" s="17">
        <v>0.94736842105263153</v>
      </c>
      <c r="N1105" s="25">
        <v>6591.75</v>
      </c>
      <c r="O1105" s="25">
        <v>2115.75</v>
      </c>
      <c r="P1105" s="25">
        <v>6650</v>
      </c>
      <c r="Q1105" s="25">
        <v>15357.5</v>
      </c>
      <c r="R1105" s="18">
        <v>70.771889400921665</v>
      </c>
    </row>
    <row r="1106" spans="1:18" x14ac:dyDescent="0.35">
      <c r="A1106" s="13">
        <v>45206</v>
      </c>
      <c r="B1106">
        <v>2023</v>
      </c>
      <c r="C1106">
        <v>10</v>
      </c>
      <c r="D1106" t="s">
        <v>82</v>
      </c>
      <c r="E1106" t="s">
        <v>84</v>
      </c>
      <c r="F1106">
        <v>222</v>
      </c>
      <c r="G1106">
        <v>222</v>
      </c>
      <c r="H1106">
        <v>0</v>
      </c>
      <c r="I1106">
        <v>12</v>
      </c>
      <c r="J1106" s="17">
        <v>0.71153846153846156</v>
      </c>
      <c r="K1106">
        <v>38</v>
      </c>
      <c r="L1106">
        <v>33</v>
      </c>
      <c r="M1106" s="17">
        <v>0.86842105263157898</v>
      </c>
      <c r="N1106" s="25">
        <v>7191</v>
      </c>
      <c r="O1106" s="25">
        <v>2164.5</v>
      </c>
      <c r="P1106" s="25">
        <v>6650</v>
      </c>
      <c r="Q1106" s="25">
        <v>16005.5</v>
      </c>
      <c r="R1106" s="18">
        <v>72.096846846846844</v>
      </c>
    </row>
    <row r="1107" spans="1:18" x14ac:dyDescent="0.35">
      <c r="A1107" s="13">
        <v>45213</v>
      </c>
      <c r="B1107">
        <v>2023</v>
      </c>
      <c r="C1107">
        <v>10</v>
      </c>
      <c r="D1107" t="s">
        <v>82</v>
      </c>
      <c r="E1107" t="s">
        <v>84</v>
      </c>
      <c r="F1107">
        <v>222</v>
      </c>
      <c r="G1107">
        <v>222</v>
      </c>
      <c r="H1107">
        <v>0</v>
      </c>
      <c r="I1107">
        <v>13</v>
      </c>
      <c r="J1107" s="17">
        <v>0.65680473372781067</v>
      </c>
      <c r="K1107">
        <v>38</v>
      </c>
      <c r="L1107">
        <v>37</v>
      </c>
      <c r="M1107" s="17">
        <v>0.97368421052631582</v>
      </c>
      <c r="N1107" s="25">
        <v>7790.25</v>
      </c>
      <c r="O1107" s="25">
        <v>2164.5</v>
      </c>
      <c r="P1107" s="25">
        <v>6650</v>
      </c>
      <c r="Q1107" s="25">
        <v>16604.75</v>
      </c>
      <c r="R1107" s="18">
        <v>74.796171171171167</v>
      </c>
    </row>
    <row r="1108" spans="1:18" x14ac:dyDescent="0.35">
      <c r="A1108" s="13">
        <v>45220</v>
      </c>
      <c r="B1108">
        <v>2023</v>
      </c>
      <c r="C1108">
        <v>10</v>
      </c>
      <c r="D1108" t="s">
        <v>82</v>
      </c>
      <c r="E1108" t="s">
        <v>84</v>
      </c>
      <c r="F1108">
        <v>237</v>
      </c>
      <c r="G1108">
        <v>237</v>
      </c>
      <c r="H1108">
        <v>0</v>
      </c>
      <c r="I1108">
        <v>12</v>
      </c>
      <c r="J1108" s="17">
        <v>0.75961538461538458</v>
      </c>
      <c r="K1108">
        <v>38</v>
      </c>
      <c r="L1108">
        <v>35</v>
      </c>
      <c r="M1108" s="17">
        <v>0.92105263157894735</v>
      </c>
      <c r="N1108" s="25">
        <v>7191</v>
      </c>
      <c r="O1108" s="25">
        <v>2310.75</v>
      </c>
      <c r="P1108" s="25">
        <v>6650</v>
      </c>
      <c r="Q1108" s="25">
        <v>16151.75</v>
      </c>
      <c r="R1108" s="18">
        <v>68.150843881856545</v>
      </c>
    </row>
    <row r="1109" spans="1:18" x14ac:dyDescent="0.35">
      <c r="A1109" s="13">
        <v>45227</v>
      </c>
      <c r="B1109">
        <v>2023</v>
      </c>
      <c r="C1109">
        <v>10</v>
      </c>
      <c r="D1109" t="s">
        <v>82</v>
      </c>
      <c r="E1109" t="s">
        <v>84</v>
      </c>
      <c r="F1109">
        <v>247</v>
      </c>
      <c r="G1109">
        <v>247</v>
      </c>
      <c r="H1109">
        <v>0</v>
      </c>
      <c r="I1109">
        <v>12</v>
      </c>
      <c r="J1109" s="17">
        <v>0.79166666666666663</v>
      </c>
      <c r="K1109">
        <v>38</v>
      </c>
      <c r="L1109">
        <v>34</v>
      </c>
      <c r="M1109" s="17">
        <v>0.89473684210526316</v>
      </c>
      <c r="N1109" s="25">
        <v>7191</v>
      </c>
      <c r="O1109" s="25">
        <v>2408.25</v>
      </c>
      <c r="P1109" s="25">
        <v>6650</v>
      </c>
      <c r="Q1109" s="25">
        <v>16249.25</v>
      </c>
      <c r="R1109" s="18">
        <v>65.786437246963558</v>
      </c>
    </row>
    <row r="1110" spans="1:18" x14ac:dyDescent="0.35">
      <c r="A1110" s="13">
        <v>45234</v>
      </c>
      <c r="B1110">
        <v>2023</v>
      </c>
      <c r="C1110">
        <v>11</v>
      </c>
      <c r="D1110" t="s">
        <v>82</v>
      </c>
      <c r="E1110" t="s">
        <v>84</v>
      </c>
      <c r="F1110">
        <v>259</v>
      </c>
      <c r="G1110">
        <v>259</v>
      </c>
      <c r="H1110">
        <v>0</v>
      </c>
      <c r="I1110">
        <v>13</v>
      </c>
      <c r="J1110" s="17">
        <v>0.76627218934911245</v>
      </c>
      <c r="K1110">
        <v>38</v>
      </c>
      <c r="L1110">
        <v>37</v>
      </c>
      <c r="M1110" s="17">
        <v>0.97368421052631582</v>
      </c>
      <c r="N1110" s="25">
        <v>7790.25</v>
      </c>
      <c r="O1110" s="25">
        <v>2525.25</v>
      </c>
      <c r="P1110" s="25">
        <v>6650</v>
      </c>
      <c r="Q1110" s="25">
        <v>16965.5</v>
      </c>
      <c r="R1110" s="18">
        <v>65.503861003861005</v>
      </c>
    </row>
    <row r="1111" spans="1:18" x14ac:dyDescent="0.35">
      <c r="A1111" s="13">
        <v>45241</v>
      </c>
      <c r="B1111">
        <v>2023</v>
      </c>
      <c r="C1111">
        <v>11</v>
      </c>
      <c r="D1111" t="s">
        <v>82</v>
      </c>
      <c r="E1111" t="s">
        <v>84</v>
      </c>
      <c r="F1111">
        <v>270</v>
      </c>
      <c r="G1111">
        <v>270</v>
      </c>
      <c r="H1111">
        <v>0</v>
      </c>
      <c r="I1111">
        <v>14</v>
      </c>
      <c r="J1111" s="17">
        <v>0.74175824175824179</v>
      </c>
      <c r="K1111">
        <v>38</v>
      </c>
      <c r="L1111">
        <v>36</v>
      </c>
      <c r="M1111" s="17">
        <v>0.94736842105263153</v>
      </c>
      <c r="N1111" s="25">
        <v>8389.5</v>
      </c>
      <c r="O1111" s="25">
        <v>2632.5</v>
      </c>
      <c r="P1111" s="25">
        <v>6650</v>
      </c>
      <c r="Q1111" s="25">
        <v>17672</v>
      </c>
      <c r="R1111" s="18">
        <v>65.451851851851856</v>
      </c>
    </row>
    <row r="1112" spans="1:18" x14ac:dyDescent="0.35">
      <c r="A1112" s="13">
        <v>45248</v>
      </c>
      <c r="B1112">
        <v>2023</v>
      </c>
      <c r="C1112">
        <v>11</v>
      </c>
      <c r="D1112" t="s">
        <v>82</v>
      </c>
      <c r="E1112" t="s">
        <v>84</v>
      </c>
      <c r="F1112">
        <v>294</v>
      </c>
      <c r="G1112">
        <v>294</v>
      </c>
      <c r="H1112">
        <v>0</v>
      </c>
      <c r="I1112">
        <v>15</v>
      </c>
      <c r="J1112" s="17">
        <v>0.75384615384615383</v>
      </c>
      <c r="K1112">
        <v>38</v>
      </c>
      <c r="L1112">
        <v>35</v>
      </c>
      <c r="M1112" s="17">
        <v>0.92105263157894735</v>
      </c>
      <c r="N1112" s="25">
        <v>8988.75</v>
      </c>
      <c r="O1112" s="25">
        <v>2866.5</v>
      </c>
      <c r="P1112" s="25">
        <v>6650</v>
      </c>
      <c r="Q1112" s="25">
        <v>18505.25</v>
      </c>
      <c r="R1112" s="18">
        <v>62.943027210884352</v>
      </c>
    </row>
    <row r="1113" spans="1:18" x14ac:dyDescent="0.35">
      <c r="A1113" s="13">
        <v>45255</v>
      </c>
      <c r="B1113">
        <v>2023</v>
      </c>
      <c r="C1113">
        <v>11</v>
      </c>
      <c r="D1113" t="s">
        <v>82</v>
      </c>
      <c r="E1113" t="s">
        <v>84</v>
      </c>
      <c r="F1113">
        <v>315</v>
      </c>
      <c r="G1113">
        <v>308</v>
      </c>
      <c r="H1113">
        <v>7</v>
      </c>
      <c r="I1113">
        <v>15</v>
      </c>
      <c r="J1113" s="17">
        <v>0.78974358974358971</v>
      </c>
      <c r="K1113">
        <v>38</v>
      </c>
      <c r="L1113">
        <v>37</v>
      </c>
      <c r="M1113" s="17">
        <v>0.97368421052631582</v>
      </c>
      <c r="N1113" s="25">
        <v>8988.75</v>
      </c>
      <c r="O1113" s="25">
        <v>3003</v>
      </c>
      <c r="P1113" s="25">
        <v>6650</v>
      </c>
      <c r="Q1113" s="25">
        <v>18641.75</v>
      </c>
      <c r="R1113" s="18">
        <v>60.525162337662337</v>
      </c>
    </row>
    <row r="1114" spans="1:18" x14ac:dyDescent="0.35">
      <c r="A1114" s="13">
        <v>45262</v>
      </c>
      <c r="B1114">
        <v>2023</v>
      </c>
      <c r="C1114">
        <v>12</v>
      </c>
      <c r="D1114" t="s">
        <v>82</v>
      </c>
      <c r="E1114" t="s">
        <v>84</v>
      </c>
      <c r="F1114">
        <v>339</v>
      </c>
      <c r="G1114">
        <v>330</v>
      </c>
      <c r="H1114">
        <v>16</v>
      </c>
      <c r="I1114">
        <v>15</v>
      </c>
      <c r="J1114" s="17">
        <v>0.84615384615384615</v>
      </c>
      <c r="K1114">
        <v>38</v>
      </c>
      <c r="L1114">
        <v>32</v>
      </c>
      <c r="M1114" s="17">
        <v>0.84210526315789469</v>
      </c>
      <c r="N1114" s="25">
        <v>8988.75</v>
      </c>
      <c r="O1114" s="25">
        <v>3217.5</v>
      </c>
      <c r="P1114" s="25">
        <v>6650</v>
      </c>
      <c r="Q1114" s="25">
        <v>18856.25</v>
      </c>
      <c r="R1114" s="18">
        <v>57.140151515151523</v>
      </c>
    </row>
    <row r="1115" spans="1:18" x14ac:dyDescent="0.35">
      <c r="A1115" s="13">
        <v>45269</v>
      </c>
      <c r="B1115">
        <v>2023</v>
      </c>
      <c r="C1115">
        <v>12</v>
      </c>
      <c r="D1115" t="s">
        <v>82</v>
      </c>
      <c r="E1115" t="s">
        <v>84</v>
      </c>
      <c r="F1115">
        <v>358</v>
      </c>
      <c r="G1115">
        <v>339</v>
      </c>
      <c r="H1115">
        <v>35</v>
      </c>
      <c r="I1115">
        <v>16</v>
      </c>
      <c r="J1115" s="17">
        <v>0.81490384615384615</v>
      </c>
      <c r="K1115">
        <v>38</v>
      </c>
      <c r="L1115">
        <v>37</v>
      </c>
      <c r="M1115" s="17">
        <v>0.97368421052631582</v>
      </c>
      <c r="N1115" s="25">
        <v>9588</v>
      </c>
      <c r="O1115" s="25">
        <v>3305.25</v>
      </c>
      <c r="P1115" s="25">
        <v>6650</v>
      </c>
      <c r="Q1115" s="25">
        <v>19543.25</v>
      </c>
      <c r="R1115" s="18">
        <v>57.649705014749273</v>
      </c>
    </row>
    <row r="1116" spans="1:18" x14ac:dyDescent="0.35">
      <c r="A1116" s="13">
        <v>45276</v>
      </c>
      <c r="B1116">
        <v>2023</v>
      </c>
      <c r="C1116">
        <v>12</v>
      </c>
      <c r="D1116" t="s">
        <v>82</v>
      </c>
      <c r="E1116" t="s">
        <v>84</v>
      </c>
      <c r="F1116">
        <v>348</v>
      </c>
      <c r="G1116">
        <v>340</v>
      </c>
      <c r="H1116">
        <v>43</v>
      </c>
      <c r="I1116">
        <v>16</v>
      </c>
      <c r="J1116" s="17">
        <v>0.81730769230769229</v>
      </c>
      <c r="K1116">
        <v>38</v>
      </c>
      <c r="L1116">
        <v>36</v>
      </c>
      <c r="M1116" s="17">
        <v>0.94736842105263153</v>
      </c>
      <c r="N1116" s="25">
        <v>9588</v>
      </c>
      <c r="O1116" s="25">
        <v>3315</v>
      </c>
      <c r="P1116" s="25">
        <v>6650</v>
      </c>
      <c r="Q1116" s="25">
        <v>19553</v>
      </c>
      <c r="R1116" s="18">
        <v>57.508823529411757</v>
      </c>
    </row>
    <row r="1117" spans="1:18" x14ac:dyDescent="0.35">
      <c r="A1117" s="13">
        <v>45283</v>
      </c>
      <c r="B1117">
        <v>2023</v>
      </c>
      <c r="C1117">
        <v>12</v>
      </c>
      <c r="D1117" t="s">
        <v>82</v>
      </c>
      <c r="E1117" t="s">
        <v>84</v>
      </c>
      <c r="F1117">
        <v>319</v>
      </c>
      <c r="G1117">
        <v>328</v>
      </c>
      <c r="H1117">
        <v>34</v>
      </c>
      <c r="I1117">
        <v>16</v>
      </c>
      <c r="J1117" s="17">
        <v>0.78846153846153844</v>
      </c>
      <c r="K1117">
        <v>38</v>
      </c>
      <c r="L1117">
        <v>36</v>
      </c>
      <c r="M1117" s="17">
        <v>0.94736842105263153</v>
      </c>
      <c r="N1117" s="25">
        <v>9588</v>
      </c>
      <c r="O1117" s="25">
        <v>3198</v>
      </c>
      <c r="P1117" s="25">
        <v>6650</v>
      </c>
      <c r="Q1117" s="25">
        <v>19436</v>
      </c>
      <c r="R1117" s="18">
        <v>59.256097560975611</v>
      </c>
    </row>
    <row r="1118" spans="1:18" x14ac:dyDescent="0.35">
      <c r="A1118" s="13">
        <v>45290</v>
      </c>
      <c r="B1118">
        <v>2023</v>
      </c>
      <c r="C1118">
        <v>12</v>
      </c>
      <c r="D1118" t="s">
        <v>82</v>
      </c>
      <c r="E1118" t="s">
        <v>84</v>
      </c>
      <c r="F1118">
        <v>258</v>
      </c>
      <c r="G1118">
        <v>287</v>
      </c>
      <c r="H1118">
        <v>5</v>
      </c>
      <c r="I1118">
        <v>15</v>
      </c>
      <c r="J1118" s="17">
        <v>0.73589743589743595</v>
      </c>
      <c r="K1118">
        <v>38</v>
      </c>
      <c r="L1118">
        <v>34</v>
      </c>
      <c r="M1118" s="17">
        <v>0.89473684210526316</v>
      </c>
      <c r="N1118" s="25">
        <v>8988.75</v>
      </c>
      <c r="O1118" s="25">
        <v>2798.25</v>
      </c>
      <c r="P1118" s="25">
        <v>6650</v>
      </c>
      <c r="Q1118" s="25">
        <v>18437</v>
      </c>
      <c r="R1118" s="18">
        <v>64.240418118466906</v>
      </c>
    </row>
    <row r="1119" spans="1:18" x14ac:dyDescent="0.35">
      <c r="A1119" s="13">
        <v>45297</v>
      </c>
      <c r="B1119">
        <v>2024</v>
      </c>
      <c r="C1119">
        <v>1</v>
      </c>
      <c r="D1119" t="s">
        <v>82</v>
      </c>
      <c r="E1119" t="s">
        <v>84</v>
      </c>
      <c r="F1119">
        <v>219</v>
      </c>
      <c r="G1119">
        <v>224</v>
      </c>
      <c r="H1119">
        <v>0</v>
      </c>
      <c r="I1119">
        <v>12</v>
      </c>
      <c r="J1119" s="17">
        <v>0.71794871794871795</v>
      </c>
      <c r="K1119">
        <v>38</v>
      </c>
      <c r="L1119">
        <v>37</v>
      </c>
      <c r="M1119" s="17">
        <v>0.97368421052631582</v>
      </c>
      <c r="N1119" s="25">
        <v>7191</v>
      </c>
      <c r="O1119" s="25">
        <v>2184</v>
      </c>
      <c r="P1119" s="25">
        <v>6650</v>
      </c>
      <c r="Q1119" s="25">
        <v>16025</v>
      </c>
      <c r="R1119" s="18">
        <v>71.540178571428569</v>
      </c>
    </row>
    <row r="1120" spans="1:18" x14ac:dyDescent="0.35">
      <c r="A1120" s="13">
        <v>45304</v>
      </c>
      <c r="B1120">
        <v>2024</v>
      </c>
      <c r="C1120">
        <v>1</v>
      </c>
      <c r="D1120" t="s">
        <v>82</v>
      </c>
      <c r="E1120" t="s">
        <v>84</v>
      </c>
      <c r="F1120">
        <v>178</v>
      </c>
      <c r="G1120">
        <v>178</v>
      </c>
      <c r="H1120">
        <v>0</v>
      </c>
      <c r="I1120">
        <v>10</v>
      </c>
      <c r="J1120" s="17">
        <v>0.68461538461538463</v>
      </c>
      <c r="K1120">
        <v>38</v>
      </c>
      <c r="L1120">
        <v>37</v>
      </c>
      <c r="M1120" s="17">
        <v>0.97368421052631582</v>
      </c>
      <c r="N1120" s="25">
        <v>5992.5</v>
      </c>
      <c r="O1120" s="25">
        <v>1735.5</v>
      </c>
      <c r="P1120" s="25">
        <v>6650</v>
      </c>
      <c r="Q1120" s="25">
        <v>14378</v>
      </c>
      <c r="R1120" s="18">
        <v>80.775280898876403</v>
      </c>
    </row>
    <row r="1121" spans="1:18" x14ac:dyDescent="0.35">
      <c r="A1121" s="13">
        <v>45311</v>
      </c>
      <c r="B1121">
        <v>2024</v>
      </c>
      <c r="C1121">
        <v>1</v>
      </c>
      <c r="D1121" t="s">
        <v>82</v>
      </c>
      <c r="E1121" t="s">
        <v>84</v>
      </c>
      <c r="F1121">
        <v>193</v>
      </c>
      <c r="G1121">
        <v>193</v>
      </c>
      <c r="H1121">
        <v>0</v>
      </c>
      <c r="I1121">
        <v>11</v>
      </c>
      <c r="J1121" s="17">
        <v>0.67482517482517479</v>
      </c>
      <c r="K1121">
        <v>38</v>
      </c>
      <c r="L1121">
        <v>37</v>
      </c>
      <c r="M1121" s="17">
        <v>0.97368421052631582</v>
      </c>
      <c r="N1121" s="25">
        <v>6591.75</v>
      </c>
      <c r="O1121" s="25">
        <v>1881.75</v>
      </c>
      <c r="P1121" s="25">
        <v>6650</v>
      </c>
      <c r="Q1121" s="25">
        <v>15123.5</v>
      </c>
      <c r="R1121" s="18">
        <v>78.360103626943001</v>
      </c>
    </row>
    <row r="1122" spans="1:18" x14ac:dyDescent="0.35">
      <c r="A1122" s="13">
        <v>45318</v>
      </c>
      <c r="B1122">
        <v>2024</v>
      </c>
      <c r="C1122">
        <v>1</v>
      </c>
      <c r="D1122" t="s">
        <v>82</v>
      </c>
      <c r="E1122" t="s">
        <v>84</v>
      </c>
      <c r="F1122">
        <v>205</v>
      </c>
      <c r="G1122">
        <v>205</v>
      </c>
      <c r="H1122">
        <v>0</v>
      </c>
      <c r="I1122">
        <v>10</v>
      </c>
      <c r="J1122" s="17">
        <v>0.78846153846153844</v>
      </c>
      <c r="K1122">
        <v>38</v>
      </c>
      <c r="L1122">
        <v>36</v>
      </c>
      <c r="M1122" s="17">
        <v>0.94736842105263153</v>
      </c>
      <c r="N1122" s="25">
        <v>5992.5</v>
      </c>
      <c r="O1122" s="25">
        <v>1998.75</v>
      </c>
      <c r="P1122" s="25">
        <v>6650</v>
      </c>
      <c r="Q1122" s="25">
        <v>14641.25</v>
      </c>
      <c r="R1122" s="18">
        <v>71.420731707317074</v>
      </c>
    </row>
    <row r="1123" spans="1:18" x14ac:dyDescent="0.35">
      <c r="A1123" s="13">
        <v>45325</v>
      </c>
      <c r="B1123">
        <v>2024</v>
      </c>
      <c r="C1123">
        <v>2</v>
      </c>
      <c r="D1123" t="s">
        <v>82</v>
      </c>
      <c r="E1123" t="s">
        <v>84</v>
      </c>
      <c r="F1123">
        <v>210</v>
      </c>
      <c r="G1123">
        <v>210</v>
      </c>
      <c r="H1123">
        <v>0</v>
      </c>
      <c r="I1123">
        <v>10</v>
      </c>
      <c r="J1123" s="17">
        <v>0.80769230769230771</v>
      </c>
      <c r="K1123">
        <v>38</v>
      </c>
      <c r="L1123">
        <v>36</v>
      </c>
      <c r="M1123" s="17">
        <v>0.94736842105263153</v>
      </c>
      <c r="N1123" s="25">
        <v>5992.5</v>
      </c>
      <c r="O1123" s="25">
        <v>2047.5</v>
      </c>
      <c r="P1123" s="25">
        <v>6650</v>
      </c>
      <c r="Q1123" s="25">
        <v>14690</v>
      </c>
      <c r="R1123" s="18">
        <v>69.952380952380949</v>
      </c>
    </row>
    <row r="1124" spans="1:18" x14ac:dyDescent="0.35">
      <c r="A1124" s="13">
        <v>45332</v>
      </c>
      <c r="B1124">
        <v>2024</v>
      </c>
      <c r="C1124">
        <v>2</v>
      </c>
      <c r="D1124" t="s">
        <v>82</v>
      </c>
      <c r="E1124" t="s">
        <v>84</v>
      </c>
      <c r="F1124">
        <v>219</v>
      </c>
      <c r="G1124">
        <v>219</v>
      </c>
      <c r="H1124">
        <v>0</v>
      </c>
      <c r="I1124">
        <v>11</v>
      </c>
      <c r="J1124" s="17">
        <v>0.76573426573426573</v>
      </c>
      <c r="K1124">
        <v>38</v>
      </c>
      <c r="L1124">
        <v>36</v>
      </c>
      <c r="M1124" s="17">
        <v>0.94736842105263153</v>
      </c>
      <c r="N1124" s="25">
        <v>6591.75</v>
      </c>
      <c r="O1124" s="25">
        <v>2135.25</v>
      </c>
      <c r="P1124" s="25">
        <v>6650</v>
      </c>
      <c r="Q1124" s="25">
        <v>15377</v>
      </c>
      <c r="R1124" s="18">
        <v>70.214611872146122</v>
      </c>
    </row>
    <row r="1125" spans="1:18" x14ac:dyDescent="0.35">
      <c r="A1125" s="13">
        <v>45339</v>
      </c>
      <c r="B1125">
        <v>2024</v>
      </c>
      <c r="C1125">
        <v>2</v>
      </c>
      <c r="D1125" t="s">
        <v>82</v>
      </c>
      <c r="E1125" t="s">
        <v>84</v>
      </c>
      <c r="F1125">
        <v>221</v>
      </c>
      <c r="G1125">
        <v>221</v>
      </c>
      <c r="H1125">
        <v>0</v>
      </c>
      <c r="I1125">
        <v>12</v>
      </c>
      <c r="J1125" s="17">
        <v>0.70833333333333337</v>
      </c>
      <c r="K1125">
        <v>38</v>
      </c>
      <c r="L1125">
        <v>37</v>
      </c>
      <c r="M1125" s="17">
        <v>0.97368421052631582</v>
      </c>
      <c r="N1125" s="25">
        <v>7191</v>
      </c>
      <c r="O1125" s="25">
        <v>2154.75</v>
      </c>
      <c r="P1125" s="25">
        <v>6650</v>
      </c>
      <c r="Q1125" s="25">
        <v>15995.75</v>
      </c>
      <c r="R1125" s="18">
        <v>72.378959276018094</v>
      </c>
    </row>
    <row r="1126" spans="1:18" x14ac:dyDescent="0.35">
      <c r="A1126" s="13">
        <v>45346</v>
      </c>
      <c r="B1126">
        <v>2024</v>
      </c>
      <c r="C1126">
        <v>2</v>
      </c>
      <c r="D1126" t="s">
        <v>82</v>
      </c>
      <c r="E1126" t="s">
        <v>84</v>
      </c>
      <c r="F1126">
        <v>223</v>
      </c>
      <c r="G1126">
        <v>223</v>
      </c>
      <c r="H1126">
        <v>0</v>
      </c>
      <c r="I1126">
        <v>12</v>
      </c>
      <c r="J1126" s="17">
        <v>0.71474358974358976</v>
      </c>
      <c r="K1126">
        <v>38</v>
      </c>
      <c r="L1126">
        <v>36</v>
      </c>
      <c r="M1126" s="17">
        <v>0.94736842105263153</v>
      </c>
      <c r="N1126" s="25">
        <v>7191</v>
      </c>
      <c r="O1126" s="25">
        <v>2174.25</v>
      </c>
      <c r="P1126" s="25">
        <v>6650</v>
      </c>
      <c r="Q1126" s="25">
        <v>16015.25</v>
      </c>
      <c r="R1126" s="18">
        <v>71.817264573991025</v>
      </c>
    </row>
    <row r="1127" spans="1:18" x14ac:dyDescent="0.35">
      <c r="A1127" s="13">
        <v>45353</v>
      </c>
      <c r="B1127">
        <v>2024</v>
      </c>
      <c r="C1127">
        <v>3</v>
      </c>
      <c r="D1127" t="s">
        <v>82</v>
      </c>
      <c r="E1127" t="s">
        <v>84</v>
      </c>
      <c r="F1127">
        <v>231</v>
      </c>
      <c r="G1127">
        <v>231</v>
      </c>
      <c r="H1127">
        <v>0</v>
      </c>
      <c r="I1127">
        <v>11</v>
      </c>
      <c r="J1127" s="17">
        <v>0.80769230769230771</v>
      </c>
      <c r="K1127">
        <v>38</v>
      </c>
      <c r="L1127">
        <v>35</v>
      </c>
      <c r="M1127" s="17">
        <v>0.92105263157894735</v>
      </c>
      <c r="N1127" s="25">
        <v>6591.75</v>
      </c>
      <c r="O1127" s="25">
        <v>2252.25</v>
      </c>
      <c r="P1127" s="25">
        <v>6650</v>
      </c>
      <c r="Q1127" s="25">
        <v>15494</v>
      </c>
      <c r="R1127" s="18">
        <v>67.073593073593074</v>
      </c>
    </row>
    <row r="1128" spans="1:18" x14ac:dyDescent="0.35">
      <c r="A1128" s="13">
        <v>45360</v>
      </c>
      <c r="B1128">
        <v>2024</v>
      </c>
      <c r="C1128">
        <v>3</v>
      </c>
      <c r="D1128" t="s">
        <v>82</v>
      </c>
      <c r="E1128" t="s">
        <v>84</v>
      </c>
      <c r="F1128">
        <v>241</v>
      </c>
      <c r="G1128">
        <v>241</v>
      </c>
      <c r="H1128">
        <v>0</v>
      </c>
      <c r="I1128">
        <v>12</v>
      </c>
      <c r="J1128" s="17">
        <v>0.77243589743589747</v>
      </c>
      <c r="K1128">
        <v>38</v>
      </c>
      <c r="L1128">
        <v>38</v>
      </c>
      <c r="M1128" s="17">
        <v>1</v>
      </c>
      <c r="N1128" s="25">
        <v>7191</v>
      </c>
      <c r="O1128" s="25">
        <v>2349.75</v>
      </c>
      <c r="P1128" s="25">
        <v>6650</v>
      </c>
      <c r="Q1128" s="25">
        <v>16190.75</v>
      </c>
      <c r="R1128" s="18">
        <v>67.181535269709542</v>
      </c>
    </row>
    <row r="1129" spans="1:18" x14ac:dyDescent="0.35">
      <c r="A1129" s="13">
        <v>45367</v>
      </c>
      <c r="B1129">
        <v>2024</v>
      </c>
      <c r="C1129">
        <v>3</v>
      </c>
      <c r="D1129" t="s">
        <v>82</v>
      </c>
      <c r="E1129" t="s">
        <v>84</v>
      </c>
      <c r="F1129">
        <v>231</v>
      </c>
      <c r="G1129">
        <v>231</v>
      </c>
      <c r="H1129">
        <v>0</v>
      </c>
      <c r="I1129">
        <v>11</v>
      </c>
      <c r="J1129" s="17">
        <v>0.80769230769230771</v>
      </c>
      <c r="K1129">
        <v>38</v>
      </c>
      <c r="L1129">
        <v>37</v>
      </c>
      <c r="M1129" s="17">
        <v>0.97368421052631582</v>
      </c>
      <c r="N1129" s="25">
        <v>6591.75</v>
      </c>
      <c r="O1129" s="25">
        <v>2252.25</v>
      </c>
      <c r="P1129" s="25">
        <v>6650</v>
      </c>
      <c r="Q1129" s="25">
        <v>15494</v>
      </c>
      <c r="R1129" s="18">
        <v>67.073593073593074</v>
      </c>
    </row>
    <row r="1130" spans="1:18" x14ac:dyDescent="0.35">
      <c r="A1130" s="13">
        <v>45374</v>
      </c>
      <c r="B1130">
        <v>2024</v>
      </c>
      <c r="C1130">
        <v>3</v>
      </c>
      <c r="D1130" t="s">
        <v>82</v>
      </c>
      <c r="E1130" t="s">
        <v>84</v>
      </c>
      <c r="F1130">
        <v>223</v>
      </c>
      <c r="G1130">
        <v>223</v>
      </c>
      <c r="H1130">
        <v>0</v>
      </c>
      <c r="I1130">
        <v>11</v>
      </c>
      <c r="J1130" s="17">
        <v>0.77972027972027969</v>
      </c>
      <c r="K1130">
        <v>38</v>
      </c>
      <c r="L1130">
        <v>36</v>
      </c>
      <c r="M1130" s="17">
        <v>0.94736842105263153</v>
      </c>
      <c r="N1130" s="25">
        <v>6591.75</v>
      </c>
      <c r="O1130" s="25">
        <v>2174.25</v>
      </c>
      <c r="P1130" s="25">
        <v>6650</v>
      </c>
      <c r="Q1130" s="25">
        <v>15416</v>
      </c>
      <c r="R1130" s="18">
        <v>69.130044843049333</v>
      </c>
    </row>
    <row r="1131" spans="1:18" x14ac:dyDescent="0.35">
      <c r="A1131" s="13">
        <v>45381</v>
      </c>
      <c r="B1131">
        <v>2024</v>
      </c>
      <c r="C1131">
        <v>3</v>
      </c>
      <c r="D1131" t="s">
        <v>82</v>
      </c>
      <c r="E1131" t="s">
        <v>84</v>
      </c>
      <c r="F1131">
        <v>235</v>
      </c>
      <c r="G1131">
        <v>235</v>
      </c>
      <c r="H1131">
        <v>0</v>
      </c>
      <c r="I1131">
        <v>13</v>
      </c>
      <c r="J1131" s="17">
        <v>0.69526627218934911</v>
      </c>
      <c r="K1131">
        <v>38</v>
      </c>
      <c r="L1131">
        <v>36</v>
      </c>
      <c r="M1131" s="17">
        <v>0.94736842105263153</v>
      </c>
      <c r="N1131" s="25">
        <v>7790.25</v>
      </c>
      <c r="O1131" s="25">
        <v>2291.25</v>
      </c>
      <c r="P1131" s="25">
        <v>6650</v>
      </c>
      <c r="Q1131" s="25">
        <v>16731.5</v>
      </c>
      <c r="R1131" s="18">
        <v>71.197872340425533</v>
      </c>
    </row>
    <row r="1132" spans="1:18" x14ac:dyDescent="0.35">
      <c r="A1132" s="13">
        <v>45388</v>
      </c>
      <c r="B1132">
        <v>2024</v>
      </c>
      <c r="C1132">
        <v>4</v>
      </c>
      <c r="D1132" t="s">
        <v>82</v>
      </c>
      <c r="E1132" t="s">
        <v>84</v>
      </c>
      <c r="F1132">
        <v>238</v>
      </c>
      <c r="G1132">
        <v>238</v>
      </c>
      <c r="H1132">
        <v>0</v>
      </c>
      <c r="I1132">
        <v>12</v>
      </c>
      <c r="J1132" s="17">
        <v>0.76282051282051277</v>
      </c>
      <c r="K1132">
        <v>38</v>
      </c>
      <c r="L1132">
        <v>35</v>
      </c>
      <c r="M1132" s="17">
        <v>0.92105263157894735</v>
      </c>
      <c r="N1132" s="25">
        <v>7191</v>
      </c>
      <c r="O1132" s="25">
        <v>2320.5</v>
      </c>
      <c r="P1132" s="25">
        <v>6650</v>
      </c>
      <c r="Q1132" s="25">
        <v>16161.5</v>
      </c>
      <c r="R1132" s="18">
        <v>67.905462184873954</v>
      </c>
    </row>
    <row r="1133" spans="1:18" x14ac:dyDescent="0.35">
      <c r="A1133" s="13">
        <v>45395</v>
      </c>
      <c r="B1133">
        <v>2024</v>
      </c>
      <c r="C1133">
        <v>4</v>
      </c>
      <c r="D1133" t="s">
        <v>82</v>
      </c>
      <c r="E1133" t="s">
        <v>84</v>
      </c>
      <c r="F1133">
        <v>219</v>
      </c>
      <c r="G1133">
        <v>219</v>
      </c>
      <c r="H1133">
        <v>0</v>
      </c>
      <c r="I1133">
        <v>12</v>
      </c>
      <c r="J1133" s="17">
        <v>0.70192307692307687</v>
      </c>
      <c r="K1133">
        <v>38</v>
      </c>
      <c r="L1133">
        <v>38</v>
      </c>
      <c r="M1133" s="17">
        <v>1</v>
      </c>
      <c r="N1133" s="25">
        <v>7191</v>
      </c>
      <c r="O1133" s="25">
        <v>2135.25</v>
      </c>
      <c r="P1133" s="25">
        <v>6650</v>
      </c>
      <c r="Q1133" s="25">
        <v>15976.25</v>
      </c>
      <c r="R1133" s="18">
        <v>72.950913242009136</v>
      </c>
    </row>
    <row r="1134" spans="1:18" x14ac:dyDescent="0.35">
      <c r="A1134" s="13">
        <v>45402</v>
      </c>
      <c r="B1134">
        <v>2024</v>
      </c>
      <c r="C1134">
        <v>4</v>
      </c>
      <c r="D1134" t="s">
        <v>82</v>
      </c>
      <c r="E1134" t="s">
        <v>84</v>
      </c>
      <c r="F1134">
        <v>237</v>
      </c>
      <c r="G1134">
        <v>237</v>
      </c>
      <c r="H1134">
        <v>0</v>
      </c>
      <c r="I1134">
        <v>13</v>
      </c>
      <c r="J1134" s="17">
        <v>0.70118343195266275</v>
      </c>
      <c r="K1134">
        <v>38</v>
      </c>
      <c r="L1134">
        <v>36</v>
      </c>
      <c r="M1134" s="17">
        <v>0.94736842105263153</v>
      </c>
      <c r="N1134" s="25">
        <v>7790.25</v>
      </c>
      <c r="O1134" s="25">
        <v>2310.75</v>
      </c>
      <c r="P1134" s="25">
        <v>6650</v>
      </c>
      <c r="Q1134" s="25">
        <v>16751</v>
      </c>
      <c r="R1134" s="18">
        <v>70.679324894514764</v>
      </c>
    </row>
    <row r="1135" spans="1:18" x14ac:dyDescent="0.35">
      <c r="A1135" s="13">
        <v>45409</v>
      </c>
      <c r="B1135">
        <v>2024</v>
      </c>
      <c r="C1135">
        <v>4</v>
      </c>
      <c r="D1135" t="s">
        <v>82</v>
      </c>
      <c r="E1135" t="s">
        <v>84</v>
      </c>
      <c r="F1135">
        <v>242</v>
      </c>
      <c r="G1135">
        <v>242</v>
      </c>
      <c r="H1135">
        <v>0</v>
      </c>
      <c r="I1135">
        <v>13</v>
      </c>
      <c r="J1135" s="17">
        <v>0.71597633136094674</v>
      </c>
      <c r="K1135">
        <v>38</v>
      </c>
      <c r="L1135">
        <v>37</v>
      </c>
      <c r="M1135" s="17">
        <v>0.97368421052631582</v>
      </c>
      <c r="N1135" s="25">
        <v>7790.25</v>
      </c>
      <c r="O1135" s="25">
        <v>2359.5</v>
      </c>
      <c r="P1135" s="25">
        <v>6650</v>
      </c>
      <c r="Q1135" s="25">
        <v>16799.75</v>
      </c>
      <c r="R1135" s="18">
        <v>69.420454545454547</v>
      </c>
    </row>
    <row r="1136" spans="1:18" x14ac:dyDescent="0.35">
      <c r="A1136" s="13">
        <v>45416</v>
      </c>
      <c r="B1136">
        <v>2024</v>
      </c>
      <c r="C1136">
        <v>5</v>
      </c>
      <c r="D1136" t="s">
        <v>82</v>
      </c>
      <c r="E1136" t="s">
        <v>84</v>
      </c>
      <c r="F1136">
        <v>251</v>
      </c>
      <c r="G1136">
        <v>251</v>
      </c>
      <c r="H1136">
        <v>0</v>
      </c>
      <c r="I1136">
        <v>13</v>
      </c>
      <c r="J1136" s="17">
        <v>0.74260355029585801</v>
      </c>
      <c r="K1136">
        <v>38</v>
      </c>
      <c r="L1136">
        <v>33</v>
      </c>
      <c r="M1136" s="17">
        <v>0.86842105263157898</v>
      </c>
      <c r="N1136" s="25">
        <v>7790.25</v>
      </c>
      <c r="O1136" s="25">
        <v>2447.25</v>
      </c>
      <c r="P1136" s="25">
        <v>6650</v>
      </c>
      <c r="Q1136" s="25">
        <v>16887.5</v>
      </c>
      <c r="R1136" s="18">
        <v>67.2808764940239</v>
      </c>
    </row>
    <row r="1137" spans="1:18" x14ac:dyDescent="0.35">
      <c r="A1137" s="13">
        <v>45423</v>
      </c>
      <c r="B1137">
        <v>2024</v>
      </c>
      <c r="C1137">
        <v>5</v>
      </c>
      <c r="D1137" t="s">
        <v>82</v>
      </c>
      <c r="E1137" t="s">
        <v>84</v>
      </c>
      <c r="F1137">
        <v>250</v>
      </c>
      <c r="G1137">
        <v>250</v>
      </c>
      <c r="H1137">
        <v>0</v>
      </c>
      <c r="I1137">
        <v>13</v>
      </c>
      <c r="J1137" s="17">
        <v>0.73964497041420119</v>
      </c>
      <c r="K1137">
        <v>38</v>
      </c>
      <c r="L1137">
        <v>38</v>
      </c>
      <c r="M1137" s="17">
        <v>1</v>
      </c>
      <c r="N1137" s="25">
        <v>7790.25</v>
      </c>
      <c r="O1137" s="25">
        <v>2437.5</v>
      </c>
      <c r="P1137" s="25">
        <v>6650</v>
      </c>
      <c r="Q1137" s="25">
        <v>16877.75</v>
      </c>
      <c r="R1137" s="18">
        <v>67.510999999999996</v>
      </c>
    </row>
    <row r="1138" spans="1:18" x14ac:dyDescent="0.35">
      <c r="A1138" s="13">
        <v>45430</v>
      </c>
      <c r="B1138">
        <v>2024</v>
      </c>
      <c r="C1138">
        <v>5</v>
      </c>
      <c r="D1138" t="s">
        <v>82</v>
      </c>
      <c r="E1138" t="s">
        <v>84</v>
      </c>
      <c r="F1138">
        <v>264</v>
      </c>
      <c r="G1138">
        <v>264</v>
      </c>
      <c r="H1138">
        <v>0</v>
      </c>
      <c r="I1138">
        <v>14</v>
      </c>
      <c r="J1138" s="17">
        <v>0.72527472527472525</v>
      </c>
      <c r="K1138">
        <v>38</v>
      </c>
      <c r="L1138">
        <v>36</v>
      </c>
      <c r="M1138" s="17">
        <v>0.94736842105263153</v>
      </c>
      <c r="N1138" s="25">
        <v>8389.5</v>
      </c>
      <c r="O1138" s="25">
        <v>2574</v>
      </c>
      <c r="P1138" s="25">
        <v>6650</v>
      </c>
      <c r="Q1138" s="25">
        <v>17613.5</v>
      </c>
      <c r="R1138" s="18">
        <v>66.717803030303031</v>
      </c>
    </row>
    <row r="1139" spans="1:18" x14ac:dyDescent="0.35">
      <c r="A1139" s="13">
        <v>45437</v>
      </c>
      <c r="B1139">
        <v>2024</v>
      </c>
      <c r="C1139">
        <v>5</v>
      </c>
      <c r="D1139" t="s">
        <v>82</v>
      </c>
      <c r="E1139" t="s">
        <v>84</v>
      </c>
      <c r="F1139">
        <v>250</v>
      </c>
      <c r="G1139">
        <v>250</v>
      </c>
      <c r="H1139">
        <v>0</v>
      </c>
      <c r="I1139">
        <v>13</v>
      </c>
      <c r="J1139" s="17">
        <v>0.73964497041420119</v>
      </c>
      <c r="K1139">
        <v>38</v>
      </c>
      <c r="L1139">
        <v>37</v>
      </c>
      <c r="M1139" s="17">
        <v>0.97368421052631582</v>
      </c>
      <c r="N1139" s="25">
        <v>7790.25</v>
      </c>
      <c r="O1139" s="25">
        <v>2437.5</v>
      </c>
      <c r="P1139" s="25">
        <v>6650</v>
      </c>
      <c r="Q1139" s="25">
        <v>16877.75</v>
      </c>
      <c r="R1139" s="18">
        <v>67.510999999999996</v>
      </c>
    </row>
    <row r="1140" spans="1:18" x14ac:dyDescent="0.35">
      <c r="A1140" s="13">
        <v>45444</v>
      </c>
      <c r="B1140">
        <v>2024</v>
      </c>
      <c r="C1140">
        <v>6</v>
      </c>
      <c r="D1140" t="s">
        <v>82</v>
      </c>
      <c r="E1140" t="s">
        <v>84</v>
      </c>
      <c r="F1140">
        <v>253</v>
      </c>
      <c r="G1140">
        <v>253</v>
      </c>
      <c r="H1140">
        <v>0</v>
      </c>
      <c r="I1140">
        <v>13</v>
      </c>
      <c r="J1140" s="17">
        <v>0.74852071005917165</v>
      </c>
      <c r="K1140">
        <v>38</v>
      </c>
      <c r="L1140">
        <v>36</v>
      </c>
      <c r="M1140" s="17">
        <v>0.94736842105263153</v>
      </c>
      <c r="N1140" s="25">
        <v>7790.25</v>
      </c>
      <c r="O1140" s="25">
        <v>2466.75</v>
      </c>
      <c r="P1140" s="25">
        <v>6650</v>
      </c>
      <c r="Q1140" s="25">
        <v>16907</v>
      </c>
      <c r="R1140" s="18">
        <v>66.826086956521735</v>
      </c>
    </row>
    <row r="1141" spans="1:18" x14ac:dyDescent="0.35">
      <c r="A1141" s="13">
        <v>45451</v>
      </c>
      <c r="B1141">
        <v>2024</v>
      </c>
      <c r="C1141">
        <v>6</v>
      </c>
      <c r="D1141" t="s">
        <v>82</v>
      </c>
      <c r="E1141" t="s">
        <v>84</v>
      </c>
      <c r="F1141">
        <v>246</v>
      </c>
      <c r="G1141">
        <v>246</v>
      </c>
      <c r="H1141">
        <v>0</v>
      </c>
      <c r="I1141">
        <v>13</v>
      </c>
      <c r="J1141" s="17">
        <v>0.72781065088757402</v>
      </c>
      <c r="K1141">
        <v>38</v>
      </c>
      <c r="L1141">
        <v>36</v>
      </c>
      <c r="M1141" s="17">
        <v>0.94736842105263153</v>
      </c>
      <c r="N1141" s="25">
        <v>7790.25</v>
      </c>
      <c r="O1141" s="25">
        <v>2398.5</v>
      </c>
      <c r="P1141" s="25">
        <v>6650</v>
      </c>
      <c r="Q1141" s="25">
        <v>16838.75</v>
      </c>
      <c r="R1141" s="18">
        <v>68.450203252032523</v>
      </c>
    </row>
    <row r="1142" spans="1:18" x14ac:dyDescent="0.35">
      <c r="A1142" s="13">
        <v>45458</v>
      </c>
      <c r="B1142">
        <v>2024</v>
      </c>
      <c r="C1142">
        <v>6</v>
      </c>
      <c r="D1142" t="s">
        <v>82</v>
      </c>
      <c r="E1142" t="s">
        <v>84</v>
      </c>
      <c r="F1142">
        <v>242</v>
      </c>
      <c r="G1142">
        <v>242</v>
      </c>
      <c r="H1142">
        <v>0</v>
      </c>
      <c r="I1142">
        <v>12</v>
      </c>
      <c r="J1142" s="17">
        <v>0.77564102564102566</v>
      </c>
      <c r="K1142">
        <v>38</v>
      </c>
      <c r="L1142">
        <v>36</v>
      </c>
      <c r="M1142" s="17">
        <v>0.94736842105263153</v>
      </c>
      <c r="N1142" s="25">
        <v>7191</v>
      </c>
      <c r="O1142" s="25">
        <v>2359.5</v>
      </c>
      <c r="P1142" s="25">
        <v>6650</v>
      </c>
      <c r="Q1142" s="25">
        <v>16200.5</v>
      </c>
      <c r="R1142" s="18">
        <v>66.944214876033058</v>
      </c>
    </row>
    <row r="1143" spans="1:18" x14ac:dyDescent="0.35">
      <c r="A1143" s="13">
        <v>45465</v>
      </c>
      <c r="B1143">
        <v>2024</v>
      </c>
      <c r="C1143">
        <v>6</v>
      </c>
      <c r="D1143" t="s">
        <v>82</v>
      </c>
      <c r="E1143" t="s">
        <v>84</v>
      </c>
      <c r="F1143">
        <v>241</v>
      </c>
      <c r="G1143">
        <v>241</v>
      </c>
      <c r="H1143">
        <v>0</v>
      </c>
      <c r="I1143">
        <v>13</v>
      </c>
      <c r="J1143" s="17">
        <v>0.71301775147928992</v>
      </c>
      <c r="K1143">
        <v>38</v>
      </c>
      <c r="L1143">
        <v>36</v>
      </c>
      <c r="M1143" s="17">
        <v>0.94736842105263153</v>
      </c>
      <c r="N1143" s="25">
        <v>7790.25</v>
      </c>
      <c r="O1143" s="25">
        <v>2349.75</v>
      </c>
      <c r="P1143" s="25">
        <v>6650</v>
      </c>
      <c r="Q1143" s="25">
        <v>16790</v>
      </c>
      <c r="R1143" s="18">
        <v>69.668049792531122</v>
      </c>
    </row>
    <row r="1144" spans="1:18" x14ac:dyDescent="0.35">
      <c r="A1144" s="13">
        <v>45472</v>
      </c>
      <c r="B1144">
        <v>2024</v>
      </c>
      <c r="C1144">
        <v>6</v>
      </c>
      <c r="D1144" t="s">
        <v>82</v>
      </c>
      <c r="E1144" t="s">
        <v>84</v>
      </c>
      <c r="F1144">
        <v>243</v>
      </c>
      <c r="G1144">
        <v>243</v>
      </c>
      <c r="H1144">
        <v>0</v>
      </c>
      <c r="I1144">
        <v>13</v>
      </c>
      <c r="J1144" s="17">
        <v>0.71893491124260356</v>
      </c>
      <c r="K1144">
        <v>38</v>
      </c>
      <c r="L1144">
        <v>37</v>
      </c>
      <c r="M1144" s="17">
        <v>0.97368421052631582</v>
      </c>
      <c r="N1144" s="25">
        <v>7790.25</v>
      </c>
      <c r="O1144" s="25">
        <v>2369.25</v>
      </c>
      <c r="P1144" s="25">
        <v>6650</v>
      </c>
      <c r="Q1144" s="25">
        <v>16809.5</v>
      </c>
      <c r="R1144" s="18">
        <v>69.174897119341566</v>
      </c>
    </row>
    <row r="1145" spans="1:18" x14ac:dyDescent="0.35">
      <c r="A1145" s="13">
        <v>45479</v>
      </c>
      <c r="B1145">
        <v>2024</v>
      </c>
      <c r="C1145">
        <v>7</v>
      </c>
      <c r="D1145" t="s">
        <v>82</v>
      </c>
      <c r="E1145" t="s">
        <v>84</v>
      </c>
      <c r="F1145">
        <v>244</v>
      </c>
      <c r="G1145">
        <v>244</v>
      </c>
      <c r="H1145">
        <v>0</v>
      </c>
      <c r="I1145">
        <v>13</v>
      </c>
      <c r="J1145" s="17">
        <v>0.72189349112426038</v>
      </c>
      <c r="K1145">
        <v>38</v>
      </c>
      <c r="L1145">
        <v>36</v>
      </c>
      <c r="M1145" s="17">
        <v>0.94736842105263153</v>
      </c>
      <c r="N1145" s="25">
        <v>7790.25</v>
      </c>
      <c r="O1145" s="25">
        <v>2379</v>
      </c>
      <c r="P1145" s="25">
        <v>6650</v>
      </c>
      <c r="Q1145" s="25">
        <v>16819.25</v>
      </c>
      <c r="R1145" s="18">
        <v>68.931352459016395</v>
      </c>
    </row>
    <row r="1146" spans="1:18" x14ac:dyDescent="0.35">
      <c r="A1146" s="13">
        <v>45486</v>
      </c>
      <c r="B1146">
        <v>2024</v>
      </c>
      <c r="C1146">
        <v>7</v>
      </c>
      <c r="D1146" t="s">
        <v>82</v>
      </c>
      <c r="E1146" t="s">
        <v>84</v>
      </c>
      <c r="F1146">
        <v>238</v>
      </c>
      <c r="G1146">
        <v>238</v>
      </c>
      <c r="H1146">
        <v>0</v>
      </c>
      <c r="I1146">
        <v>12</v>
      </c>
      <c r="J1146" s="17">
        <v>0.76282051282051277</v>
      </c>
      <c r="K1146">
        <v>38</v>
      </c>
      <c r="L1146">
        <v>38</v>
      </c>
      <c r="M1146" s="17">
        <v>1</v>
      </c>
      <c r="N1146" s="25">
        <v>7191</v>
      </c>
      <c r="O1146" s="25">
        <v>2320.5</v>
      </c>
      <c r="P1146" s="25">
        <v>6650</v>
      </c>
      <c r="Q1146" s="25">
        <v>16161.5</v>
      </c>
      <c r="R1146" s="18">
        <v>67.905462184873954</v>
      </c>
    </row>
    <row r="1147" spans="1:18" x14ac:dyDescent="0.35">
      <c r="A1147" s="13">
        <v>45493</v>
      </c>
      <c r="B1147">
        <v>2024</v>
      </c>
      <c r="C1147">
        <v>7</v>
      </c>
      <c r="D1147" t="s">
        <v>82</v>
      </c>
      <c r="E1147" t="s">
        <v>84</v>
      </c>
      <c r="F1147">
        <v>244</v>
      </c>
      <c r="G1147">
        <v>244</v>
      </c>
      <c r="H1147">
        <v>0</v>
      </c>
      <c r="I1147">
        <v>13</v>
      </c>
      <c r="J1147" s="17">
        <v>0.72189349112426038</v>
      </c>
      <c r="K1147">
        <v>38</v>
      </c>
      <c r="L1147">
        <v>35</v>
      </c>
      <c r="M1147" s="17">
        <v>0.92105263157894735</v>
      </c>
      <c r="N1147" s="25">
        <v>7790.25</v>
      </c>
      <c r="O1147" s="25">
        <v>2379</v>
      </c>
      <c r="P1147" s="25">
        <v>6650</v>
      </c>
      <c r="Q1147" s="25">
        <v>16819.25</v>
      </c>
      <c r="R1147" s="18">
        <v>68.931352459016395</v>
      </c>
    </row>
    <row r="1148" spans="1:18" x14ac:dyDescent="0.35">
      <c r="A1148" s="13">
        <v>45500</v>
      </c>
      <c r="B1148">
        <v>2024</v>
      </c>
      <c r="C1148">
        <v>7</v>
      </c>
      <c r="D1148" t="s">
        <v>82</v>
      </c>
      <c r="E1148" t="s">
        <v>84</v>
      </c>
      <c r="F1148">
        <v>241</v>
      </c>
      <c r="G1148">
        <v>241</v>
      </c>
      <c r="H1148">
        <v>0</v>
      </c>
      <c r="I1148">
        <v>13</v>
      </c>
      <c r="J1148" s="17">
        <v>0.71301775147928992</v>
      </c>
      <c r="K1148">
        <v>38</v>
      </c>
      <c r="L1148">
        <v>36</v>
      </c>
      <c r="M1148" s="17">
        <v>0.94736842105263153</v>
      </c>
      <c r="N1148" s="25">
        <v>7790.25</v>
      </c>
      <c r="O1148" s="25">
        <v>2349.75</v>
      </c>
      <c r="P1148" s="25">
        <v>6650</v>
      </c>
      <c r="Q1148" s="25">
        <v>16790</v>
      </c>
      <c r="R1148" s="18">
        <v>69.668049792531122</v>
      </c>
    </row>
    <row r="1149" spans="1:18" x14ac:dyDescent="0.35">
      <c r="A1149" s="13">
        <v>45507</v>
      </c>
      <c r="B1149">
        <v>2024</v>
      </c>
      <c r="C1149">
        <v>8</v>
      </c>
      <c r="D1149" t="s">
        <v>82</v>
      </c>
      <c r="E1149" t="s">
        <v>84</v>
      </c>
      <c r="F1149">
        <v>238</v>
      </c>
      <c r="G1149">
        <v>238</v>
      </c>
      <c r="H1149">
        <v>0</v>
      </c>
      <c r="I1149">
        <v>13</v>
      </c>
      <c r="J1149" s="17">
        <v>0.70414201183431957</v>
      </c>
      <c r="K1149">
        <v>38</v>
      </c>
      <c r="L1149">
        <v>36</v>
      </c>
      <c r="M1149" s="17">
        <v>0.94736842105263153</v>
      </c>
      <c r="N1149" s="25">
        <v>7790.25</v>
      </c>
      <c r="O1149" s="25">
        <v>2320.5</v>
      </c>
      <c r="P1149" s="25">
        <v>6650</v>
      </c>
      <c r="Q1149" s="25">
        <v>16760.75</v>
      </c>
      <c r="R1149" s="18">
        <v>70.423319327731093</v>
      </c>
    </row>
    <row r="1150" spans="1:18" x14ac:dyDescent="0.35">
      <c r="A1150" s="13">
        <v>45514</v>
      </c>
      <c r="B1150">
        <v>2024</v>
      </c>
      <c r="C1150">
        <v>8</v>
      </c>
      <c r="D1150" t="s">
        <v>82</v>
      </c>
      <c r="E1150" t="s">
        <v>84</v>
      </c>
      <c r="F1150">
        <v>246</v>
      </c>
      <c r="G1150">
        <v>246</v>
      </c>
      <c r="H1150">
        <v>0</v>
      </c>
      <c r="I1150">
        <v>12</v>
      </c>
      <c r="J1150" s="17">
        <v>0.78846153846153844</v>
      </c>
      <c r="K1150">
        <v>38</v>
      </c>
      <c r="L1150">
        <v>35</v>
      </c>
      <c r="M1150" s="17">
        <v>0.92105263157894735</v>
      </c>
      <c r="N1150" s="25">
        <v>7191</v>
      </c>
      <c r="O1150" s="25">
        <v>2398.5</v>
      </c>
      <c r="P1150" s="25">
        <v>6650</v>
      </c>
      <c r="Q1150" s="25">
        <v>16239.5</v>
      </c>
      <c r="R1150" s="18">
        <v>66.014227642276424</v>
      </c>
    </row>
    <row r="1151" spans="1:18" x14ac:dyDescent="0.35">
      <c r="A1151" s="13">
        <v>45521</v>
      </c>
      <c r="B1151">
        <v>2024</v>
      </c>
      <c r="C1151">
        <v>8</v>
      </c>
      <c r="D1151" t="s">
        <v>82</v>
      </c>
      <c r="E1151" t="s">
        <v>84</v>
      </c>
      <c r="F1151">
        <v>255</v>
      </c>
      <c r="G1151">
        <v>255</v>
      </c>
      <c r="H1151">
        <v>0</v>
      </c>
      <c r="I1151">
        <v>13</v>
      </c>
      <c r="J1151" s="17">
        <v>0.75443786982248517</v>
      </c>
      <c r="K1151">
        <v>38</v>
      </c>
      <c r="L1151">
        <v>35</v>
      </c>
      <c r="M1151" s="17">
        <v>0.92105263157894735</v>
      </c>
      <c r="N1151" s="25">
        <v>7790.25</v>
      </c>
      <c r="O1151" s="25">
        <v>2486.25</v>
      </c>
      <c r="P1151" s="25">
        <v>6650</v>
      </c>
      <c r="Q1151" s="25">
        <v>16926.5</v>
      </c>
      <c r="R1151" s="18">
        <v>66.378431372549016</v>
      </c>
    </row>
    <row r="1152" spans="1:18" x14ac:dyDescent="0.35">
      <c r="A1152" s="13">
        <v>45528</v>
      </c>
      <c r="B1152">
        <v>2024</v>
      </c>
      <c r="C1152">
        <v>8</v>
      </c>
      <c r="D1152" t="s">
        <v>82</v>
      </c>
      <c r="E1152" t="s">
        <v>84</v>
      </c>
      <c r="F1152">
        <v>236</v>
      </c>
      <c r="G1152">
        <v>236</v>
      </c>
      <c r="H1152">
        <v>0</v>
      </c>
      <c r="I1152">
        <v>13</v>
      </c>
      <c r="J1152" s="17">
        <v>0.69822485207100593</v>
      </c>
      <c r="K1152">
        <v>38</v>
      </c>
      <c r="L1152">
        <v>37</v>
      </c>
      <c r="M1152" s="17">
        <v>0.97368421052631582</v>
      </c>
      <c r="N1152" s="25">
        <v>7790.25</v>
      </c>
      <c r="O1152" s="25">
        <v>2301</v>
      </c>
      <c r="P1152" s="25">
        <v>6650</v>
      </c>
      <c r="Q1152" s="25">
        <v>16741.25</v>
      </c>
      <c r="R1152" s="18">
        <v>70.9375</v>
      </c>
    </row>
    <row r="1153" spans="1:18" x14ac:dyDescent="0.35">
      <c r="A1153" s="13">
        <v>45535</v>
      </c>
      <c r="B1153">
        <v>2024</v>
      </c>
      <c r="C1153">
        <v>8</v>
      </c>
      <c r="D1153" t="s">
        <v>82</v>
      </c>
      <c r="E1153" t="s">
        <v>84</v>
      </c>
      <c r="F1153">
        <v>232</v>
      </c>
      <c r="G1153">
        <v>232</v>
      </c>
      <c r="H1153">
        <v>0</v>
      </c>
      <c r="I1153">
        <v>13</v>
      </c>
      <c r="J1153" s="17">
        <v>0.68639053254437865</v>
      </c>
      <c r="K1153">
        <v>38</v>
      </c>
      <c r="L1153">
        <v>38</v>
      </c>
      <c r="M1153" s="17">
        <v>1</v>
      </c>
      <c r="N1153" s="25">
        <v>7790.25</v>
      </c>
      <c r="O1153" s="25">
        <v>2262</v>
      </c>
      <c r="P1153" s="25">
        <v>6650</v>
      </c>
      <c r="Q1153" s="25">
        <v>16702.25</v>
      </c>
      <c r="R1153" s="18">
        <v>71.99245689655173</v>
      </c>
    </row>
    <row r="1154" spans="1:18" x14ac:dyDescent="0.35">
      <c r="A1154" s="13">
        <v>45542</v>
      </c>
      <c r="B1154">
        <v>2024</v>
      </c>
      <c r="C1154">
        <v>9</v>
      </c>
      <c r="D1154" t="s">
        <v>82</v>
      </c>
      <c r="E1154" t="s">
        <v>84</v>
      </c>
      <c r="F1154">
        <v>222</v>
      </c>
      <c r="G1154">
        <v>222</v>
      </c>
      <c r="H1154">
        <v>0</v>
      </c>
      <c r="I1154">
        <v>12</v>
      </c>
      <c r="J1154" s="17">
        <v>0.71153846153846156</v>
      </c>
      <c r="K1154">
        <v>38</v>
      </c>
      <c r="L1154">
        <v>35</v>
      </c>
      <c r="M1154" s="17">
        <v>0.92105263157894735</v>
      </c>
      <c r="N1154" s="25">
        <v>7191</v>
      </c>
      <c r="O1154" s="25">
        <v>2164.5</v>
      </c>
      <c r="P1154" s="25">
        <v>6650</v>
      </c>
      <c r="Q1154" s="25">
        <v>16005.5</v>
      </c>
      <c r="R1154" s="18">
        <v>72.096846846846844</v>
      </c>
    </row>
    <row r="1155" spans="1:18" x14ac:dyDescent="0.35">
      <c r="A1155" s="13">
        <v>45549</v>
      </c>
      <c r="B1155">
        <v>2024</v>
      </c>
      <c r="C1155">
        <v>9</v>
      </c>
      <c r="D1155" t="s">
        <v>82</v>
      </c>
      <c r="E1155" t="s">
        <v>84</v>
      </c>
      <c r="F1155">
        <v>220</v>
      </c>
      <c r="G1155">
        <v>220</v>
      </c>
      <c r="H1155">
        <v>0</v>
      </c>
      <c r="I1155">
        <v>12</v>
      </c>
      <c r="J1155" s="17">
        <v>0.70512820512820518</v>
      </c>
      <c r="K1155">
        <v>38</v>
      </c>
      <c r="L1155">
        <v>38</v>
      </c>
      <c r="M1155" s="17">
        <v>1</v>
      </c>
      <c r="N1155" s="25">
        <v>7191</v>
      </c>
      <c r="O1155" s="25">
        <v>2145</v>
      </c>
      <c r="P1155" s="25">
        <v>6650</v>
      </c>
      <c r="Q1155" s="25">
        <v>15986</v>
      </c>
      <c r="R1155" s="18">
        <v>72.663636363636357</v>
      </c>
    </row>
    <row r="1156" spans="1:18" x14ac:dyDescent="0.35">
      <c r="A1156" s="13">
        <v>45556</v>
      </c>
      <c r="B1156">
        <v>2024</v>
      </c>
      <c r="C1156">
        <v>9</v>
      </c>
      <c r="D1156" t="s">
        <v>82</v>
      </c>
      <c r="E1156" t="s">
        <v>84</v>
      </c>
      <c r="F1156">
        <v>226</v>
      </c>
      <c r="G1156">
        <v>226</v>
      </c>
      <c r="H1156">
        <v>0</v>
      </c>
      <c r="I1156">
        <v>12</v>
      </c>
      <c r="J1156" s="17">
        <v>0.72435897435897434</v>
      </c>
      <c r="K1156">
        <v>38</v>
      </c>
      <c r="L1156">
        <v>36</v>
      </c>
      <c r="M1156" s="17">
        <v>0.94736842105263153</v>
      </c>
      <c r="N1156" s="25">
        <v>7191</v>
      </c>
      <c r="O1156" s="25">
        <v>2203.5</v>
      </c>
      <c r="P1156" s="25">
        <v>6650</v>
      </c>
      <c r="Q1156" s="25">
        <v>16044.5</v>
      </c>
      <c r="R1156" s="18">
        <v>70.993362831858406</v>
      </c>
    </row>
    <row r="1157" spans="1:18" x14ac:dyDescent="0.35">
      <c r="A1157" s="13">
        <v>45563</v>
      </c>
      <c r="B1157">
        <v>2024</v>
      </c>
      <c r="C1157">
        <v>9</v>
      </c>
      <c r="D1157" t="s">
        <v>82</v>
      </c>
      <c r="E1157" t="s">
        <v>84</v>
      </c>
      <c r="F1157">
        <v>235</v>
      </c>
      <c r="G1157">
        <v>235</v>
      </c>
      <c r="H1157">
        <v>0</v>
      </c>
      <c r="I1157">
        <v>12</v>
      </c>
      <c r="J1157" s="17">
        <v>0.75320512820512819</v>
      </c>
      <c r="K1157">
        <v>38</v>
      </c>
      <c r="L1157">
        <v>36</v>
      </c>
      <c r="M1157" s="17">
        <v>0.94736842105263153</v>
      </c>
      <c r="N1157" s="25">
        <v>7191</v>
      </c>
      <c r="O1157" s="25">
        <v>2291.25</v>
      </c>
      <c r="P1157" s="25">
        <v>6650</v>
      </c>
      <c r="Q1157" s="25">
        <v>16132.25</v>
      </c>
      <c r="R1157" s="18">
        <v>68.647872340425536</v>
      </c>
    </row>
    <row r="1158" spans="1:18" x14ac:dyDescent="0.35">
      <c r="A1158" s="13">
        <v>45570</v>
      </c>
      <c r="B1158">
        <v>2024</v>
      </c>
      <c r="C1158">
        <v>10</v>
      </c>
      <c r="D1158" t="s">
        <v>82</v>
      </c>
      <c r="E1158" t="s">
        <v>84</v>
      </c>
      <c r="F1158">
        <v>230</v>
      </c>
      <c r="G1158">
        <v>230</v>
      </c>
      <c r="H1158">
        <v>0</v>
      </c>
      <c r="I1158">
        <v>12</v>
      </c>
      <c r="J1158" s="17">
        <v>0.73717948717948723</v>
      </c>
      <c r="K1158">
        <v>38</v>
      </c>
      <c r="L1158">
        <v>38</v>
      </c>
      <c r="M1158" s="17">
        <v>1</v>
      </c>
      <c r="N1158" s="25">
        <v>7191</v>
      </c>
      <c r="O1158" s="25">
        <v>2242.5</v>
      </c>
      <c r="P1158" s="25">
        <v>6650</v>
      </c>
      <c r="Q1158" s="25">
        <v>16083.5</v>
      </c>
      <c r="R1158" s="18">
        <v>69.928260869565221</v>
      </c>
    </row>
    <row r="1159" spans="1:18" x14ac:dyDescent="0.35">
      <c r="A1159" s="13">
        <v>45577</v>
      </c>
      <c r="B1159">
        <v>2024</v>
      </c>
      <c r="C1159">
        <v>10</v>
      </c>
      <c r="D1159" t="s">
        <v>82</v>
      </c>
      <c r="E1159" t="s">
        <v>84</v>
      </c>
      <c r="F1159">
        <v>241</v>
      </c>
      <c r="G1159">
        <v>241</v>
      </c>
      <c r="H1159">
        <v>0</v>
      </c>
      <c r="I1159">
        <v>13</v>
      </c>
      <c r="J1159" s="17">
        <v>0.71301775147928992</v>
      </c>
      <c r="K1159">
        <v>38</v>
      </c>
      <c r="L1159">
        <v>34</v>
      </c>
      <c r="M1159" s="17">
        <v>0.89473684210526316</v>
      </c>
      <c r="N1159" s="25">
        <v>7790.25</v>
      </c>
      <c r="O1159" s="25">
        <v>2349.75</v>
      </c>
      <c r="P1159" s="25">
        <v>6650</v>
      </c>
      <c r="Q1159" s="25">
        <v>16790</v>
      </c>
      <c r="R1159" s="18">
        <v>69.668049792531122</v>
      </c>
    </row>
    <row r="1160" spans="1:18" x14ac:dyDescent="0.35">
      <c r="A1160" s="13">
        <v>45584</v>
      </c>
      <c r="B1160">
        <v>2024</v>
      </c>
      <c r="C1160">
        <v>10</v>
      </c>
      <c r="D1160" t="s">
        <v>82</v>
      </c>
      <c r="E1160" t="s">
        <v>84</v>
      </c>
      <c r="F1160">
        <v>245</v>
      </c>
      <c r="G1160">
        <v>245</v>
      </c>
      <c r="H1160">
        <v>0</v>
      </c>
      <c r="I1160">
        <v>13</v>
      </c>
      <c r="J1160" s="17">
        <v>0.7248520710059172</v>
      </c>
      <c r="K1160">
        <v>38</v>
      </c>
      <c r="L1160">
        <v>36</v>
      </c>
      <c r="M1160" s="17">
        <v>0.94736842105263153</v>
      </c>
      <c r="N1160" s="25">
        <v>7790.25</v>
      </c>
      <c r="O1160" s="25">
        <v>2388.75</v>
      </c>
      <c r="P1160" s="25">
        <v>6650</v>
      </c>
      <c r="Q1160" s="25">
        <v>16829</v>
      </c>
      <c r="R1160" s="18">
        <v>68.689795918367352</v>
      </c>
    </row>
    <row r="1161" spans="1:18" x14ac:dyDescent="0.35">
      <c r="A1161" s="13">
        <v>45591</v>
      </c>
      <c r="B1161">
        <v>2024</v>
      </c>
      <c r="C1161">
        <v>10</v>
      </c>
      <c r="D1161" t="s">
        <v>82</v>
      </c>
      <c r="E1161" t="s">
        <v>84</v>
      </c>
      <c r="F1161">
        <v>249</v>
      </c>
      <c r="G1161">
        <v>249</v>
      </c>
      <c r="H1161">
        <v>0</v>
      </c>
      <c r="I1161">
        <v>12</v>
      </c>
      <c r="J1161" s="17">
        <v>0.79807692307692313</v>
      </c>
      <c r="K1161">
        <v>38</v>
      </c>
      <c r="L1161">
        <v>34</v>
      </c>
      <c r="M1161" s="17">
        <v>0.89473684210526316</v>
      </c>
      <c r="N1161" s="25">
        <v>7191</v>
      </c>
      <c r="O1161" s="25">
        <v>2427.75</v>
      </c>
      <c r="P1161" s="25">
        <v>6650</v>
      </c>
      <c r="Q1161" s="25">
        <v>16268.75</v>
      </c>
      <c r="R1161" s="18">
        <v>65.336345381526101</v>
      </c>
    </row>
    <row r="1162" spans="1:18" x14ac:dyDescent="0.35">
      <c r="A1162" s="13">
        <v>45598</v>
      </c>
      <c r="B1162">
        <v>2024</v>
      </c>
      <c r="C1162">
        <v>11</v>
      </c>
      <c r="D1162" t="s">
        <v>82</v>
      </c>
      <c r="E1162" t="s">
        <v>84</v>
      </c>
      <c r="F1162">
        <v>267</v>
      </c>
      <c r="G1162">
        <v>267</v>
      </c>
      <c r="H1162">
        <v>0</v>
      </c>
      <c r="I1162">
        <v>13</v>
      </c>
      <c r="J1162" s="17">
        <v>0.7899408284023669</v>
      </c>
      <c r="K1162">
        <v>38</v>
      </c>
      <c r="L1162">
        <v>38</v>
      </c>
      <c r="M1162" s="17">
        <v>1</v>
      </c>
      <c r="N1162" s="25">
        <v>7790.25</v>
      </c>
      <c r="O1162" s="25">
        <v>2603.25</v>
      </c>
      <c r="P1162" s="25">
        <v>6650</v>
      </c>
      <c r="Q1162" s="25">
        <v>17043.5</v>
      </c>
      <c r="R1162" s="18">
        <v>63.833333333333343</v>
      </c>
    </row>
    <row r="1163" spans="1:18" x14ac:dyDescent="0.35">
      <c r="A1163" s="13">
        <v>45605</v>
      </c>
      <c r="B1163">
        <v>2024</v>
      </c>
      <c r="C1163">
        <v>11</v>
      </c>
      <c r="D1163" t="s">
        <v>82</v>
      </c>
      <c r="E1163" t="s">
        <v>84</v>
      </c>
      <c r="F1163">
        <v>279</v>
      </c>
      <c r="G1163">
        <v>279</v>
      </c>
      <c r="H1163">
        <v>0</v>
      </c>
      <c r="I1163">
        <v>14</v>
      </c>
      <c r="J1163" s="17">
        <v>0.76648351648351654</v>
      </c>
      <c r="K1163">
        <v>38</v>
      </c>
      <c r="L1163">
        <v>36</v>
      </c>
      <c r="M1163" s="17">
        <v>0.94736842105263153</v>
      </c>
      <c r="N1163" s="25">
        <v>8389.5</v>
      </c>
      <c r="O1163" s="25">
        <v>2720.25</v>
      </c>
      <c r="P1163" s="25">
        <v>6650</v>
      </c>
      <c r="Q1163" s="25">
        <v>17759.75</v>
      </c>
      <c r="R1163" s="18">
        <v>63.655017921146957</v>
      </c>
    </row>
    <row r="1164" spans="1:18" x14ac:dyDescent="0.35">
      <c r="A1164" s="13">
        <v>45612</v>
      </c>
      <c r="B1164">
        <v>2024</v>
      </c>
      <c r="C1164">
        <v>11</v>
      </c>
      <c r="D1164" t="s">
        <v>82</v>
      </c>
      <c r="E1164" t="s">
        <v>84</v>
      </c>
      <c r="F1164">
        <v>288</v>
      </c>
      <c r="G1164">
        <v>288</v>
      </c>
      <c r="H1164">
        <v>0</v>
      </c>
      <c r="I1164">
        <v>15</v>
      </c>
      <c r="J1164" s="17">
        <v>0.7384615384615385</v>
      </c>
      <c r="K1164">
        <v>38</v>
      </c>
      <c r="L1164">
        <v>34</v>
      </c>
      <c r="M1164" s="17">
        <v>0.89473684210526316</v>
      </c>
      <c r="N1164" s="25">
        <v>8988.75</v>
      </c>
      <c r="O1164" s="25">
        <v>2808</v>
      </c>
      <c r="P1164" s="25">
        <v>6650</v>
      </c>
      <c r="Q1164" s="25">
        <v>18446.75</v>
      </c>
      <c r="R1164" s="18">
        <v>64.051215277777771</v>
      </c>
    </row>
    <row r="1165" spans="1:18" x14ac:dyDescent="0.35">
      <c r="A1165" s="13">
        <v>45619</v>
      </c>
      <c r="B1165">
        <v>2024</v>
      </c>
      <c r="C1165">
        <v>11</v>
      </c>
      <c r="D1165" t="s">
        <v>82</v>
      </c>
      <c r="E1165" t="s">
        <v>84</v>
      </c>
      <c r="F1165">
        <v>314</v>
      </c>
      <c r="G1165">
        <v>312</v>
      </c>
      <c r="H1165">
        <v>2</v>
      </c>
      <c r="I1165">
        <v>15</v>
      </c>
      <c r="J1165" s="17">
        <v>0.8</v>
      </c>
      <c r="K1165">
        <v>38</v>
      </c>
      <c r="L1165">
        <v>38</v>
      </c>
      <c r="M1165" s="17">
        <v>1</v>
      </c>
      <c r="N1165" s="25">
        <v>8988.75</v>
      </c>
      <c r="O1165" s="25">
        <v>3042</v>
      </c>
      <c r="P1165" s="25">
        <v>6650</v>
      </c>
      <c r="Q1165" s="25">
        <v>18680.75</v>
      </c>
      <c r="R1165" s="18">
        <v>59.874198717948723</v>
      </c>
    </row>
    <row r="1166" spans="1:18" x14ac:dyDescent="0.35">
      <c r="A1166" s="13">
        <v>45626</v>
      </c>
      <c r="B1166">
        <v>2024</v>
      </c>
      <c r="C1166">
        <v>11</v>
      </c>
      <c r="D1166" t="s">
        <v>82</v>
      </c>
      <c r="E1166" t="s">
        <v>84</v>
      </c>
      <c r="F1166">
        <v>344</v>
      </c>
      <c r="G1166">
        <v>330</v>
      </c>
      <c r="H1166">
        <v>16</v>
      </c>
      <c r="I1166">
        <v>15</v>
      </c>
      <c r="J1166" s="17">
        <v>0.84615384615384615</v>
      </c>
      <c r="K1166">
        <v>38</v>
      </c>
      <c r="L1166">
        <v>33</v>
      </c>
      <c r="M1166" s="17">
        <v>0.86842105263157898</v>
      </c>
      <c r="N1166" s="25">
        <v>8988.75</v>
      </c>
      <c r="O1166" s="25">
        <v>3217.5</v>
      </c>
      <c r="P1166" s="25">
        <v>6650</v>
      </c>
      <c r="Q1166" s="25">
        <v>18856.25</v>
      </c>
      <c r="R1166" s="18">
        <v>57.140151515151523</v>
      </c>
    </row>
    <row r="1167" spans="1:18" x14ac:dyDescent="0.35">
      <c r="A1167" s="13">
        <v>45633</v>
      </c>
      <c r="B1167">
        <v>2024</v>
      </c>
      <c r="C1167">
        <v>12</v>
      </c>
      <c r="D1167" t="s">
        <v>82</v>
      </c>
      <c r="E1167" t="s">
        <v>84</v>
      </c>
      <c r="F1167">
        <v>351</v>
      </c>
      <c r="G1167">
        <v>339</v>
      </c>
      <c r="H1167">
        <v>28</v>
      </c>
      <c r="I1167">
        <v>16</v>
      </c>
      <c r="J1167" s="17">
        <v>0.81490384615384615</v>
      </c>
      <c r="K1167">
        <v>38</v>
      </c>
      <c r="L1167">
        <v>37</v>
      </c>
      <c r="M1167" s="17">
        <v>0.97368421052631582</v>
      </c>
      <c r="N1167" s="25">
        <v>9588</v>
      </c>
      <c r="O1167" s="25">
        <v>3305.25</v>
      </c>
      <c r="P1167" s="25">
        <v>6650</v>
      </c>
      <c r="Q1167" s="25">
        <v>19543.25</v>
      </c>
      <c r="R1167" s="18">
        <v>57.649705014749273</v>
      </c>
    </row>
    <row r="1168" spans="1:18" x14ac:dyDescent="0.35">
      <c r="A1168" s="13">
        <v>45640</v>
      </c>
      <c r="B1168">
        <v>2024</v>
      </c>
      <c r="C1168">
        <v>12</v>
      </c>
      <c r="D1168" t="s">
        <v>82</v>
      </c>
      <c r="E1168" t="s">
        <v>84</v>
      </c>
      <c r="F1168">
        <v>348</v>
      </c>
      <c r="G1168">
        <v>334</v>
      </c>
      <c r="H1168">
        <v>42</v>
      </c>
      <c r="I1168">
        <v>16</v>
      </c>
      <c r="J1168" s="17">
        <v>0.80288461538461542</v>
      </c>
      <c r="K1168">
        <v>38</v>
      </c>
      <c r="L1168">
        <v>35</v>
      </c>
      <c r="M1168" s="17">
        <v>0.92105263157894735</v>
      </c>
      <c r="N1168" s="25">
        <v>9588</v>
      </c>
      <c r="O1168" s="25">
        <v>3256.5</v>
      </c>
      <c r="P1168" s="25">
        <v>6650</v>
      </c>
      <c r="Q1168" s="25">
        <v>19494.5</v>
      </c>
      <c r="R1168" s="18">
        <v>58.366766467065872</v>
      </c>
    </row>
    <row r="1169" spans="1:18" x14ac:dyDescent="0.35">
      <c r="A1169" s="13">
        <v>45647</v>
      </c>
      <c r="B1169">
        <v>2024</v>
      </c>
      <c r="C1169">
        <v>12</v>
      </c>
      <c r="D1169" t="s">
        <v>82</v>
      </c>
      <c r="E1169" t="s">
        <v>84</v>
      </c>
      <c r="F1169">
        <v>321</v>
      </c>
      <c r="G1169">
        <v>329</v>
      </c>
      <c r="H1169">
        <v>34</v>
      </c>
      <c r="I1169">
        <v>15</v>
      </c>
      <c r="J1169" s="17">
        <v>0.84358974358974359</v>
      </c>
      <c r="K1169">
        <v>38</v>
      </c>
      <c r="L1169">
        <v>36</v>
      </c>
      <c r="M1169" s="17">
        <v>0.94736842105263153</v>
      </c>
      <c r="N1169" s="25">
        <v>8988.75</v>
      </c>
      <c r="O1169" s="25">
        <v>3207.75</v>
      </c>
      <c r="P1169" s="25">
        <v>6650</v>
      </c>
      <c r="Q1169" s="25">
        <v>18846.5</v>
      </c>
      <c r="R1169" s="18">
        <v>57.284194528875382</v>
      </c>
    </row>
    <row r="1170" spans="1:18" x14ac:dyDescent="0.35">
      <c r="A1170" s="13">
        <v>45654</v>
      </c>
      <c r="B1170">
        <v>2024</v>
      </c>
      <c r="C1170">
        <v>12</v>
      </c>
      <c r="D1170" t="s">
        <v>82</v>
      </c>
      <c r="E1170" t="s">
        <v>84</v>
      </c>
      <c r="F1170">
        <v>287</v>
      </c>
      <c r="G1170">
        <v>310</v>
      </c>
      <c r="H1170">
        <v>11</v>
      </c>
      <c r="I1170">
        <v>15</v>
      </c>
      <c r="J1170" s="17">
        <v>0.79487179487179482</v>
      </c>
      <c r="K1170">
        <v>38</v>
      </c>
      <c r="L1170">
        <v>36</v>
      </c>
      <c r="M1170" s="17">
        <v>0.94736842105263153</v>
      </c>
      <c r="N1170" s="25">
        <v>8988.75</v>
      </c>
      <c r="O1170" s="25">
        <v>3022.5</v>
      </c>
      <c r="P1170" s="25">
        <v>6650</v>
      </c>
      <c r="Q1170" s="25">
        <v>18661.25</v>
      </c>
      <c r="R1170" s="18">
        <v>60.197580645161288</v>
      </c>
    </row>
    <row r="1171" spans="1:18" x14ac:dyDescent="0.35">
      <c r="A1171" s="13">
        <v>45661</v>
      </c>
      <c r="B1171">
        <v>2025</v>
      </c>
      <c r="C1171">
        <v>1</v>
      </c>
      <c r="D1171" t="s">
        <v>82</v>
      </c>
      <c r="E1171" t="s">
        <v>84</v>
      </c>
      <c r="F1171">
        <v>233</v>
      </c>
      <c r="G1171">
        <v>243</v>
      </c>
      <c r="H1171">
        <v>1</v>
      </c>
      <c r="I1171">
        <v>13</v>
      </c>
      <c r="J1171" s="17">
        <v>0.71893491124260356</v>
      </c>
      <c r="K1171">
        <v>38</v>
      </c>
      <c r="L1171">
        <v>35</v>
      </c>
      <c r="M1171" s="17">
        <v>0.92105263157894735</v>
      </c>
      <c r="N1171" s="25">
        <v>7790.25</v>
      </c>
      <c r="O1171" s="25">
        <v>2369.25</v>
      </c>
      <c r="P1171" s="25">
        <v>6650</v>
      </c>
      <c r="Q1171" s="25">
        <v>16809.5</v>
      </c>
      <c r="R1171" s="18">
        <v>69.174897119341566</v>
      </c>
    </row>
    <row r="1172" spans="1:18" x14ac:dyDescent="0.35">
      <c r="A1172" s="13">
        <v>45668</v>
      </c>
      <c r="B1172">
        <v>2025</v>
      </c>
      <c r="C1172">
        <v>1</v>
      </c>
      <c r="D1172" t="s">
        <v>82</v>
      </c>
      <c r="E1172" t="s">
        <v>84</v>
      </c>
      <c r="F1172">
        <v>189</v>
      </c>
      <c r="G1172">
        <v>190</v>
      </c>
      <c r="H1172">
        <v>0</v>
      </c>
      <c r="I1172">
        <v>10</v>
      </c>
      <c r="J1172" s="17">
        <v>0.73076923076923073</v>
      </c>
      <c r="K1172">
        <v>38</v>
      </c>
      <c r="L1172">
        <v>36</v>
      </c>
      <c r="M1172" s="17">
        <v>0.94736842105263153</v>
      </c>
      <c r="N1172" s="25">
        <v>5992.5</v>
      </c>
      <c r="O1172" s="25">
        <v>1852.5</v>
      </c>
      <c r="P1172" s="25">
        <v>6650</v>
      </c>
      <c r="Q1172" s="25">
        <v>14495</v>
      </c>
      <c r="R1172" s="18">
        <v>76.28947368421052</v>
      </c>
    </row>
    <row r="1173" spans="1:18" x14ac:dyDescent="0.35">
      <c r="A1173" s="13">
        <v>45675</v>
      </c>
      <c r="B1173">
        <v>2025</v>
      </c>
      <c r="C1173">
        <v>1</v>
      </c>
      <c r="D1173" t="s">
        <v>82</v>
      </c>
      <c r="E1173" t="s">
        <v>84</v>
      </c>
      <c r="F1173">
        <v>188</v>
      </c>
      <c r="G1173">
        <v>188</v>
      </c>
      <c r="H1173">
        <v>0</v>
      </c>
      <c r="I1173">
        <v>10</v>
      </c>
      <c r="J1173" s="17">
        <v>0.72307692307692306</v>
      </c>
      <c r="K1173">
        <v>38</v>
      </c>
      <c r="L1173">
        <v>38</v>
      </c>
      <c r="M1173" s="17">
        <v>1</v>
      </c>
      <c r="N1173" s="25">
        <v>5992.5</v>
      </c>
      <c r="O1173" s="25">
        <v>1833</v>
      </c>
      <c r="P1173" s="25">
        <v>6650</v>
      </c>
      <c r="Q1173" s="25">
        <v>14475.5</v>
      </c>
      <c r="R1173" s="18">
        <v>76.997340425531917</v>
      </c>
    </row>
    <row r="1174" spans="1:18" x14ac:dyDescent="0.35">
      <c r="A1174" s="13">
        <v>45682</v>
      </c>
      <c r="B1174">
        <v>2025</v>
      </c>
      <c r="C1174">
        <v>1</v>
      </c>
      <c r="D1174" t="s">
        <v>82</v>
      </c>
      <c r="E1174" t="s">
        <v>84</v>
      </c>
      <c r="F1174">
        <v>196</v>
      </c>
      <c r="G1174">
        <v>196</v>
      </c>
      <c r="H1174">
        <v>0</v>
      </c>
      <c r="I1174">
        <v>10</v>
      </c>
      <c r="J1174" s="17">
        <v>0.75384615384615383</v>
      </c>
      <c r="K1174">
        <v>38</v>
      </c>
      <c r="L1174">
        <v>36</v>
      </c>
      <c r="M1174" s="17">
        <v>0.94736842105263153</v>
      </c>
      <c r="N1174" s="25">
        <v>5992.5</v>
      </c>
      <c r="O1174" s="25">
        <v>1911</v>
      </c>
      <c r="P1174" s="25">
        <v>6650</v>
      </c>
      <c r="Q1174" s="25">
        <v>14553.5</v>
      </c>
      <c r="R1174" s="18">
        <v>74.252551020408163</v>
      </c>
    </row>
    <row r="1175" spans="1:18" x14ac:dyDescent="0.35">
      <c r="A1175" s="13">
        <v>45689</v>
      </c>
      <c r="B1175">
        <v>2025</v>
      </c>
      <c r="C1175">
        <v>2</v>
      </c>
      <c r="D1175" t="s">
        <v>82</v>
      </c>
      <c r="E1175" t="s">
        <v>84</v>
      </c>
      <c r="F1175">
        <v>212</v>
      </c>
      <c r="G1175">
        <v>212</v>
      </c>
      <c r="H1175">
        <v>0</v>
      </c>
      <c r="I1175">
        <v>11</v>
      </c>
      <c r="J1175" s="17">
        <v>0.74125874125874125</v>
      </c>
      <c r="K1175">
        <v>38</v>
      </c>
      <c r="L1175">
        <v>34</v>
      </c>
      <c r="M1175" s="17">
        <v>0.89473684210526316</v>
      </c>
      <c r="N1175" s="25">
        <v>6591.75</v>
      </c>
      <c r="O1175" s="25">
        <v>2067</v>
      </c>
      <c r="P1175" s="25">
        <v>6650</v>
      </c>
      <c r="Q1175" s="25">
        <v>15308.75</v>
      </c>
      <c r="R1175" s="18">
        <v>72.211084905660371</v>
      </c>
    </row>
    <row r="1176" spans="1:18" x14ac:dyDescent="0.35">
      <c r="A1176" s="13">
        <v>45696</v>
      </c>
      <c r="B1176">
        <v>2025</v>
      </c>
      <c r="C1176">
        <v>2</v>
      </c>
      <c r="D1176" t="s">
        <v>82</v>
      </c>
      <c r="E1176" t="s">
        <v>84</v>
      </c>
      <c r="F1176">
        <v>225</v>
      </c>
      <c r="G1176">
        <v>225</v>
      </c>
      <c r="H1176">
        <v>0</v>
      </c>
      <c r="I1176">
        <v>13</v>
      </c>
      <c r="J1176" s="17">
        <v>0.66568047337278102</v>
      </c>
      <c r="K1176">
        <v>38</v>
      </c>
      <c r="L1176">
        <v>38</v>
      </c>
      <c r="M1176" s="17">
        <v>1</v>
      </c>
      <c r="N1176" s="25">
        <v>7790.25</v>
      </c>
      <c r="O1176" s="25">
        <v>2193.75</v>
      </c>
      <c r="P1176" s="25">
        <v>6650</v>
      </c>
      <c r="Q1176" s="25">
        <v>16634</v>
      </c>
      <c r="R1176" s="18">
        <v>73.928888888888892</v>
      </c>
    </row>
    <row r="1177" spans="1:18" x14ac:dyDescent="0.35">
      <c r="A1177" s="13">
        <v>45703</v>
      </c>
      <c r="B1177">
        <v>2025</v>
      </c>
      <c r="C1177">
        <v>2</v>
      </c>
      <c r="D1177" t="s">
        <v>82</v>
      </c>
      <c r="E1177" t="s">
        <v>84</v>
      </c>
      <c r="F1177">
        <v>218</v>
      </c>
      <c r="G1177">
        <v>218</v>
      </c>
      <c r="H1177">
        <v>0</v>
      </c>
      <c r="I1177">
        <v>12</v>
      </c>
      <c r="J1177" s="17">
        <v>0.69871794871794868</v>
      </c>
      <c r="K1177">
        <v>38</v>
      </c>
      <c r="L1177">
        <v>36</v>
      </c>
      <c r="M1177" s="17">
        <v>0.94736842105263153</v>
      </c>
      <c r="N1177" s="25">
        <v>7191</v>
      </c>
      <c r="O1177" s="25">
        <v>2125.5</v>
      </c>
      <c r="P1177" s="25">
        <v>6650</v>
      </c>
      <c r="Q1177" s="25">
        <v>15966.5</v>
      </c>
      <c r="R1177" s="18">
        <v>73.2408256880734</v>
      </c>
    </row>
    <row r="1178" spans="1:18" x14ac:dyDescent="0.35">
      <c r="A1178" s="13">
        <v>45710</v>
      </c>
      <c r="B1178">
        <v>2025</v>
      </c>
      <c r="C1178">
        <v>2</v>
      </c>
      <c r="D1178" t="s">
        <v>82</v>
      </c>
      <c r="E1178" t="s">
        <v>84</v>
      </c>
      <c r="F1178">
        <v>232</v>
      </c>
      <c r="G1178">
        <v>232</v>
      </c>
      <c r="H1178">
        <v>0</v>
      </c>
      <c r="I1178">
        <v>13</v>
      </c>
      <c r="J1178" s="17">
        <v>0.68639053254437865</v>
      </c>
      <c r="K1178">
        <v>38</v>
      </c>
      <c r="L1178">
        <v>36</v>
      </c>
      <c r="M1178" s="17">
        <v>0.94736842105263153</v>
      </c>
      <c r="N1178" s="25">
        <v>7790.25</v>
      </c>
      <c r="O1178" s="25">
        <v>2262</v>
      </c>
      <c r="P1178" s="25">
        <v>6650</v>
      </c>
      <c r="Q1178" s="25">
        <v>16702.25</v>
      </c>
      <c r="R1178" s="18">
        <v>71.99245689655173</v>
      </c>
    </row>
    <row r="1179" spans="1:18" x14ac:dyDescent="0.35">
      <c r="A1179" s="13">
        <v>45717</v>
      </c>
      <c r="B1179">
        <v>2025</v>
      </c>
      <c r="C1179">
        <v>3</v>
      </c>
      <c r="D1179" t="s">
        <v>82</v>
      </c>
      <c r="E1179" t="s">
        <v>84</v>
      </c>
      <c r="F1179">
        <v>230</v>
      </c>
      <c r="G1179">
        <v>230</v>
      </c>
      <c r="H1179">
        <v>0</v>
      </c>
      <c r="I1179">
        <v>12</v>
      </c>
      <c r="J1179" s="17">
        <v>0.73717948717948723</v>
      </c>
      <c r="K1179">
        <v>38</v>
      </c>
      <c r="L1179">
        <v>34</v>
      </c>
      <c r="M1179" s="17">
        <v>0.89473684210526316</v>
      </c>
      <c r="N1179" s="25">
        <v>7191</v>
      </c>
      <c r="O1179" s="25">
        <v>2242.5</v>
      </c>
      <c r="P1179" s="25">
        <v>6650</v>
      </c>
      <c r="Q1179" s="25">
        <v>16083.5</v>
      </c>
      <c r="R1179" s="18">
        <v>69.928260869565221</v>
      </c>
    </row>
    <row r="1180" spans="1:18" x14ac:dyDescent="0.35">
      <c r="A1180" s="13">
        <v>45724</v>
      </c>
      <c r="B1180">
        <v>2025</v>
      </c>
      <c r="C1180">
        <v>3</v>
      </c>
      <c r="D1180" t="s">
        <v>82</v>
      </c>
      <c r="E1180" t="s">
        <v>84</v>
      </c>
      <c r="F1180">
        <v>237</v>
      </c>
      <c r="G1180">
        <v>237</v>
      </c>
      <c r="H1180">
        <v>0</v>
      </c>
      <c r="I1180">
        <v>12</v>
      </c>
      <c r="J1180" s="17">
        <v>0.75961538461538458</v>
      </c>
      <c r="K1180">
        <v>41</v>
      </c>
      <c r="L1180">
        <v>39</v>
      </c>
      <c r="M1180" s="17">
        <v>0.95121951219512191</v>
      </c>
      <c r="N1180" s="25">
        <v>7191</v>
      </c>
      <c r="O1180" s="25">
        <v>2310.75</v>
      </c>
      <c r="P1180" s="25">
        <v>7175</v>
      </c>
      <c r="Q1180" s="25">
        <v>16676.75</v>
      </c>
      <c r="R1180" s="18">
        <v>70.366033755274259</v>
      </c>
    </row>
    <row r="1181" spans="1:18" x14ac:dyDescent="0.35">
      <c r="A1181" s="13">
        <v>45731</v>
      </c>
      <c r="B1181">
        <v>2025</v>
      </c>
      <c r="C1181">
        <v>3</v>
      </c>
      <c r="D1181" t="s">
        <v>82</v>
      </c>
      <c r="E1181" t="s">
        <v>84</v>
      </c>
      <c r="F1181">
        <v>238</v>
      </c>
      <c r="G1181">
        <v>238</v>
      </c>
      <c r="H1181">
        <v>0</v>
      </c>
      <c r="I1181">
        <v>12</v>
      </c>
      <c r="J1181" s="17">
        <v>0.76282051282051277</v>
      </c>
      <c r="K1181">
        <v>41</v>
      </c>
      <c r="L1181">
        <v>41</v>
      </c>
      <c r="M1181" s="17">
        <v>1</v>
      </c>
      <c r="N1181" s="25">
        <v>7191</v>
      </c>
      <c r="O1181" s="25">
        <v>2320.5</v>
      </c>
      <c r="P1181" s="25">
        <v>7175</v>
      </c>
      <c r="Q1181" s="25">
        <v>16686.5</v>
      </c>
      <c r="R1181" s="18">
        <v>70.111344537815128</v>
      </c>
    </row>
    <row r="1182" spans="1:18" x14ac:dyDescent="0.35">
      <c r="A1182" s="13">
        <v>45738</v>
      </c>
      <c r="B1182">
        <v>2025</v>
      </c>
      <c r="C1182">
        <v>3</v>
      </c>
      <c r="D1182" t="s">
        <v>82</v>
      </c>
      <c r="E1182" t="s">
        <v>84</v>
      </c>
      <c r="F1182">
        <v>241</v>
      </c>
      <c r="G1182">
        <v>241</v>
      </c>
      <c r="H1182">
        <v>0</v>
      </c>
      <c r="I1182">
        <v>13</v>
      </c>
      <c r="J1182" s="17">
        <v>0.71301775147928992</v>
      </c>
      <c r="K1182">
        <v>41</v>
      </c>
      <c r="L1182">
        <v>41</v>
      </c>
      <c r="M1182" s="17">
        <v>1</v>
      </c>
      <c r="N1182" s="25">
        <v>7790.25</v>
      </c>
      <c r="O1182" s="25">
        <v>2349.75</v>
      </c>
      <c r="P1182" s="25">
        <v>7175</v>
      </c>
      <c r="Q1182" s="25">
        <v>17315</v>
      </c>
      <c r="R1182" s="18">
        <v>71.84647302904564</v>
      </c>
    </row>
    <row r="1183" spans="1:18" x14ac:dyDescent="0.35">
      <c r="A1183" s="13">
        <v>45745</v>
      </c>
      <c r="B1183">
        <v>2025</v>
      </c>
      <c r="C1183">
        <v>3</v>
      </c>
      <c r="D1183" t="s">
        <v>82</v>
      </c>
      <c r="E1183" t="s">
        <v>84</v>
      </c>
      <c r="F1183">
        <v>251</v>
      </c>
      <c r="G1183">
        <v>251</v>
      </c>
      <c r="H1183">
        <v>0</v>
      </c>
      <c r="I1183">
        <v>12</v>
      </c>
      <c r="J1183" s="17">
        <v>0.80448717948717952</v>
      </c>
      <c r="K1183">
        <v>41</v>
      </c>
      <c r="L1183">
        <v>40</v>
      </c>
      <c r="M1183" s="17">
        <v>0.97560975609756095</v>
      </c>
      <c r="N1183" s="25">
        <v>7191</v>
      </c>
      <c r="O1183" s="25">
        <v>2447.25</v>
      </c>
      <c r="P1183" s="25">
        <v>7175</v>
      </c>
      <c r="Q1183" s="25">
        <v>16813.25</v>
      </c>
      <c r="R1183" s="18">
        <v>66.985059760956176</v>
      </c>
    </row>
    <row r="1184" spans="1:18" x14ac:dyDescent="0.35">
      <c r="A1184" s="13">
        <v>45752</v>
      </c>
      <c r="B1184">
        <v>2025</v>
      </c>
      <c r="C1184">
        <v>4</v>
      </c>
      <c r="D1184" t="s">
        <v>82</v>
      </c>
      <c r="E1184" t="s">
        <v>84</v>
      </c>
      <c r="F1184">
        <v>257</v>
      </c>
      <c r="G1184">
        <v>257</v>
      </c>
      <c r="H1184">
        <v>0</v>
      </c>
      <c r="I1184">
        <v>14</v>
      </c>
      <c r="J1184" s="17">
        <v>0.70604395604395609</v>
      </c>
      <c r="K1184">
        <v>41</v>
      </c>
      <c r="L1184">
        <v>39</v>
      </c>
      <c r="M1184" s="17">
        <v>0.95121951219512191</v>
      </c>
      <c r="N1184" s="25">
        <v>8389.5</v>
      </c>
      <c r="O1184" s="25">
        <v>2505.75</v>
      </c>
      <c r="P1184" s="25">
        <v>7175</v>
      </c>
      <c r="Q1184" s="25">
        <v>18070.25</v>
      </c>
      <c r="R1184" s="18">
        <v>70.312256809338521</v>
      </c>
    </row>
    <row r="1185" spans="1:18" x14ac:dyDescent="0.35">
      <c r="A1185" s="13">
        <v>45759</v>
      </c>
      <c r="B1185">
        <v>2025</v>
      </c>
      <c r="C1185">
        <v>4</v>
      </c>
      <c r="D1185" t="s">
        <v>82</v>
      </c>
      <c r="E1185" t="s">
        <v>84</v>
      </c>
      <c r="F1185">
        <v>271</v>
      </c>
      <c r="G1185">
        <v>271</v>
      </c>
      <c r="H1185">
        <v>0</v>
      </c>
      <c r="I1185">
        <v>13</v>
      </c>
      <c r="J1185" s="17">
        <v>0.80177514792899407</v>
      </c>
      <c r="K1185">
        <v>41</v>
      </c>
      <c r="L1185">
        <v>41</v>
      </c>
      <c r="M1185" s="17">
        <v>1</v>
      </c>
      <c r="N1185" s="25">
        <v>7790.25</v>
      </c>
      <c r="O1185" s="25">
        <v>2642.25</v>
      </c>
      <c r="P1185" s="25">
        <v>7175</v>
      </c>
      <c r="Q1185" s="25">
        <v>17607.5</v>
      </c>
      <c r="R1185" s="18">
        <v>64.972324723247226</v>
      </c>
    </row>
    <row r="1186" spans="1:18" x14ac:dyDescent="0.35">
      <c r="A1186" s="13">
        <v>45766</v>
      </c>
      <c r="B1186">
        <v>2025</v>
      </c>
      <c r="C1186">
        <v>4</v>
      </c>
      <c r="D1186" t="s">
        <v>82</v>
      </c>
      <c r="E1186" t="s">
        <v>84</v>
      </c>
      <c r="F1186">
        <v>272</v>
      </c>
      <c r="G1186">
        <v>272</v>
      </c>
      <c r="H1186">
        <v>0</v>
      </c>
      <c r="I1186">
        <v>14</v>
      </c>
      <c r="J1186" s="17">
        <v>0.74725274725274726</v>
      </c>
      <c r="K1186">
        <v>41</v>
      </c>
      <c r="L1186">
        <v>40</v>
      </c>
      <c r="M1186" s="17">
        <v>0.97560975609756095</v>
      </c>
      <c r="N1186" s="25">
        <v>8389.5</v>
      </c>
      <c r="O1186" s="25">
        <v>2652</v>
      </c>
      <c r="P1186" s="25">
        <v>7175</v>
      </c>
      <c r="Q1186" s="25">
        <v>18216.5</v>
      </c>
      <c r="R1186" s="18">
        <v>66.972426470588232</v>
      </c>
    </row>
    <row r="1187" spans="1:18" x14ac:dyDescent="0.35">
      <c r="A1187" s="13">
        <v>45773</v>
      </c>
      <c r="B1187">
        <v>2025</v>
      </c>
      <c r="C1187">
        <v>4</v>
      </c>
      <c r="D1187" t="s">
        <v>82</v>
      </c>
      <c r="E1187" t="s">
        <v>84</v>
      </c>
      <c r="F1187">
        <v>260</v>
      </c>
      <c r="G1187">
        <v>260</v>
      </c>
      <c r="H1187">
        <v>0</v>
      </c>
      <c r="I1187">
        <v>14</v>
      </c>
      <c r="J1187" s="17">
        <v>0.7142857142857143</v>
      </c>
      <c r="K1187">
        <v>41</v>
      </c>
      <c r="L1187">
        <v>38</v>
      </c>
      <c r="M1187" s="17">
        <v>0.92682926829268297</v>
      </c>
      <c r="N1187" s="25">
        <v>8389.5</v>
      </c>
      <c r="O1187" s="25">
        <v>2535</v>
      </c>
      <c r="P1187" s="25">
        <v>7175</v>
      </c>
      <c r="Q1187" s="25">
        <v>18099.5</v>
      </c>
      <c r="R1187" s="18">
        <v>69.613461538461536</v>
      </c>
    </row>
    <row r="1188" spans="1:18" x14ac:dyDescent="0.35">
      <c r="A1188" s="13">
        <v>45780</v>
      </c>
      <c r="B1188">
        <v>2025</v>
      </c>
      <c r="C1188">
        <v>5</v>
      </c>
      <c r="D1188" t="s">
        <v>82</v>
      </c>
      <c r="E1188" t="s">
        <v>84</v>
      </c>
      <c r="F1188">
        <v>259</v>
      </c>
      <c r="G1188">
        <v>259</v>
      </c>
      <c r="H1188">
        <v>0</v>
      </c>
      <c r="I1188">
        <v>13</v>
      </c>
      <c r="J1188" s="17">
        <v>0.76627218934911245</v>
      </c>
      <c r="K1188">
        <v>41</v>
      </c>
      <c r="L1188">
        <v>37</v>
      </c>
      <c r="M1188" s="17">
        <v>0.90243902439024393</v>
      </c>
      <c r="N1188" s="25">
        <v>7790.25</v>
      </c>
      <c r="O1188" s="25">
        <v>2525.25</v>
      </c>
      <c r="P1188" s="25">
        <v>7175</v>
      </c>
      <c r="Q1188" s="25">
        <v>17490.5</v>
      </c>
      <c r="R1188" s="18">
        <v>67.530888030888036</v>
      </c>
    </row>
    <row r="1189" spans="1:18" x14ac:dyDescent="0.35">
      <c r="A1189" s="13">
        <v>45787</v>
      </c>
      <c r="B1189">
        <v>2025</v>
      </c>
      <c r="C1189">
        <v>5</v>
      </c>
      <c r="D1189" t="s">
        <v>82</v>
      </c>
      <c r="E1189" t="s">
        <v>84</v>
      </c>
      <c r="F1189">
        <v>272</v>
      </c>
      <c r="G1189">
        <v>272</v>
      </c>
      <c r="H1189">
        <v>0</v>
      </c>
      <c r="I1189">
        <v>14</v>
      </c>
      <c r="J1189" s="17">
        <v>0.74725274725274726</v>
      </c>
      <c r="K1189">
        <v>41</v>
      </c>
      <c r="L1189">
        <v>36</v>
      </c>
      <c r="M1189" s="17">
        <v>0.87804878048780488</v>
      </c>
      <c r="N1189" s="25">
        <v>8389.5</v>
      </c>
      <c r="O1189" s="25">
        <v>2652</v>
      </c>
      <c r="P1189" s="25">
        <v>7175</v>
      </c>
      <c r="Q1189" s="25">
        <v>18216.5</v>
      </c>
      <c r="R1189" s="18">
        <v>66.972426470588232</v>
      </c>
    </row>
    <row r="1190" spans="1:18" x14ac:dyDescent="0.35">
      <c r="A1190" s="13">
        <v>45794</v>
      </c>
      <c r="B1190">
        <v>2025</v>
      </c>
      <c r="C1190">
        <v>5</v>
      </c>
      <c r="D1190" t="s">
        <v>82</v>
      </c>
      <c r="E1190" t="s">
        <v>84</v>
      </c>
      <c r="F1190">
        <v>260</v>
      </c>
      <c r="G1190">
        <v>260</v>
      </c>
      <c r="H1190">
        <v>0</v>
      </c>
      <c r="I1190">
        <v>13</v>
      </c>
      <c r="J1190" s="17">
        <v>0.76923076923076927</v>
      </c>
      <c r="K1190">
        <v>41</v>
      </c>
      <c r="L1190">
        <v>41</v>
      </c>
      <c r="M1190" s="17">
        <v>1</v>
      </c>
      <c r="N1190" s="25">
        <v>7790.25</v>
      </c>
      <c r="O1190" s="25">
        <v>2535</v>
      </c>
      <c r="P1190" s="25">
        <v>7175</v>
      </c>
      <c r="Q1190" s="25">
        <v>17500.25</v>
      </c>
      <c r="R1190" s="18">
        <v>67.308653846153845</v>
      </c>
    </row>
    <row r="1191" spans="1:18" x14ac:dyDescent="0.35">
      <c r="A1191" s="13">
        <v>45801</v>
      </c>
      <c r="B1191">
        <v>2025</v>
      </c>
      <c r="C1191">
        <v>5</v>
      </c>
      <c r="D1191" t="s">
        <v>82</v>
      </c>
      <c r="E1191" t="s">
        <v>84</v>
      </c>
      <c r="F1191">
        <v>271</v>
      </c>
      <c r="G1191">
        <v>271</v>
      </c>
      <c r="H1191">
        <v>0</v>
      </c>
      <c r="I1191">
        <v>14</v>
      </c>
      <c r="J1191" s="17">
        <v>0.74450549450549453</v>
      </c>
      <c r="K1191">
        <v>41</v>
      </c>
      <c r="L1191">
        <v>40</v>
      </c>
      <c r="M1191" s="17">
        <v>0.97560975609756095</v>
      </c>
      <c r="N1191" s="25">
        <v>8389.5</v>
      </c>
      <c r="O1191" s="25">
        <v>2642.25</v>
      </c>
      <c r="P1191" s="25">
        <v>7175</v>
      </c>
      <c r="Q1191" s="25">
        <v>18206.75</v>
      </c>
      <c r="R1191" s="18">
        <v>67.183579335793354</v>
      </c>
    </row>
    <row r="1192" spans="1:18" x14ac:dyDescent="0.35">
      <c r="A1192" s="13">
        <v>45808</v>
      </c>
      <c r="B1192">
        <v>2025</v>
      </c>
      <c r="C1192">
        <v>5</v>
      </c>
      <c r="D1192" t="s">
        <v>82</v>
      </c>
      <c r="E1192" t="s">
        <v>84</v>
      </c>
      <c r="F1192">
        <v>278</v>
      </c>
      <c r="G1192">
        <v>278</v>
      </c>
      <c r="H1192">
        <v>0</v>
      </c>
      <c r="I1192">
        <v>14</v>
      </c>
      <c r="J1192" s="17">
        <v>0.76373626373626369</v>
      </c>
      <c r="K1192">
        <v>41</v>
      </c>
      <c r="L1192">
        <v>40</v>
      </c>
      <c r="M1192" s="17">
        <v>0.97560975609756095</v>
      </c>
      <c r="N1192" s="25">
        <v>8389.5</v>
      </c>
      <c r="O1192" s="25">
        <v>2710.5</v>
      </c>
      <c r="P1192" s="25">
        <v>7175</v>
      </c>
      <c r="Q1192" s="25">
        <v>18275</v>
      </c>
      <c r="R1192" s="18">
        <v>65.737410071942449</v>
      </c>
    </row>
    <row r="1193" spans="1:18" x14ac:dyDescent="0.35">
      <c r="A1193" s="13">
        <v>45815</v>
      </c>
      <c r="B1193">
        <v>2025</v>
      </c>
      <c r="C1193">
        <v>6</v>
      </c>
      <c r="D1193" t="s">
        <v>82</v>
      </c>
      <c r="E1193" t="s">
        <v>84</v>
      </c>
      <c r="F1193">
        <v>267</v>
      </c>
      <c r="G1193">
        <v>267</v>
      </c>
      <c r="H1193">
        <v>0</v>
      </c>
      <c r="I1193">
        <v>14</v>
      </c>
      <c r="J1193" s="17">
        <v>0.73351648351648346</v>
      </c>
      <c r="K1193">
        <v>41</v>
      </c>
      <c r="L1193">
        <v>39</v>
      </c>
      <c r="M1193" s="17">
        <v>0.95121951219512191</v>
      </c>
      <c r="N1193" s="25">
        <v>8389.5</v>
      </c>
      <c r="O1193" s="25">
        <v>2603.25</v>
      </c>
      <c r="P1193" s="25">
        <v>7175</v>
      </c>
      <c r="Q1193" s="25">
        <v>18167.75</v>
      </c>
      <c r="R1193" s="18">
        <v>68.044007490636702</v>
      </c>
    </row>
    <row r="1194" spans="1:18" x14ac:dyDescent="0.35">
      <c r="A1194" s="13">
        <v>45822</v>
      </c>
      <c r="B1194">
        <v>2025</v>
      </c>
      <c r="C1194">
        <v>6</v>
      </c>
      <c r="D1194" t="s">
        <v>82</v>
      </c>
      <c r="E1194" t="s">
        <v>84</v>
      </c>
      <c r="F1194">
        <v>261</v>
      </c>
      <c r="G1194">
        <v>261</v>
      </c>
      <c r="H1194">
        <v>0</v>
      </c>
      <c r="I1194">
        <v>15</v>
      </c>
      <c r="J1194" s="17">
        <v>0.66923076923076918</v>
      </c>
      <c r="K1194">
        <v>41</v>
      </c>
      <c r="L1194">
        <v>38</v>
      </c>
      <c r="M1194" s="17">
        <v>0.92682926829268297</v>
      </c>
      <c r="N1194" s="25">
        <v>8988.75</v>
      </c>
      <c r="O1194" s="25">
        <v>2544.75</v>
      </c>
      <c r="P1194" s="25">
        <v>7175</v>
      </c>
      <c r="Q1194" s="25">
        <v>18708.5</v>
      </c>
      <c r="R1194" s="18">
        <v>71.680076628352495</v>
      </c>
    </row>
    <row r="1195" spans="1:18" x14ac:dyDescent="0.35">
      <c r="A1195" s="13">
        <v>45829</v>
      </c>
      <c r="B1195">
        <v>2025</v>
      </c>
      <c r="C1195">
        <v>6</v>
      </c>
      <c r="D1195" t="s">
        <v>82</v>
      </c>
      <c r="E1195" t="s">
        <v>84</v>
      </c>
      <c r="F1195">
        <v>248</v>
      </c>
      <c r="G1195">
        <v>248</v>
      </c>
      <c r="H1195">
        <v>0</v>
      </c>
      <c r="I1195">
        <v>13</v>
      </c>
      <c r="J1195" s="17">
        <v>0.73372781065088755</v>
      </c>
      <c r="K1195">
        <v>41</v>
      </c>
      <c r="L1195">
        <v>39</v>
      </c>
      <c r="M1195" s="17">
        <v>0.95121951219512191</v>
      </c>
      <c r="N1195" s="25">
        <v>7790.25</v>
      </c>
      <c r="O1195" s="25">
        <v>2418</v>
      </c>
      <c r="P1195" s="25">
        <v>7175</v>
      </c>
      <c r="Q1195" s="25">
        <v>17383.25</v>
      </c>
      <c r="R1195" s="18">
        <v>70.09375</v>
      </c>
    </row>
    <row r="1196" spans="1:18" x14ac:dyDescent="0.35">
      <c r="A1196" s="13">
        <v>45836</v>
      </c>
      <c r="B1196">
        <v>2025</v>
      </c>
      <c r="C1196">
        <v>6</v>
      </c>
      <c r="D1196" t="s">
        <v>82</v>
      </c>
      <c r="E1196" t="s">
        <v>84</v>
      </c>
      <c r="F1196">
        <v>259</v>
      </c>
      <c r="G1196">
        <v>259</v>
      </c>
      <c r="H1196">
        <v>0</v>
      </c>
      <c r="I1196">
        <v>13</v>
      </c>
      <c r="J1196" s="17">
        <v>0.76627218934911245</v>
      </c>
      <c r="K1196">
        <v>41</v>
      </c>
      <c r="L1196">
        <v>39</v>
      </c>
      <c r="M1196" s="17">
        <v>0.95121951219512191</v>
      </c>
      <c r="N1196" s="25">
        <v>7790.25</v>
      </c>
      <c r="O1196" s="25">
        <v>2525.25</v>
      </c>
      <c r="P1196" s="25">
        <v>7175</v>
      </c>
      <c r="Q1196" s="25">
        <v>17490.5</v>
      </c>
      <c r="R1196" s="18">
        <v>67.530888030888036</v>
      </c>
    </row>
    <row r="1197" spans="1:18" x14ac:dyDescent="0.35">
      <c r="A1197" s="13">
        <v>45843</v>
      </c>
      <c r="B1197">
        <v>2025</v>
      </c>
      <c r="C1197">
        <v>7</v>
      </c>
      <c r="D1197" t="s">
        <v>82</v>
      </c>
      <c r="E1197" t="s">
        <v>84</v>
      </c>
      <c r="F1197">
        <v>264</v>
      </c>
      <c r="G1197">
        <v>264</v>
      </c>
      <c r="H1197">
        <v>0</v>
      </c>
      <c r="I1197">
        <v>13</v>
      </c>
      <c r="J1197" s="17">
        <v>0.78106508875739644</v>
      </c>
      <c r="K1197">
        <v>41</v>
      </c>
      <c r="L1197">
        <v>39</v>
      </c>
      <c r="M1197" s="17">
        <v>0.95121951219512191</v>
      </c>
      <c r="N1197" s="25">
        <v>7790.25</v>
      </c>
      <c r="O1197" s="25">
        <v>2574</v>
      </c>
      <c r="P1197" s="25">
        <v>7175</v>
      </c>
      <c r="Q1197" s="25">
        <v>17539.25</v>
      </c>
      <c r="R1197" s="18">
        <v>66.436553030303031</v>
      </c>
    </row>
    <row r="1198" spans="1:18" x14ac:dyDescent="0.35">
      <c r="A1198" s="13">
        <v>45850</v>
      </c>
      <c r="B1198">
        <v>2025</v>
      </c>
      <c r="C1198">
        <v>7</v>
      </c>
      <c r="D1198" t="s">
        <v>82</v>
      </c>
      <c r="E1198" t="s">
        <v>84</v>
      </c>
      <c r="F1198">
        <v>256</v>
      </c>
      <c r="G1198">
        <v>256</v>
      </c>
      <c r="H1198">
        <v>0</v>
      </c>
      <c r="I1198">
        <v>13</v>
      </c>
      <c r="J1198" s="17">
        <v>0.75739644970414199</v>
      </c>
      <c r="K1198">
        <v>41</v>
      </c>
      <c r="L1198">
        <v>40</v>
      </c>
      <c r="M1198" s="17">
        <v>0.97560975609756095</v>
      </c>
      <c r="N1198" s="25">
        <v>7790.25</v>
      </c>
      <c r="O1198" s="25">
        <v>2496</v>
      </c>
      <c r="P1198" s="25">
        <v>7175</v>
      </c>
      <c r="Q1198" s="25">
        <v>17461.25</v>
      </c>
      <c r="R1198" s="18">
        <v>68.2080078125</v>
      </c>
    </row>
    <row r="1199" spans="1:18" x14ac:dyDescent="0.35">
      <c r="A1199" s="13">
        <v>45857</v>
      </c>
      <c r="B1199">
        <v>2025</v>
      </c>
      <c r="C1199">
        <v>7</v>
      </c>
      <c r="D1199" t="s">
        <v>82</v>
      </c>
      <c r="E1199" t="s">
        <v>84</v>
      </c>
      <c r="F1199">
        <v>273</v>
      </c>
      <c r="G1199">
        <v>273</v>
      </c>
      <c r="H1199">
        <v>0</v>
      </c>
      <c r="I1199">
        <v>14</v>
      </c>
      <c r="J1199" s="17">
        <v>0.75</v>
      </c>
      <c r="K1199">
        <v>41</v>
      </c>
      <c r="L1199">
        <v>37</v>
      </c>
      <c r="M1199" s="17">
        <v>0.90243902439024393</v>
      </c>
      <c r="N1199" s="25">
        <v>8389.5</v>
      </c>
      <c r="O1199" s="25">
        <v>2661.75</v>
      </c>
      <c r="P1199" s="25">
        <v>7175</v>
      </c>
      <c r="Q1199" s="25">
        <v>18226.25</v>
      </c>
      <c r="R1199" s="18">
        <v>66.762820512820511</v>
      </c>
    </row>
    <row r="1200" spans="1:18" x14ac:dyDescent="0.35">
      <c r="A1200" s="13">
        <v>45864</v>
      </c>
      <c r="B1200">
        <v>2025</v>
      </c>
      <c r="C1200">
        <v>7</v>
      </c>
      <c r="D1200" t="s">
        <v>82</v>
      </c>
      <c r="E1200" t="s">
        <v>84</v>
      </c>
      <c r="F1200">
        <v>283</v>
      </c>
      <c r="G1200">
        <v>283</v>
      </c>
      <c r="H1200">
        <v>0</v>
      </c>
      <c r="I1200">
        <v>14</v>
      </c>
      <c r="J1200" s="17">
        <v>0.77747252747252749</v>
      </c>
      <c r="K1200">
        <v>41</v>
      </c>
      <c r="L1200">
        <v>37</v>
      </c>
      <c r="M1200" s="17">
        <v>0.90243902439024393</v>
      </c>
      <c r="N1200" s="25">
        <v>8389.5</v>
      </c>
      <c r="O1200" s="25">
        <v>2759.25</v>
      </c>
      <c r="P1200" s="25">
        <v>7175</v>
      </c>
      <c r="Q1200" s="25">
        <v>18323.75</v>
      </c>
      <c r="R1200" s="18">
        <v>64.7482332155477</v>
      </c>
    </row>
    <row r="1201" spans="1:18" x14ac:dyDescent="0.35">
      <c r="A1201" s="13">
        <v>45871</v>
      </c>
      <c r="B1201">
        <v>2025</v>
      </c>
      <c r="C1201">
        <v>8</v>
      </c>
      <c r="D1201" t="s">
        <v>82</v>
      </c>
      <c r="E1201" t="s">
        <v>84</v>
      </c>
      <c r="F1201">
        <v>276</v>
      </c>
      <c r="G1201">
        <v>276</v>
      </c>
      <c r="H1201">
        <v>0</v>
      </c>
      <c r="I1201">
        <v>14</v>
      </c>
      <c r="J1201" s="17">
        <v>0.75824175824175821</v>
      </c>
      <c r="K1201">
        <v>41</v>
      </c>
      <c r="L1201">
        <v>38</v>
      </c>
      <c r="M1201" s="17">
        <v>0.92682926829268297</v>
      </c>
      <c r="N1201" s="25">
        <v>8389.5</v>
      </c>
      <c r="O1201" s="25">
        <v>2691</v>
      </c>
      <c r="P1201" s="25">
        <v>7175</v>
      </c>
      <c r="Q1201" s="25">
        <v>18255.5</v>
      </c>
      <c r="R1201" s="18">
        <v>66.143115942028984</v>
      </c>
    </row>
    <row r="1202" spans="1:18" x14ac:dyDescent="0.35">
      <c r="A1202" s="13">
        <v>45878</v>
      </c>
      <c r="B1202">
        <v>2025</v>
      </c>
      <c r="C1202">
        <v>8</v>
      </c>
      <c r="D1202" t="s">
        <v>82</v>
      </c>
      <c r="E1202" t="s">
        <v>84</v>
      </c>
      <c r="F1202">
        <v>277</v>
      </c>
      <c r="G1202">
        <v>277</v>
      </c>
      <c r="H1202">
        <v>0</v>
      </c>
      <c r="I1202">
        <v>13</v>
      </c>
      <c r="J1202" s="17">
        <v>0.81952662721893488</v>
      </c>
      <c r="K1202">
        <v>41</v>
      </c>
      <c r="L1202">
        <v>40</v>
      </c>
      <c r="M1202" s="17">
        <v>0.97560975609756095</v>
      </c>
      <c r="N1202" s="25">
        <v>7790.25</v>
      </c>
      <c r="O1202" s="25">
        <v>2700.75</v>
      </c>
      <c r="P1202" s="25">
        <v>7175</v>
      </c>
      <c r="Q1202" s="25">
        <v>17666</v>
      </c>
      <c r="R1202" s="18">
        <v>63.776173285198553</v>
      </c>
    </row>
    <row r="1203" spans="1:18" x14ac:dyDescent="0.35">
      <c r="A1203" s="13">
        <v>45885</v>
      </c>
      <c r="B1203">
        <v>2025</v>
      </c>
      <c r="C1203">
        <v>8</v>
      </c>
      <c r="D1203" t="s">
        <v>82</v>
      </c>
      <c r="E1203" t="s">
        <v>84</v>
      </c>
      <c r="F1203">
        <v>287</v>
      </c>
      <c r="G1203">
        <v>287</v>
      </c>
      <c r="H1203">
        <v>0</v>
      </c>
      <c r="I1203">
        <v>15</v>
      </c>
      <c r="J1203" s="17">
        <v>0.73589743589743595</v>
      </c>
      <c r="K1203">
        <v>41</v>
      </c>
      <c r="L1203">
        <v>38</v>
      </c>
      <c r="M1203" s="17">
        <v>0.92682926829268297</v>
      </c>
      <c r="N1203" s="25">
        <v>8988.75</v>
      </c>
      <c r="O1203" s="25">
        <v>2798.25</v>
      </c>
      <c r="P1203" s="25">
        <v>7175</v>
      </c>
      <c r="Q1203" s="25">
        <v>18962</v>
      </c>
      <c r="R1203" s="18">
        <v>66.069686411149831</v>
      </c>
    </row>
    <row r="1204" spans="1:18" x14ac:dyDescent="0.35">
      <c r="A1204" s="13">
        <v>45892</v>
      </c>
      <c r="B1204">
        <v>2025</v>
      </c>
      <c r="C1204">
        <v>8</v>
      </c>
      <c r="D1204" t="s">
        <v>82</v>
      </c>
      <c r="E1204" t="s">
        <v>84</v>
      </c>
      <c r="F1204">
        <v>273</v>
      </c>
      <c r="G1204">
        <v>273</v>
      </c>
      <c r="H1204">
        <v>0</v>
      </c>
      <c r="I1204">
        <v>14</v>
      </c>
      <c r="J1204" s="17">
        <v>0.75</v>
      </c>
      <c r="K1204">
        <v>41</v>
      </c>
      <c r="L1204">
        <v>40</v>
      </c>
      <c r="M1204" s="17">
        <v>0.97560975609756095</v>
      </c>
      <c r="N1204" s="25">
        <v>8389.5</v>
      </c>
      <c r="O1204" s="25">
        <v>2661.75</v>
      </c>
      <c r="P1204" s="25">
        <v>7175</v>
      </c>
      <c r="Q1204" s="25">
        <v>18226.25</v>
      </c>
      <c r="R1204" s="18">
        <v>66.762820512820511</v>
      </c>
    </row>
    <row r="1205" spans="1:18" x14ac:dyDescent="0.35">
      <c r="A1205" s="13">
        <v>45899</v>
      </c>
      <c r="B1205">
        <v>2025</v>
      </c>
      <c r="C1205">
        <v>8</v>
      </c>
      <c r="D1205" t="s">
        <v>82</v>
      </c>
      <c r="E1205" t="s">
        <v>84</v>
      </c>
      <c r="F1205">
        <v>266</v>
      </c>
      <c r="G1205">
        <v>266</v>
      </c>
      <c r="H1205">
        <v>0</v>
      </c>
      <c r="I1205">
        <v>14</v>
      </c>
      <c r="J1205" s="17">
        <v>0.73076923076923073</v>
      </c>
      <c r="K1205">
        <v>41</v>
      </c>
      <c r="L1205">
        <v>37</v>
      </c>
      <c r="M1205" s="17">
        <v>0.90243902439024393</v>
      </c>
      <c r="N1205" s="25">
        <v>8389.5</v>
      </c>
      <c r="O1205" s="25">
        <v>2593.5</v>
      </c>
      <c r="P1205" s="25">
        <v>7175</v>
      </c>
      <c r="Q1205" s="25">
        <v>18158</v>
      </c>
      <c r="R1205" s="18">
        <v>68.263157894736835</v>
      </c>
    </row>
    <row r="1206" spans="1:18" x14ac:dyDescent="0.35">
      <c r="A1206" s="13">
        <v>45906</v>
      </c>
      <c r="B1206">
        <v>2025</v>
      </c>
      <c r="C1206">
        <v>9</v>
      </c>
      <c r="D1206" t="s">
        <v>82</v>
      </c>
      <c r="E1206" t="s">
        <v>84</v>
      </c>
      <c r="F1206">
        <v>254</v>
      </c>
      <c r="G1206">
        <v>254</v>
      </c>
      <c r="H1206">
        <v>0</v>
      </c>
      <c r="I1206">
        <v>13</v>
      </c>
      <c r="J1206" s="17">
        <v>0.75147928994082835</v>
      </c>
      <c r="K1206">
        <v>41</v>
      </c>
      <c r="L1206">
        <v>40</v>
      </c>
      <c r="M1206" s="17">
        <v>0.97560975609756095</v>
      </c>
      <c r="N1206" s="25">
        <v>7790.25</v>
      </c>
      <c r="O1206" s="25">
        <v>2476.5</v>
      </c>
      <c r="P1206" s="25">
        <v>7175</v>
      </c>
      <c r="Q1206" s="25">
        <v>17441.75</v>
      </c>
      <c r="R1206" s="18">
        <v>68.668307086614178</v>
      </c>
    </row>
    <row r="1207" spans="1:18" x14ac:dyDescent="0.35">
      <c r="A1207" s="13">
        <v>45913</v>
      </c>
      <c r="B1207">
        <v>2025</v>
      </c>
      <c r="C1207">
        <v>9</v>
      </c>
      <c r="D1207" t="s">
        <v>82</v>
      </c>
      <c r="E1207" t="s">
        <v>84</v>
      </c>
      <c r="F1207">
        <v>242</v>
      </c>
      <c r="G1207">
        <v>242</v>
      </c>
      <c r="H1207">
        <v>0</v>
      </c>
      <c r="I1207">
        <v>12</v>
      </c>
      <c r="J1207" s="17">
        <v>0.77564102564102566</v>
      </c>
      <c r="K1207">
        <v>41</v>
      </c>
      <c r="L1207">
        <v>40</v>
      </c>
      <c r="M1207" s="17">
        <v>0.97560975609756095</v>
      </c>
      <c r="N1207" s="25">
        <v>7191</v>
      </c>
      <c r="O1207" s="25">
        <v>2359.5</v>
      </c>
      <c r="P1207" s="25">
        <v>7175</v>
      </c>
      <c r="Q1207" s="25">
        <v>16725.5</v>
      </c>
      <c r="R1207" s="18">
        <v>69.11363636363636</v>
      </c>
    </row>
    <row r="1208" spans="1:18" x14ac:dyDescent="0.35">
      <c r="A1208" s="13">
        <v>45920</v>
      </c>
      <c r="B1208">
        <v>2025</v>
      </c>
      <c r="C1208">
        <v>9</v>
      </c>
      <c r="D1208" t="s">
        <v>82</v>
      </c>
      <c r="E1208" t="s">
        <v>84</v>
      </c>
      <c r="F1208">
        <v>260</v>
      </c>
      <c r="G1208">
        <v>260</v>
      </c>
      <c r="H1208">
        <v>0</v>
      </c>
      <c r="I1208">
        <v>13</v>
      </c>
      <c r="J1208" s="17">
        <v>0.76923076923076927</v>
      </c>
      <c r="K1208">
        <v>41</v>
      </c>
      <c r="L1208">
        <v>39</v>
      </c>
      <c r="M1208" s="17">
        <v>0.95121951219512191</v>
      </c>
      <c r="N1208" s="25">
        <v>7790.25</v>
      </c>
      <c r="O1208" s="25">
        <v>2535</v>
      </c>
      <c r="P1208" s="25">
        <v>7175</v>
      </c>
      <c r="Q1208" s="25">
        <v>17500.25</v>
      </c>
      <c r="R1208" s="18">
        <v>67.308653846153845</v>
      </c>
    </row>
    <row r="1209" spans="1:18" x14ac:dyDescent="0.35">
      <c r="A1209" s="13">
        <v>45927</v>
      </c>
      <c r="B1209">
        <v>2025</v>
      </c>
      <c r="C1209">
        <v>9</v>
      </c>
      <c r="D1209" t="s">
        <v>82</v>
      </c>
      <c r="E1209" t="s">
        <v>84</v>
      </c>
      <c r="F1209">
        <v>256</v>
      </c>
      <c r="G1209">
        <v>256</v>
      </c>
      <c r="H1209">
        <v>0</v>
      </c>
      <c r="I1209">
        <v>13</v>
      </c>
      <c r="J1209" s="17">
        <v>0.75739644970414199</v>
      </c>
      <c r="K1209">
        <v>41</v>
      </c>
      <c r="L1209">
        <v>40</v>
      </c>
      <c r="M1209" s="17">
        <v>0.97560975609756095</v>
      </c>
      <c r="N1209" s="25">
        <v>7790.25</v>
      </c>
      <c r="O1209" s="25">
        <v>2496</v>
      </c>
      <c r="P1209" s="25">
        <v>7175</v>
      </c>
      <c r="Q1209" s="25">
        <v>17461.25</v>
      </c>
      <c r="R1209" s="18">
        <v>68.2080078125</v>
      </c>
    </row>
    <row r="1210" spans="1:18" x14ac:dyDescent="0.35">
      <c r="A1210" s="13">
        <v>45934</v>
      </c>
      <c r="B1210">
        <v>2025</v>
      </c>
      <c r="C1210">
        <v>10</v>
      </c>
      <c r="D1210" t="s">
        <v>82</v>
      </c>
      <c r="E1210" t="s">
        <v>84</v>
      </c>
      <c r="F1210">
        <v>259</v>
      </c>
      <c r="G1210">
        <v>259</v>
      </c>
      <c r="H1210">
        <v>0</v>
      </c>
      <c r="I1210">
        <v>13</v>
      </c>
      <c r="J1210" s="17">
        <v>0.76627218934911245</v>
      </c>
      <c r="K1210">
        <v>41</v>
      </c>
      <c r="L1210">
        <v>39</v>
      </c>
      <c r="M1210" s="17">
        <v>0.95121951219512191</v>
      </c>
      <c r="N1210" s="25">
        <v>7790.25</v>
      </c>
      <c r="O1210" s="25">
        <v>2525.25</v>
      </c>
      <c r="P1210" s="25">
        <v>7175</v>
      </c>
      <c r="Q1210" s="25">
        <v>17490.5</v>
      </c>
      <c r="R1210" s="18">
        <v>67.530888030888036</v>
      </c>
    </row>
    <row r="1211" spans="1:18" x14ac:dyDescent="0.35">
      <c r="A1211" s="13">
        <v>45941</v>
      </c>
      <c r="B1211">
        <v>2025</v>
      </c>
      <c r="C1211">
        <v>10</v>
      </c>
      <c r="D1211" t="s">
        <v>82</v>
      </c>
      <c r="E1211" t="s">
        <v>84</v>
      </c>
      <c r="F1211">
        <v>260</v>
      </c>
      <c r="G1211">
        <v>260</v>
      </c>
      <c r="H1211">
        <v>0</v>
      </c>
      <c r="I1211">
        <v>13</v>
      </c>
      <c r="J1211" s="17">
        <v>0.76923076923076927</v>
      </c>
      <c r="K1211">
        <v>41</v>
      </c>
      <c r="L1211">
        <v>39</v>
      </c>
      <c r="M1211" s="17">
        <v>0.95121951219512191</v>
      </c>
      <c r="N1211" s="25">
        <v>7790.25</v>
      </c>
      <c r="O1211" s="25">
        <v>2535</v>
      </c>
      <c r="P1211" s="25">
        <v>7175</v>
      </c>
      <c r="Q1211" s="25">
        <v>17500.25</v>
      </c>
      <c r="R1211" s="18">
        <v>67.308653846153845</v>
      </c>
    </row>
    <row r="1212" spans="1:18" x14ac:dyDescent="0.35">
      <c r="A1212" s="13">
        <v>45948</v>
      </c>
      <c r="B1212">
        <v>2025</v>
      </c>
      <c r="C1212">
        <v>10</v>
      </c>
      <c r="D1212" t="s">
        <v>82</v>
      </c>
      <c r="E1212" t="s">
        <v>84</v>
      </c>
      <c r="F1212">
        <v>274</v>
      </c>
      <c r="G1212">
        <v>274</v>
      </c>
      <c r="H1212">
        <v>0</v>
      </c>
      <c r="I1212">
        <v>14</v>
      </c>
      <c r="J1212" s="17">
        <v>0.75274725274725274</v>
      </c>
      <c r="K1212">
        <v>41</v>
      </c>
      <c r="L1212">
        <v>39</v>
      </c>
      <c r="M1212" s="17">
        <v>0.95121951219512191</v>
      </c>
      <c r="N1212" s="25">
        <v>8389.5</v>
      </c>
      <c r="O1212" s="25">
        <v>2671.5</v>
      </c>
      <c r="P1212" s="25">
        <v>7175</v>
      </c>
      <c r="Q1212" s="25">
        <v>18236</v>
      </c>
      <c r="R1212" s="18">
        <v>66.554744525547449</v>
      </c>
    </row>
    <row r="1213" spans="1:18" x14ac:dyDescent="0.35">
      <c r="A1213" s="13">
        <v>45955</v>
      </c>
      <c r="B1213">
        <v>2025</v>
      </c>
      <c r="C1213">
        <v>10</v>
      </c>
      <c r="D1213" t="s">
        <v>82</v>
      </c>
      <c r="E1213" t="s">
        <v>84</v>
      </c>
      <c r="F1213">
        <v>285</v>
      </c>
      <c r="G1213">
        <v>285</v>
      </c>
      <c r="H1213">
        <v>0</v>
      </c>
      <c r="I1213">
        <v>15</v>
      </c>
      <c r="J1213" s="17">
        <v>0.73076923076923073</v>
      </c>
      <c r="K1213">
        <v>41</v>
      </c>
      <c r="L1213">
        <v>38</v>
      </c>
      <c r="M1213" s="17">
        <v>0.92682926829268297</v>
      </c>
      <c r="N1213" s="25">
        <v>8988.75</v>
      </c>
      <c r="O1213" s="25">
        <v>2778.75</v>
      </c>
      <c r="P1213" s="25">
        <v>7175</v>
      </c>
      <c r="Q1213" s="25">
        <v>18942.5</v>
      </c>
      <c r="R1213" s="18">
        <v>66.464912280701753</v>
      </c>
    </row>
    <row r="1214" spans="1:18" x14ac:dyDescent="0.35">
      <c r="A1214" s="13">
        <v>45962</v>
      </c>
      <c r="B1214">
        <v>2025</v>
      </c>
      <c r="C1214">
        <v>11</v>
      </c>
      <c r="D1214" t="s">
        <v>82</v>
      </c>
      <c r="E1214" t="s">
        <v>84</v>
      </c>
      <c r="F1214">
        <v>300</v>
      </c>
      <c r="G1214">
        <v>299</v>
      </c>
      <c r="H1214">
        <v>1</v>
      </c>
      <c r="I1214">
        <v>15</v>
      </c>
      <c r="J1214" s="17">
        <v>0.76666666666666672</v>
      </c>
      <c r="K1214">
        <v>41</v>
      </c>
      <c r="L1214">
        <v>40</v>
      </c>
      <c r="M1214" s="17">
        <v>0.97560975609756095</v>
      </c>
      <c r="N1214" s="25">
        <v>8988.75</v>
      </c>
      <c r="O1214" s="25">
        <v>2915.25</v>
      </c>
      <c r="P1214" s="25">
        <v>7175</v>
      </c>
      <c r="Q1214" s="25">
        <v>19079</v>
      </c>
      <c r="R1214" s="18">
        <v>63.809364548494983</v>
      </c>
    </row>
    <row r="1215" spans="1:18" x14ac:dyDescent="0.35">
      <c r="A1215" s="13">
        <v>45969</v>
      </c>
      <c r="B1215">
        <v>2025</v>
      </c>
      <c r="C1215">
        <v>11</v>
      </c>
      <c r="D1215" t="s">
        <v>82</v>
      </c>
      <c r="E1215" t="s">
        <v>84</v>
      </c>
      <c r="F1215">
        <v>334</v>
      </c>
      <c r="G1215">
        <v>330</v>
      </c>
      <c r="H1215">
        <v>5</v>
      </c>
      <c r="I1215">
        <v>16</v>
      </c>
      <c r="J1215" s="17">
        <v>0.79326923076923073</v>
      </c>
      <c r="K1215">
        <v>41</v>
      </c>
      <c r="L1215">
        <v>40</v>
      </c>
      <c r="M1215" s="17">
        <v>0.97560975609756095</v>
      </c>
      <c r="N1215" s="25">
        <v>9588</v>
      </c>
      <c r="O1215" s="25">
        <v>3217.5</v>
      </c>
      <c r="P1215" s="25">
        <v>7175</v>
      </c>
      <c r="Q1215" s="25">
        <v>19980.5</v>
      </c>
      <c r="R1215" s="18">
        <v>60.546969696969697</v>
      </c>
    </row>
    <row r="1216" spans="1:18" x14ac:dyDescent="0.35">
      <c r="A1216" s="13">
        <v>45976</v>
      </c>
      <c r="B1216">
        <v>2025</v>
      </c>
      <c r="C1216">
        <v>11</v>
      </c>
      <c r="D1216" t="s">
        <v>82</v>
      </c>
      <c r="E1216" t="s">
        <v>84</v>
      </c>
      <c r="F1216">
        <v>333</v>
      </c>
      <c r="G1216">
        <v>330</v>
      </c>
      <c r="H1216">
        <v>8</v>
      </c>
      <c r="I1216">
        <v>15</v>
      </c>
      <c r="J1216" s="17">
        <v>0.84615384615384615</v>
      </c>
      <c r="K1216">
        <v>41</v>
      </c>
      <c r="L1216">
        <v>39</v>
      </c>
      <c r="M1216" s="17">
        <v>0.95121951219512191</v>
      </c>
      <c r="N1216" s="25">
        <v>8988.75</v>
      </c>
      <c r="O1216" s="25">
        <v>3217.5</v>
      </c>
      <c r="P1216" s="25">
        <v>7175</v>
      </c>
      <c r="Q1216" s="25">
        <v>19381.25</v>
      </c>
      <c r="R1216" s="18">
        <v>58.731060606060609</v>
      </c>
    </row>
    <row r="1217" spans="1:18" x14ac:dyDescent="0.35">
      <c r="A1217" s="13">
        <v>45983</v>
      </c>
      <c r="B1217">
        <v>2025</v>
      </c>
      <c r="C1217">
        <v>11</v>
      </c>
      <c r="D1217" t="s">
        <v>82</v>
      </c>
      <c r="E1217" t="s">
        <v>84</v>
      </c>
      <c r="F1217">
        <v>329</v>
      </c>
      <c r="G1217">
        <v>329</v>
      </c>
      <c r="H1217">
        <v>8</v>
      </c>
      <c r="I1217">
        <v>15</v>
      </c>
      <c r="J1217" s="17">
        <v>0.84358974358974359</v>
      </c>
      <c r="K1217">
        <v>41</v>
      </c>
      <c r="L1217">
        <v>40</v>
      </c>
      <c r="M1217" s="17">
        <v>0.97560975609756095</v>
      </c>
      <c r="N1217" s="25">
        <v>8988.75</v>
      </c>
      <c r="O1217" s="25">
        <v>3207.75</v>
      </c>
      <c r="P1217" s="25">
        <v>7175</v>
      </c>
      <c r="Q1217" s="25">
        <v>19371.5</v>
      </c>
      <c r="R1217" s="18">
        <v>58.879939209726437</v>
      </c>
    </row>
    <row r="1218" spans="1:18" x14ac:dyDescent="0.35">
      <c r="A1218" s="13">
        <v>45990</v>
      </c>
      <c r="B1218">
        <v>2025</v>
      </c>
      <c r="C1218">
        <v>11</v>
      </c>
      <c r="D1218" t="s">
        <v>82</v>
      </c>
      <c r="E1218" t="s">
        <v>84</v>
      </c>
      <c r="F1218">
        <v>386</v>
      </c>
      <c r="G1218">
        <v>355</v>
      </c>
      <c r="H1218">
        <v>39</v>
      </c>
      <c r="I1218">
        <v>16</v>
      </c>
      <c r="J1218" s="17">
        <v>0.85336538461538458</v>
      </c>
      <c r="K1218">
        <v>41</v>
      </c>
      <c r="L1218">
        <v>38</v>
      </c>
      <c r="M1218" s="17">
        <v>0.92682926829268297</v>
      </c>
      <c r="N1218" s="25">
        <v>9588</v>
      </c>
      <c r="O1218" s="25">
        <v>3461.25</v>
      </c>
      <c r="P1218" s="25">
        <v>7175</v>
      </c>
      <c r="Q1218" s="25">
        <v>20224.25</v>
      </c>
      <c r="R1218" s="18">
        <v>56.969718309859147</v>
      </c>
    </row>
    <row r="1219" spans="1:18" x14ac:dyDescent="0.35">
      <c r="A1219" s="13">
        <v>45997</v>
      </c>
      <c r="B1219">
        <v>2025</v>
      </c>
      <c r="C1219">
        <v>12</v>
      </c>
      <c r="D1219" t="s">
        <v>82</v>
      </c>
      <c r="E1219" t="s">
        <v>84</v>
      </c>
      <c r="F1219">
        <v>394</v>
      </c>
      <c r="G1219">
        <v>358</v>
      </c>
      <c r="H1219">
        <v>75</v>
      </c>
      <c r="I1219">
        <v>16</v>
      </c>
      <c r="J1219" s="17">
        <v>0.86057692307692313</v>
      </c>
      <c r="K1219">
        <v>41</v>
      </c>
      <c r="L1219">
        <v>40</v>
      </c>
      <c r="M1219" s="17">
        <v>0.97560975609756095</v>
      </c>
      <c r="N1219" s="25">
        <v>9588</v>
      </c>
      <c r="O1219" s="25">
        <v>3490.5</v>
      </c>
      <c r="P1219" s="25">
        <v>7175</v>
      </c>
      <c r="Q1219" s="25">
        <v>20253.5</v>
      </c>
      <c r="R1219" s="18">
        <v>56.574022346368707</v>
      </c>
    </row>
    <row r="1220" spans="1:18" x14ac:dyDescent="0.35">
      <c r="A1220" s="13">
        <v>46004</v>
      </c>
      <c r="B1220">
        <v>2025</v>
      </c>
      <c r="C1220">
        <v>12</v>
      </c>
      <c r="D1220" t="s">
        <v>82</v>
      </c>
      <c r="E1220" t="s">
        <v>84</v>
      </c>
      <c r="F1220">
        <v>416</v>
      </c>
      <c r="G1220">
        <v>359</v>
      </c>
      <c r="H1220">
        <v>132</v>
      </c>
      <c r="I1220">
        <v>17</v>
      </c>
      <c r="J1220" s="17">
        <v>0.81221719457013575</v>
      </c>
      <c r="K1220">
        <v>41</v>
      </c>
      <c r="L1220">
        <v>38</v>
      </c>
      <c r="M1220" s="17">
        <v>0.92682926829268297</v>
      </c>
      <c r="N1220" s="25">
        <v>10187.25</v>
      </c>
      <c r="O1220" s="25">
        <v>3500.25</v>
      </c>
      <c r="P1220" s="25">
        <v>7175</v>
      </c>
      <c r="Q1220" s="25">
        <v>20862.5</v>
      </c>
      <c r="R1220" s="18">
        <v>58.112813370473539</v>
      </c>
    </row>
    <row r="1221" spans="1:18" x14ac:dyDescent="0.35">
      <c r="A1221" s="13">
        <v>46011</v>
      </c>
      <c r="B1221">
        <v>2025</v>
      </c>
      <c r="C1221">
        <v>12</v>
      </c>
      <c r="D1221" t="s">
        <v>82</v>
      </c>
      <c r="E1221" t="s">
        <v>84</v>
      </c>
      <c r="F1221">
        <v>370</v>
      </c>
      <c r="G1221">
        <v>359</v>
      </c>
      <c r="H1221">
        <v>143</v>
      </c>
      <c r="I1221">
        <v>16</v>
      </c>
      <c r="J1221" s="17">
        <v>0.86298076923076927</v>
      </c>
      <c r="K1221">
        <v>41</v>
      </c>
      <c r="L1221">
        <v>39</v>
      </c>
      <c r="M1221" s="17">
        <v>0.95121951219512191</v>
      </c>
      <c r="N1221" s="25">
        <v>9588</v>
      </c>
      <c r="O1221" s="25">
        <v>3500.25</v>
      </c>
      <c r="P1221" s="25">
        <v>7175</v>
      </c>
      <c r="Q1221" s="25">
        <v>20263.25</v>
      </c>
      <c r="R1221" s="18">
        <v>56.443593314763227</v>
      </c>
    </row>
    <row r="1222" spans="1:18" x14ac:dyDescent="0.35">
      <c r="A1222" s="13">
        <v>46018</v>
      </c>
      <c r="B1222">
        <v>2025</v>
      </c>
      <c r="C1222">
        <v>12</v>
      </c>
      <c r="D1222" t="s">
        <v>82</v>
      </c>
      <c r="E1222" t="s">
        <v>84</v>
      </c>
      <c r="F1222">
        <v>316</v>
      </c>
      <c r="G1222">
        <v>354</v>
      </c>
      <c r="H1222">
        <v>105</v>
      </c>
      <c r="I1222">
        <v>17</v>
      </c>
      <c r="J1222" s="17">
        <v>0.80090497737556565</v>
      </c>
      <c r="K1222">
        <v>41</v>
      </c>
      <c r="L1222">
        <v>41</v>
      </c>
      <c r="M1222" s="17">
        <v>1</v>
      </c>
      <c r="N1222" s="25">
        <v>10187.25</v>
      </c>
      <c r="O1222" s="25">
        <v>3451.5</v>
      </c>
      <c r="P1222" s="25">
        <v>7175</v>
      </c>
      <c r="Q1222" s="25">
        <v>20813.75</v>
      </c>
      <c r="R1222" s="18">
        <v>58.795903954802263</v>
      </c>
    </row>
    <row r="1223" spans="1:18" x14ac:dyDescent="0.35">
      <c r="A1223" s="13">
        <v>46025</v>
      </c>
      <c r="B1223">
        <v>2026</v>
      </c>
      <c r="C1223">
        <v>1</v>
      </c>
      <c r="D1223" t="s">
        <v>82</v>
      </c>
      <c r="E1223" t="s">
        <v>84</v>
      </c>
      <c r="F1223">
        <v>272</v>
      </c>
      <c r="G1223">
        <v>326</v>
      </c>
      <c r="H1223">
        <v>51</v>
      </c>
      <c r="I1223">
        <v>15</v>
      </c>
      <c r="J1223" s="17">
        <v>0.83589743589743593</v>
      </c>
      <c r="K1223">
        <v>41</v>
      </c>
      <c r="L1223">
        <v>39</v>
      </c>
      <c r="M1223" s="17">
        <v>0.95121951219512191</v>
      </c>
      <c r="N1223" s="25">
        <v>8988.75</v>
      </c>
      <c r="O1223" s="25">
        <v>3178.5</v>
      </c>
      <c r="P1223" s="25">
        <v>7175</v>
      </c>
      <c r="Q1223" s="25">
        <v>19342.25</v>
      </c>
      <c r="R1223" s="18">
        <v>59.33205521472393</v>
      </c>
    </row>
    <row r="1224" spans="1:18" x14ac:dyDescent="0.35">
      <c r="A1224" s="13">
        <v>46032</v>
      </c>
      <c r="B1224">
        <v>2026</v>
      </c>
      <c r="C1224">
        <v>1</v>
      </c>
      <c r="D1224" t="s">
        <v>82</v>
      </c>
      <c r="E1224" t="s">
        <v>84</v>
      </c>
      <c r="F1224">
        <v>216</v>
      </c>
      <c r="G1224">
        <v>256</v>
      </c>
      <c r="H1224">
        <v>11</v>
      </c>
      <c r="I1224">
        <v>13</v>
      </c>
      <c r="J1224" s="17">
        <v>0.75739644970414199</v>
      </c>
      <c r="K1224">
        <v>41</v>
      </c>
      <c r="L1224">
        <v>39</v>
      </c>
      <c r="M1224" s="17">
        <v>0.95121951219512191</v>
      </c>
      <c r="N1224" s="25">
        <v>7790.25</v>
      </c>
      <c r="O1224" s="25">
        <v>2496</v>
      </c>
      <c r="P1224" s="25">
        <v>7175</v>
      </c>
      <c r="Q1224" s="25">
        <v>17461.25</v>
      </c>
      <c r="R1224" s="18">
        <v>68.2080078125</v>
      </c>
    </row>
    <row r="1225" spans="1:18" x14ac:dyDescent="0.35">
      <c r="A1225" s="13">
        <v>46039</v>
      </c>
      <c r="B1225">
        <v>2026</v>
      </c>
      <c r="C1225">
        <v>1</v>
      </c>
      <c r="D1225" t="s">
        <v>82</v>
      </c>
      <c r="E1225" t="s">
        <v>84</v>
      </c>
      <c r="F1225">
        <v>215</v>
      </c>
      <c r="G1225">
        <v>226</v>
      </c>
      <c r="H1225">
        <v>0</v>
      </c>
      <c r="I1225">
        <v>12</v>
      </c>
      <c r="J1225" s="17">
        <v>0.72435897435897434</v>
      </c>
      <c r="K1225">
        <v>41</v>
      </c>
      <c r="L1225">
        <v>39</v>
      </c>
      <c r="M1225" s="17">
        <v>0.95121951219512191</v>
      </c>
      <c r="N1225" s="25">
        <v>7191</v>
      </c>
      <c r="O1225" s="25">
        <v>2203.5</v>
      </c>
      <c r="P1225" s="25">
        <v>7175</v>
      </c>
      <c r="Q1225" s="25">
        <v>16569.5</v>
      </c>
      <c r="R1225" s="18">
        <v>73.31637168141593</v>
      </c>
    </row>
    <row r="1226" spans="1:18" x14ac:dyDescent="0.35">
      <c r="A1226" s="13">
        <v>46046</v>
      </c>
      <c r="B1226">
        <v>2026</v>
      </c>
      <c r="C1226">
        <v>1</v>
      </c>
      <c r="D1226" t="s">
        <v>82</v>
      </c>
      <c r="E1226" t="s">
        <v>84</v>
      </c>
      <c r="F1226">
        <v>221</v>
      </c>
      <c r="G1226">
        <v>221</v>
      </c>
      <c r="H1226">
        <v>0</v>
      </c>
      <c r="I1226">
        <v>12</v>
      </c>
      <c r="J1226" s="17">
        <v>0.70833333333333337</v>
      </c>
      <c r="K1226">
        <v>41</v>
      </c>
      <c r="L1226">
        <v>40</v>
      </c>
      <c r="M1226" s="17">
        <v>0.97560975609756095</v>
      </c>
      <c r="N1226" s="25">
        <v>7191</v>
      </c>
      <c r="O1226" s="25">
        <v>2154.75</v>
      </c>
      <c r="P1226" s="25">
        <v>7175</v>
      </c>
      <c r="Q1226" s="25">
        <v>16520.75</v>
      </c>
      <c r="R1226" s="18">
        <v>74.754524886877832</v>
      </c>
    </row>
    <row r="1227" spans="1:18" x14ac:dyDescent="0.35">
      <c r="A1227" s="13">
        <v>46053</v>
      </c>
      <c r="B1227">
        <v>2026</v>
      </c>
      <c r="C1227">
        <v>1</v>
      </c>
      <c r="D1227" t="s">
        <v>82</v>
      </c>
      <c r="E1227" t="s">
        <v>84</v>
      </c>
      <c r="F1227">
        <v>228</v>
      </c>
      <c r="G1227">
        <v>228</v>
      </c>
      <c r="H1227">
        <v>0</v>
      </c>
      <c r="I1227">
        <v>11</v>
      </c>
      <c r="J1227" s="17">
        <v>0.79720279720279719</v>
      </c>
      <c r="K1227">
        <v>41</v>
      </c>
      <c r="L1227">
        <v>39</v>
      </c>
      <c r="M1227" s="17">
        <v>0.95121951219512191</v>
      </c>
      <c r="N1227" s="25">
        <v>6591.75</v>
      </c>
      <c r="O1227" s="25">
        <v>2223</v>
      </c>
      <c r="P1227" s="25">
        <v>7175</v>
      </c>
      <c r="Q1227" s="25">
        <v>15989.75</v>
      </c>
      <c r="R1227" s="18">
        <v>70.130482456140356</v>
      </c>
    </row>
    <row r="1228" spans="1:18" x14ac:dyDescent="0.35">
      <c r="A1228" s="13">
        <v>46060</v>
      </c>
      <c r="B1228">
        <v>2026</v>
      </c>
      <c r="C1228">
        <v>2</v>
      </c>
      <c r="D1228" t="s">
        <v>82</v>
      </c>
      <c r="E1228" t="s">
        <v>84</v>
      </c>
      <c r="F1228">
        <v>239</v>
      </c>
      <c r="G1228">
        <v>239</v>
      </c>
      <c r="H1228">
        <v>0</v>
      </c>
      <c r="I1228">
        <v>12</v>
      </c>
      <c r="J1228" s="17">
        <v>0.76602564102564108</v>
      </c>
      <c r="K1228">
        <v>41</v>
      </c>
      <c r="L1228">
        <v>41</v>
      </c>
      <c r="M1228" s="17">
        <v>1</v>
      </c>
      <c r="N1228" s="25">
        <v>7191</v>
      </c>
      <c r="O1228" s="25">
        <v>2330.25</v>
      </c>
      <c r="P1228" s="25">
        <v>7175</v>
      </c>
      <c r="Q1228" s="25">
        <v>16696.25</v>
      </c>
      <c r="R1228" s="18">
        <v>69.858786610878667</v>
      </c>
    </row>
    <row r="1229" spans="1:18" x14ac:dyDescent="0.35">
      <c r="A1229" s="13">
        <v>46067</v>
      </c>
      <c r="B1229">
        <v>2026</v>
      </c>
      <c r="C1229">
        <v>2</v>
      </c>
      <c r="D1229" t="s">
        <v>82</v>
      </c>
      <c r="E1229" t="s">
        <v>84</v>
      </c>
      <c r="F1229">
        <v>245</v>
      </c>
      <c r="G1229">
        <v>245</v>
      </c>
      <c r="H1229">
        <v>0</v>
      </c>
      <c r="I1229">
        <v>12</v>
      </c>
      <c r="J1229" s="17">
        <v>0.78525641025641024</v>
      </c>
      <c r="K1229">
        <v>41</v>
      </c>
      <c r="L1229">
        <v>39</v>
      </c>
      <c r="M1229" s="17">
        <v>0.95121951219512191</v>
      </c>
      <c r="N1229" s="25">
        <v>7191</v>
      </c>
      <c r="O1229" s="25">
        <v>2388.75</v>
      </c>
      <c r="P1229" s="25">
        <v>7175</v>
      </c>
      <c r="Q1229" s="25">
        <v>16754.75</v>
      </c>
      <c r="R1229" s="18">
        <v>68.386734693877557</v>
      </c>
    </row>
    <row r="1230" spans="1:18" x14ac:dyDescent="0.35">
      <c r="A1230" s="13">
        <v>46074</v>
      </c>
      <c r="B1230">
        <v>2026</v>
      </c>
      <c r="C1230">
        <v>2</v>
      </c>
      <c r="D1230" t="s">
        <v>82</v>
      </c>
      <c r="E1230" t="s">
        <v>84</v>
      </c>
      <c r="F1230">
        <v>260</v>
      </c>
      <c r="G1230">
        <v>260</v>
      </c>
      <c r="H1230">
        <v>0</v>
      </c>
      <c r="I1230">
        <v>14</v>
      </c>
      <c r="J1230" s="17">
        <v>0.7142857142857143</v>
      </c>
      <c r="K1230">
        <v>41</v>
      </c>
      <c r="L1230">
        <v>36</v>
      </c>
      <c r="M1230" s="17">
        <v>0.87804878048780488</v>
      </c>
      <c r="N1230" s="25">
        <v>8389.5</v>
      </c>
      <c r="O1230" s="25">
        <v>2535</v>
      </c>
      <c r="P1230" s="25">
        <v>7175</v>
      </c>
      <c r="Q1230" s="25">
        <v>18099.5</v>
      </c>
      <c r="R1230" s="18">
        <v>69.613461538461536</v>
      </c>
    </row>
    <row r="1231" spans="1:18" x14ac:dyDescent="0.35">
      <c r="A1231" s="13">
        <v>46081</v>
      </c>
      <c r="B1231">
        <v>2026</v>
      </c>
      <c r="C1231">
        <v>2</v>
      </c>
      <c r="D1231" t="s">
        <v>82</v>
      </c>
      <c r="E1231" t="s">
        <v>84</v>
      </c>
      <c r="F1231">
        <v>257</v>
      </c>
      <c r="G1231">
        <v>257</v>
      </c>
      <c r="H1231">
        <v>0</v>
      </c>
      <c r="I1231">
        <v>13</v>
      </c>
      <c r="J1231" s="17">
        <v>0.76035502958579881</v>
      </c>
      <c r="K1231">
        <v>41</v>
      </c>
      <c r="L1231">
        <v>41</v>
      </c>
      <c r="M1231" s="17">
        <v>1</v>
      </c>
      <c r="N1231" s="25">
        <v>7790.25</v>
      </c>
      <c r="O1231" s="25">
        <v>2505.75</v>
      </c>
      <c r="P1231" s="25">
        <v>7175</v>
      </c>
      <c r="Q1231" s="25">
        <v>17471</v>
      </c>
      <c r="R1231" s="18">
        <v>67.980544747081709</v>
      </c>
    </row>
    <row r="1232" spans="1:18" x14ac:dyDescent="0.35">
      <c r="A1232" s="13">
        <v>46088</v>
      </c>
      <c r="B1232">
        <v>2026</v>
      </c>
      <c r="C1232">
        <v>3</v>
      </c>
      <c r="D1232" t="s">
        <v>82</v>
      </c>
      <c r="E1232" t="s">
        <v>84</v>
      </c>
      <c r="F1232">
        <v>260</v>
      </c>
      <c r="G1232">
        <v>260</v>
      </c>
      <c r="H1232">
        <v>0</v>
      </c>
      <c r="I1232">
        <v>13</v>
      </c>
      <c r="J1232" s="17">
        <v>0.76923076923076927</v>
      </c>
      <c r="K1232">
        <v>41</v>
      </c>
      <c r="L1232">
        <v>37</v>
      </c>
      <c r="M1232" s="17">
        <v>0.90243902439024393</v>
      </c>
      <c r="N1232" s="25">
        <v>7790.25</v>
      </c>
      <c r="O1232" s="25">
        <v>2535</v>
      </c>
      <c r="P1232" s="25">
        <v>7175</v>
      </c>
      <c r="Q1232" s="25">
        <v>17500.25</v>
      </c>
      <c r="R1232" s="18">
        <v>67.308653846153845</v>
      </c>
    </row>
    <row r="1233" spans="1:18" x14ac:dyDescent="0.35">
      <c r="A1233" s="13">
        <v>46095</v>
      </c>
      <c r="B1233">
        <v>2026</v>
      </c>
      <c r="C1233">
        <v>3</v>
      </c>
      <c r="D1233" t="s">
        <v>82</v>
      </c>
      <c r="E1233" t="s">
        <v>84</v>
      </c>
      <c r="F1233">
        <v>267</v>
      </c>
      <c r="G1233">
        <v>267</v>
      </c>
      <c r="H1233">
        <v>0</v>
      </c>
      <c r="I1233">
        <v>14</v>
      </c>
      <c r="J1233" s="17">
        <v>0.73351648351648346</v>
      </c>
      <c r="K1233">
        <v>41</v>
      </c>
      <c r="L1233">
        <v>39</v>
      </c>
      <c r="M1233" s="17">
        <v>0.95121951219512191</v>
      </c>
      <c r="N1233" s="25">
        <v>8389.5</v>
      </c>
      <c r="O1233" s="25">
        <v>2603.25</v>
      </c>
      <c r="P1233" s="25">
        <v>7175</v>
      </c>
      <c r="Q1233" s="25">
        <v>18167.75</v>
      </c>
      <c r="R1233" s="18">
        <v>68.044007490636702</v>
      </c>
    </row>
    <row r="1234" spans="1:18" x14ac:dyDescent="0.35">
      <c r="A1234" s="13">
        <v>46102</v>
      </c>
      <c r="B1234">
        <v>2026</v>
      </c>
      <c r="C1234">
        <v>3</v>
      </c>
      <c r="D1234" t="s">
        <v>82</v>
      </c>
      <c r="E1234" t="s">
        <v>84</v>
      </c>
      <c r="F1234">
        <v>286</v>
      </c>
      <c r="G1234">
        <v>286</v>
      </c>
      <c r="H1234">
        <v>0</v>
      </c>
      <c r="I1234">
        <v>14</v>
      </c>
      <c r="J1234" s="17">
        <v>0.7857142857142857</v>
      </c>
      <c r="K1234">
        <v>41</v>
      </c>
      <c r="L1234">
        <v>41</v>
      </c>
      <c r="M1234" s="17">
        <v>1</v>
      </c>
      <c r="N1234" s="25">
        <v>8389.5</v>
      </c>
      <c r="O1234" s="25">
        <v>2788.5</v>
      </c>
      <c r="P1234" s="25">
        <v>7175</v>
      </c>
      <c r="Q1234" s="25">
        <v>18353</v>
      </c>
      <c r="R1234" s="18">
        <v>64.171328671328666</v>
      </c>
    </row>
    <row r="1235" spans="1:18" x14ac:dyDescent="0.35">
      <c r="A1235" s="13">
        <v>46109</v>
      </c>
      <c r="B1235">
        <v>2026</v>
      </c>
      <c r="C1235">
        <v>3</v>
      </c>
      <c r="D1235" t="s">
        <v>82</v>
      </c>
      <c r="E1235" t="s">
        <v>84</v>
      </c>
      <c r="F1235">
        <v>265</v>
      </c>
      <c r="G1235">
        <v>265</v>
      </c>
      <c r="H1235">
        <v>0</v>
      </c>
      <c r="I1235">
        <v>14</v>
      </c>
      <c r="J1235" s="17">
        <v>0.72802197802197799</v>
      </c>
      <c r="K1235">
        <v>41</v>
      </c>
      <c r="L1235">
        <v>38</v>
      </c>
      <c r="M1235" s="17">
        <v>0.92682926829268297</v>
      </c>
      <c r="N1235" s="25">
        <v>8389.5</v>
      </c>
      <c r="O1235" s="25">
        <v>2583.75</v>
      </c>
      <c r="P1235" s="25">
        <v>7175</v>
      </c>
      <c r="Q1235" s="25">
        <v>18148.25</v>
      </c>
      <c r="R1235" s="18">
        <v>68.483962264150946</v>
      </c>
    </row>
    <row r="1236" spans="1:18" x14ac:dyDescent="0.35">
      <c r="A1236" s="13">
        <v>46116</v>
      </c>
      <c r="B1236">
        <v>2026</v>
      </c>
      <c r="C1236">
        <v>4</v>
      </c>
      <c r="D1236" t="s">
        <v>82</v>
      </c>
      <c r="E1236" t="s">
        <v>84</v>
      </c>
      <c r="F1236">
        <v>274</v>
      </c>
      <c r="G1236">
        <v>274</v>
      </c>
      <c r="H1236">
        <v>0</v>
      </c>
      <c r="I1236">
        <v>14</v>
      </c>
      <c r="J1236" s="17">
        <v>0.75274725274725274</v>
      </c>
      <c r="K1236">
        <v>41</v>
      </c>
      <c r="L1236">
        <v>38</v>
      </c>
      <c r="M1236" s="17">
        <v>0.92682926829268297</v>
      </c>
      <c r="N1236" s="25">
        <v>8389.5</v>
      </c>
      <c r="O1236" s="25">
        <v>2671.5</v>
      </c>
      <c r="P1236" s="25">
        <v>7175</v>
      </c>
      <c r="Q1236" s="25">
        <v>18236</v>
      </c>
      <c r="R1236" s="18">
        <v>66.554744525547449</v>
      </c>
    </row>
    <row r="1237" spans="1:18" x14ac:dyDescent="0.35">
      <c r="A1237" s="13">
        <v>46123</v>
      </c>
      <c r="B1237">
        <v>2026</v>
      </c>
      <c r="C1237">
        <v>4</v>
      </c>
      <c r="D1237" t="s">
        <v>82</v>
      </c>
      <c r="E1237" t="s">
        <v>84</v>
      </c>
      <c r="F1237">
        <v>263</v>
      </c>
      <c r="G1237">
        <v>263</v>
      </c>
      <c r="H1237">
        <v>0</v>
      </c>
      <c r="I1237">
        <v>14</v>
      </c>
      <c r="J1237" s="17">
        <v>0.72252747252747251</v>
      </c>
      <c r="K1237">
        <v>41</v>
      </c>
      <c r="L1237">
        <v>39</v>
      </c>
      <c r="M1237" s="17">
        <v>0.95121951219512191</v>
      </c>
      <c r="N1237" s="25">
        <v>8389.5</v>
      </c>
      <c r="O1237" s="25">
        <v>2564.25</v>
      </c>
      <c r="P1237" s="25">
        <v>7175</v>
      </c>
      <c r="Q1237" s="25">
        <v>18128.75</v>
      </c>
      <c r="R1237" s="18">
        <v>68.930608365019012</v>
      </c>
    </row>
    <row r="1238" spans="1:18" x14ac:dyDescent="0.35">
      <c r="A1238" s="13">
        <v>46130</v>
      </c>
      <c r="B1238">
        <v>2026</v>
      </c>
      <c r="C1238">
        <v>4</v>
      </c>
      <c r="D1238" t="s">
        <v>82</v>
      </c>
      <c r="E1238" t="s">
        <v>84</v>
      </c>
      <c r="F1238">
        <v>263</v>
      </c>
      <c r="G1238">
        <v>263</v>
      </c>
      <c r="H1238">
        <v>0</v>
      </c>
      <c r="I1238">
        <v>13</v>
      </c>
      <c r="J1238" s="17">
        <v>0.77810650887573962</v>
      </c>
      <c r="K1238">
        <v>41</v>
      </c>
      <c r="L1238">
        <v>37</v>
      </c>
      <c r="M1238" s="17">
        <v>0.90243902439024393</v>
      </c>
      <c r="N1238" s="25">
        <v>7790.25</v>
      </c>
      <c r="O1238" s="25">
        <v>2564.25</v>
      </c>
      <c r="P1238" s="25">
        <v>7175</v>
      </c>
      <c r="Q1238" s="25">
        <v>17529.5</v>
      </c>
      <c r="R1238" s="18">
        <v>66.652091254752847</v>
      </c>
    </row>
    <row r="1239" spans="1:18" x14ac:dyDescent="0.35">
      <c r="A1239" s="13">
        <v>46137</v>
      </c>
      <c r="B1239">
        <v>2026</v>
      </c>
      <c r="C1239">
        <v>4</v>
      </c>
      <c r="D1239" t="s">
        <v>82</v>
      </c>
      <c r="E1239" t="s">
        <v>84</v>
      </c>
      <c r="F1239">
        <v>284</v>
      </c>
      <c r="G1239">
        <v>284</v>
      </c>
      <c r="H1239">
        <v>0</v>
      </c>
      <c r="I1239">
        <v>15</v>
      </c>
      <c r="J1239" s="17">
        <v>0.72820512820512817</v>
      </c>
      <c r="K1239">
        <v>41</v>
      </c>
      <c r="L1239">
        <v>40</v>
      </c>
      <c r="M1239" s="17">
        <v>0.97560975609756095</v>
      </c>
      <c r="N1239" s="25">
        <v>8988.75</v>
      </c>
      <c r="O1239" s="25">
        <v>2769</v>
      </c>
      <c r="P1239" s="25">
        <v>7175</v>
      </c>
      <c r="Q1239" s="25">
        <v>18932.75</v>
      </c>
      <c r="R1239" s="18">
        <v>66.664612676056336</v>
      </c>
    </row>
    <row r="1240" spans="1:18" x14ac:dyDescent="0.35">
      <c r="A1240" s="13">
        <v>46144</v>
      </c>
      <c r="B1240">
        <v>2026</v>
      </c>
      <c r="C1240">
        <v>5</v>
      </c>
      <c r="D1240" t="s">
        <v>82</v>
      </c>
      <c r="E1240" t="s">
        <v>84</v>
      </c>
      <c r="F1240">
        <v>281</v>
      </c>
      <c r="G1240">
        <v>281</v>
      </c>
      <c r="H1240">
        <v>0</v>
      </c>
      <c r="I1240">
        <v>14</v>
      </c>
      <c r="J1240" s="17">
        <v>0.77197802197802201</v>
      </c>
      <c r="K1240">
        <v>41</v>
      </c>
      <c r="L1240">
        <v>41</v>
      </c>
      <c r="M1240" s="17">
        <v>1</v>
      </c>
      <c r="N1240" s="25">
        <v>8389.5</v>
      </c>
      <c r="O1240" s="25">
        <v>2739.75</v>
      </c>
      <c r="P1240" s="25">
        <v>7175</v>
      </c>
      <c r="Q1240" s="25">
        <v>18304.25</v>
      </c>
      <c r="R1240" s="18">
        <v>65.139679715302492</v>
      </c>
    </row>
    <row r="1241" spans="1:18" x14ac:dyDescent="0.35">
      <c r="A1241" s="13">
        <v>46151</v>
      </c>
      <c r="B1241">
        <v>2026</v>
      </c>
      <c r="C1241">
        <v>5</v>
      </c>
      <c r="D1241" t="s">
        <v>82</v>
      </c>
      <c r="E1241" t="s">
        <v>84</v>
      </c>
      <c r="F1241">
        <v>286</v>
      </c>
      <c r="G1241">
        <v>286</v>
      </c>
      <c r="H1241">
        <v>0</v>
      </c>
      <c r="I1241">
        <v>15</v>
      </c>
      <c r="J1241" s="17">
        <v>0.73333333333333328</v>
      </c>
      <c r="K1241">
        <v>41</v>
      </c>
      <c r="L1241">
        <v>38</v>
      </c>
      <c r="M1241" s="17">
        <v>0.92682926829268297</v>
      </c>
      <c r="N1241" s="25">
        <v>8988.75</v>
      </c>
      <c r="O1241" s="25">
        <v>2788.5</v>
      </c>
      <c r="P1241" s="25">
        <v>7175</v>
      </c>
      <c r="Q1241" s="25">
        <v>18952.25</v>
      </c>
      <c r="R1241" s="18">
        <v>66.266608391608386</v>
      </c>
    </row>
    <row r="1242" spans="1:18" x14ac:dyDescent="0.35">
      <c r="A1242" s="13">
        <v>46158</v>
      </c>
      <c r="B1242">
        <v>2026</v>
      </c>
      <c r="C1242">
        <v>5</v>
      </c>
      <c r="D1242" t="s">
        <v>82</v>
      </c>
      <c r="E1242" t="s">
        <v>84</v>
      </c>
      <c r="F1242">
        <v>276</v>
      </c>
      <c r="G1242">
        <v>276</v>
      </c>
      <c r="H1242">
        <v>0</v>
      </c>
      <c r="I1242">
        <v>14</v>
      </c>
      <c r="J1242" s="17">
        <v>0.75824175824175821</v>
      </c>
      <c r="K1242">
        <v>41</v>
      </c>
      <c r="L1242">
        <v>38</v>
      </c>
      <c r="M1242" s="17">
        <v>0.92682926829268297</v>
      </c>
      <c r="N1242" s="25">
        <v>8389.5</v>
      </c>
      <c r="O1242" s="25">
        <v>2691</v>
      </c>
      <c r="P1242" s="25">
        <v>7175</v>
      </c>
      <c r="Q1242" s="25">
        <v>18255.5</v>
      </c>
      <c r="R1242" s="18">
        <v>66.143115942028984</v>
      </c>
    </row>
    <row r="1243" spans="1:18" x14ac:dyDescent="0.35">
      <c r="A1243" s="13">
        <v>46165</v>
      </c>
      <c r="B1243">
        <v>2026</v>
      </c>
      <c r="C1243">
        <v>5</v>
      </c>
      <c r="D1243" t="s">
        <v>82</v>
      </c>
      <c r="E1243" t="s">
        <v>84</v>
      </c>
      <c r="F1243">
        <v>274</v>
      </c>
      <c r="G1243">
        <v>274</v>
      </c>
      <c r="H1243">
        <v>0</v>
      </c>
      <c r="I1243">
        <v>14</v>
      </c>
      <c r="J1243" s="17">
        <v>0.75274725274725274</v>
      </c>
      <c r="K1243">
        <v>41</v>
      </c>
      <c r="L1243">
        <v>39</v>
      </c>
      <c r="M1243" s="17">
        <v>0.95121951219512191</v>
      </c>
      <c r="N1243" s="25">
        <v>8389.5</v>
      </c>
      <c r="O1243" s="25">
        <v>2671.5</v>
      </c>
      <c r="P1243" s="25">
        <v>7175</v>
      </c>
      <c r="Q1243" s="25">
        <v>18236</v>
      </c>
      <c r="R1243" s="18">
        <v>66.554744525547449</v>
      </c>
    </row>
    <row r="1244" spans="1:18" x14ac:dyDescent="0.35">
      <c r="A1244" s="13">
        <v>46172</v>
      </c>
      <c r="B1244">
        <v>2026</v>
      </c>
      <c r="C1244">
        <v>5</v>
      </c>
      <c r="D1244" t="s">
        <v>82</v>
      </c>
      <c r="E1244" t="s">
        <v>84</v>
      </c>
      <c r="F1244">
        <v>283</v>
      </c>
      <c r="G1244">
        <v>283</v>
      </c>
      <c r="H1244">
        <v>0</v>
      </c>
      <c r="I1244">
        <v>15</v>
      </c>
      <c r="J1244" s="17">
        <v>0.72564102564102562</v>
      </c>
      <c r="K1244">
        <v>41</v>
      </c>
      <c r="L1244">
        <v>38</v>
      </c>
      <c r="M1244" s="17">
        <v>0.92682926829268297</v>
      </c>
      <c r="N1244" s="25">
        <v>8988.75</v>
      </c>
      <c r="O1244" s="25">
        <v>2759.25</v>
      </c>
      <c r="P1244" s="25">
        <v>7175</v>
      </c>
      <c r="Q1244" s="25">
        <v>18923</v>
      </c>
      <c r="R1244" s="18">
        <v>66.865724381625441</v>
      </c>
    </row>
    <row r="1245" spans="1:18" x14ac:dyDescent="0.35">
      <c r="A1245" s="13">
        <v>46179</v>
      </c>
      <c r="B1245">
        <v>2026</v>
      </c>
      <c r="C1245">
        <v>6</v>
      </c>
      <c r="D1245" t="s">
        <v>82</v>
      </c>
      <c r="E1245" t="s">
        <v>84</v>
      </c>
      <c r="F1245">
        <v>271</v>
      </c>
      <c r="G1245">
        <v>271</v>
      </c>
      <c r="H1245">
        <v>0</v>
      </c>
      <c r="I1245">
        <v>13</v>
      </c>
      <c r="J1245" s="17">
        <v>0.80177514792899407</v>
      </c>
      <c r="K1245">
        <v>41</v>
      </c>
      <c r="L1245">
        <v>38</v>
      </c>
      <c r="M1245" s="17">
        <v>0.92682926829268297</v>
      </c>
      <c r="N1245" s="25">
        <v>7790.25</v>
      </c>
      <c r="O1245" s="25">
        <v>2642.25</v>
      </c>
      <c r="P1245" s="25">
        <v>7175</v>
      </c>
      <c r="Q1245" s="25">
        <v>17607.5</v>
      </c>
      <c r="R1245" s="18">
        <v>64.972324723247226</v>
      </c>
    </row>
    <row r="1246" spans="1:18" x14ac:dyDescent="0.35">
      <c r="A1246" s="13">
        <v>46186</v>
      </c>
      <c r="B1246">
        <v>2026</v>
      </c>
      <c r="C1246">
        <v>6</v>
      </c>
      <c r="D1246" t="s">
        <v>82</v>
      </c>
      <c r="E1246" t="s">
        <v>84</v>
      </c>
      <c r="F1246">
        <v>269</v>
      </c>
      <c r="G1246">
        <v>269</v>
      </c>
      <c r="H1246">
        <v>0</v>
      </c>
      <c r="I1246">
        <v>13</v>
      </c>
      <c r="J1246" s="17">
        <v>0.79585798816568043</v>
      </c>
      <c r="K1246">
        <v>41</v>
      </c>
      <c r="L1246">
        <v>39</v>
      </c>
      <c r="M1246" s="17">
        <v>0.95121951219512191</v>
      </c>
      <c r="N1246" s="25">
        <v>7790.25</v>
      </c>
      <c r="O1246" s="25">
        <v>2622.75</v>
      </c>
      <c r="P1246" s="25">
        <v>7175</v>
      </c>
      <c r="Q1246" s="25">
        <v>17588</v>
      </c>
      <c r="R1246" s="18">
        <v>65.382899628252787</v>
      </c>
    </row>
    <row r="1247" spans="1:18" x14ac:dyDescent="0.35">
      <c r="A1247" s="13">
        <v>46193</v>
      </c>
      <c r="B1247">
        <v>2026</v>
      </c>
      <c r="C1247">
        <v>6</v>
      </c>
      <c r="D1247" t="s">
        <v>82</v>
      </c>
      <c r="E1247" t="s">
        <v>84</v>
      </c>
      <c r="F1247">
        <v>275</v>
      </c>
      <c r="G1247">
        <v>275</v>
      </c>
      <c r="H1247">
        <v>0</v>
      </c>
      <c r="I1247">
        <v>14</v>
      </c>
      <c r="J1247" s="17">
        <v>0.75549450549450547</v>
      </c>
      <c r="K1247">
        <v>41</v>
      </c>
      <c r="L1247">
        <v>39</v>
      </c>
      <c r="M1247" s="17">
        <v>0.95121951219512191</v>
      </c>
      <c r="N1247" s="25">
        <v>8389.5</v>
      </c>
      <c r="O1247" s="25">
        <v>2681.25</v>
      </c>
      <c r="P1247" s="25">
        <v>7175</v>
      </c>
      <c r="Q1247" s="25">
        <v>18245.75</v>
      </c>
      <c r="R1247" s="18">
        <v>66.348181818181814</v>
      </c>
    </row>
    <row r="1248" spans="1:18" x14ac:dyDescent="0.35">
      <c r="A1248" s="13">
        <v>46200</v>
      </c>
      <c r="B1248">
        <v>2026</v>
      </c>
      <c r="C1248">
        <v>6</v>
      </c>
      <c r="D1248" t="s">
        <v>82</v>
      </c>
      <c r="E1248" t="s">
        <v>84</v>
      </c>
      <c r="F1248">
        <v>280</v>
      </c>
      <c r="G1248">
        <v>280</v>
      </c>
      <c r="H1248">
        <v>0</v>
      </c>
      <c r="I1248">
        <v>15</v>
      </c>
      <c r="J1248" s="17">
        <v>0.71794871794871795</v>
      </c>
      <c r="K1248">
        <v>41</v>
      </c>
      <c r="L1248">
        <v>40</v>
      </c>
      <c r="M1248" s="17">
        <v>0.97560975609756095</v>
      </c>
      <c r="N1248" s="25">
        <v>8988.75</v>
      </c>
      <c r="O1248" s="25">
        <v>2730</v>
      </c>
      <c r="P1248" s="25">
        <v>7175</v>
      </c>
      <c r="Q1248" s="25">
        <v>18893.75</v>
      </c>
      <c r="R1248" s="18">
        <v>67.477678571428569</v>
      </c>
    </row>
    <row r="1249" spans="1:18" x14ac:dyDescent="0.35">
      <c r="A1249" s="13">
        <v>46207</v>
      </c>
      <c r="B1249">
        <v>2026</v>
      </c>
      <c r="C1249">
        <v>7</v>
      </c>
      <c r="D1249" t="s">
        <v>82</v>
      </c>
      <c r="E1249" t="s">
        <v>84</v>
      </c>
      <c r="F1249">
        <v>279</v>
      </c>
      <c r="G1249">
        <v>279</v>
      </c>
      <c r="H1249">
        <v>0</v>
      </c>
      <c r="I1249">
        <v>14</v>
      </c>
      <c r="J1249" s="17">
        <v>0.76648351648351654</v>
      </c>
      <c r="K1249">
        <v>41</v>
      </c>
      <c r="L1249">
        <v>40</v>
      </c>
      <c r="M1249" s="17">
        <v>0.97560975609756095</v>
      </c>
      <c r="N1249" s="25">
        <v>8389.5</v>
      </c>
      <c r="O1249" s="25">
        <v>2720.25</v>
      </c>
      <c r="P1249" s="25">
        <v>7175</v>
      </c>
      <c r="Q1249" s="25">
        <v>18284.75</v>
      </c>
      <c r="R1249" s="18">
        <v>65.536738351254485</v>
      </c>
    </row>
    <row r="1250" spans="1:18" x14ac:dyDescent="0.35">
      <c r="A1250" s="13">
        <v>46214</v>
      </c>
      <c r="B1250">
        <v>2026</v>
      </c>
      <c r="C1250">
        <v>7</v>
      </c>
      <c r="D1250" t="s">
        <v>82</v>
      </c>
      <c r="E1250" t="s">
        <v>84</v>
      </c>
      <c r="F1250">
        <v>278</v>
      </c>
      <c r="G1250">
        <v>278</v>
      </c>
      <c r="H1250">
        <v>0</v>
      </c>
      <c r="I1250">
        <v>15</v>
      </c>
      <c r="J1250" s="17">
        <v>0.71282051282051284</v>
      </c>
      <c r="K1250">
        <v>41</v>
      </c>
      <c r="L1250">
        <v>39</v>
      </c>
      <c r="M1250" s="17">
        <v>0.95121951219512191</v>
      </c>
      <c r="N1250" s="25">
        <v>8988.75</v>
      </c>
      <c r="O1250" s="25">
        <v>2710.5</v>
      </c>
      <c r="P1250" s="25">
        <v>7175</v>
      </c>
      <c r="Q1250" s="25">
        <v>18874.25</v>
      </c>
      <c r="R1250" s="18">
        <v>67.892985611510795</v>
      </c>
    </row>
    <row r="1251" spans="1:18" x14ac:dyDescent="0.35">
      <c r="A1251" s="13">
        <v>46221</v>
      </c>
      <c r="B1251">
        <v>2026</v>
      </c>
      <c r="C1251">
        <v>7</v>
      </c>
      <c r="D1251" t="s">
        <v>82</v>
      </c>
      <c r="E1251" t="s">
        <v>84</v>
      </c>
      <c r="F1251">
        <v>280</v>
      </c>
      <c r="G1251">
        <v>280</v>
      </c>
      <c r="H1251">
        <v>0</v>
      </c>
      <c r="I1251">
        <v>15</v>
      </c>
      <c r="J1251" s="17">
        <v>0.71794871794871795</v>
      </c>
      <c r="K1251">
        <v>41</v>
      </c>
      <c r="L1251">
        <v>41</v>
      </c>
      <c r="M1251" s="17">
        <v>1</v>
      </c>
      <c r="N1251" s="25">
        <v>8988.75</v>
      </c>
      <c r="O1251" s="25">
        <v>2730</v>
      </c>
      <c r="P1251" s="25">
        <v>7175</v>
      </c>
      <c r="Q1251" s="25">
        <v>18893.75</v>
      </c>
      <c r="R1251" s="18">
        <v>67.477678571428569</v>
      </c>
    </row>
    <row r="1252" spans="1:18" x14ac:dyDescent="0.35">
      <c r="A1252" s="13">
        <v>46228</v>
      </c>
      <c r="B1252">
        <v>2026</v>
      </c>
      <c r="C1252">
        <v>7</v>
      </c>
      <c r="D1252" t="s">
        <v>82</v>
      </c>
      <c r="E1252" t="s">
        <v>84</v>
      </c>
      <c r="F1252">
        <v>279</v>
      </c>
      <c r="G1252">
        <v>279</v>
      </c>
      <c r="H1252">
        <v>0</v>
      </c>
      <c r="I1252">
        <v>14</v>
      </c>
      <c r="J1252" s="17">
        <v>0.76648351648351654</v>
      </c>
      <c r="K1252">
        <v>41</v>
      </c>
      <c r="L1252">
        <v>40</v>
      </c>
      <c r="M1252" s="17">
        <v>0.97560975609756095</v>
      </c>
      <c r="N1252" s="25">
        <v>8389.5</v>
      </c>
      <c r="O1252" s="25">
        <v>2720.25</v>
      </c>
      <c r="P1252" s="25">
        <v>7175</v>
      </c>
      <c r="Q1252" s="25">
        <v>18284.75</v>
      </c>
      <c r="R1252" s="18">
        <v>65.536738351254485</v>
      </c>
    </row>
    <row r="1253" spans="1:18" x14ac:dyDescent="0.35">
      <c r="A1253" s="13">
        <v>44779</v>
      </c>
      <c r="B1253">
        <v>2022</v>
      </c>
      <c r="C1253">
        <v>8</v>
      </c>
      <c r="D1253" t="s">
        <v>85</v>
      </c>
      <c r="E1253" t="s">
        <v>84</v>
      </c>
      <c r="F1253">
        <v>193</v>
      </c>
      <c r="G1253">
        <v>193</v>
      </c>
      <c r="H1253">
        <v>0</v>
      </c>
      <c r="I1253">
        <v>9</v>
      </c>
      <c r="J1253" s="17">
        <v>0.82478632478632474</v>
      </c>
      <c r="K1253">
        <v>35</v>
      </c>
      <c r="L1253">
        <v>35</v>
      </c>
      <c r="M1253" s="17">
        <v>1</v>
      </c>
      <c r="N1253" s="25">
        <v>9110.25</v>
      </c>
      <c r="O1253" s="25">
        <v>1640.5</v>
      </c>
      <c r="P1253" s="25">
        <v>5425</v>
      </c>
      <c r="Q1253" s="25">
        <v>16175.75</v>
      </c>
      <c r="R1253" s="18">
        <v>83.812176165803109</v>
      </c>
    </row>
    <row r="1254" spans="1:18" x14ac:dyDescent="0.35">
      <c r="A1254" s="13">
        <v>44786</v>
      </c>
      <c r="B1254">
        <v>2022</v>
      </c>
      <c r="C1254">
        <v>8</v>
      </c>
      <c r="D1254" t="s">
        <v>85</v>
      </c>
      <c r="E1254" t="s">
        <v>84</v>
      </c>
      <c r="F1254">
        <v>192</v>
      </c>
      <c r="G1254">
        <v>192</v>
      </c>
      <c r="H1254">
        <v>0</v>
      </c>
      <c r="I1254">
        <v>9</v>
      </c>
      <c r="J1254" s="17">
        <v>0.82051282051282048</v>
      </c>
      <c r="K1254">
        <v>35</v>
      </c>
      <c r="L1254">
        <v>34</v>
      </c>
      <c r="M1254" s="17">
        <v>0.97142857142857142</v>
      </c>
      <c r="N1254" s="25">
        <v>9110.25</v>
      </c>
      <c r="O1254" s="25">
        <v>1632</v>
      </c>
      <c r="P1254" s="25">
        <v>5425</v>
      </c>
      <c r="Q1254" s="25">
        <v>16167.25</v>
      </c>
      <c r="R1254" s="18">
        <v>84.204427083333329</v>
      </c>
    </row>
    <row r="1255" spans="1:18" x14ac:dyDescent="0.35">
      <c r="A1255" s="13">
        <v>44793</v>
      </c>
      <c r="B1255">
        <v>2022</v>
      </c>
      <c r="C1255">
        <v>8</v>
      </c>
      <c r="D1255" t="s">
        <v>85</v>
      </c>
      <c r="E1255" t="s">
        <v>84</v>
      </c>
      <c r="F1255">
        <v>192</v>
      </c>
      <c r="G1255">
        <v>192</v>
      </c>
      <c r="H1255">
        <v>0</v>
      </c>
      <c r="I1255">
        <v>9</v>
      </c>
      <c r="J1255" s="17">
        <v>0.82051282051282048</v>
      </c>
      <c r="K1255">
        <v>35</v>
      </c>
      <c r="L1255">
        <v>32</v>
      </c>
      <c r="M1255" s="17">
        <v>0.91428571428571426</v>
      </c>
      <c r="N1255" s="25">
        <v>9110.25</v>
      </c>
      <c r="O1255" s="25">
        <v>1632</v>
      </c>
      <c r="P1255" s="25">
        <v>5425</v>
      </c>
      <c r="Q1255" s="25">
        <v>16167.25</v>
      </c>
      <c r="R1255" s="18">
        <v>84.204427083333329</v>
      </c>
    </row>
    <row r="1256" spans="1:18" x14ac:dyDescent="0.35">
      <c r="A1256" s="13">
        <v>44800</v>
      </c>
      <c r="B1256">
        <v>2022</v>
      </c>
      <c r="C1256">
        <v>8</v>
      </c>
      <c r="D1256" t="s">
        <v>85</v>
      </c>
      <c r="E1256" t="s">
        <v>84</v>
      </c>
      <c r="F1256">
        <v>185</v>
      </c>
      <c r="G1256">
        <v>185</v>
      </c>
      <c r="H1256">
        <v>0</v>
      </c>
      <c r="I1256">
        <v>9</v>
      </c>
      <c r="J1256" s="17">
        <v>0.79059829059829057</v>
      </c>
      <c r="K1256">
        <v>35</v>
      </c>
      <c r="L1256">
        <v>35</v>
      </c>
      <c r="M1256" s="17">
        <v>1</v>
      </c>
      <c r="N1256" s="25">
        <v>9110.25</v>
      </c>
      <c r="O1256" s="25">
        <v>1572.5</v>
      </c>
      <c r="P1256" s="25">
        <v>5425</v>
      </c>
      <c r="Q1256" s="25">
        <v>16107.75</v>
      </c>
      <c r="R1256" s="18">
        <v>87.068918918918925</v>
      </c>
    </row>
    <row r="1257" spans="1:18" x14ac:dyDescent="0.35">
      <c r="A1257" s="13">
        <v>44807</v>
      </c>
      <c r="B1257">
        <v>2022</v>
      </c>
      <c r="C1257">
        <v>9</v>
      </c>
      <c r="D1257" t="s">
        <v>85</v>
      </c>
      <c r="E1257" t="s">
        <v>84</v>
      </c>
      <c r="F1257">
        <v>186</v>
      </c>
      <c r="G1257">
        <v>186</v>
      </c>
      <c r="H1257">
        <v>0</v>
      </c>
      <c r="I1257">
        <v>9</v>
      </c>
      <c r="J1257" s="17">
        <v>0.79487179487179482</v>
      </c>
      <c r="K1257">
        <v>35</v>
      </c>
      <c r="L1257">
        <v>34</v>
      </c>
      <c r="M1257" s="17">
        <v>0.97142857142857142</v>
      </c>
      <c r="N1257" s="25">
        <v>9110.25</v>
      </c>
      <c r="O1257" s="25">
        <v>1581</v>
      </c>
      <c r="P1257" s="25">
        <v>5425</v>
      </c>
      <c r="Q1257" s="25">
        <v>16116.25</v>
      </c>
      <c r="R1257" s="18">
        <v>86.646505376344081</v>
      </c>
    </row>
    <row r="1258" spans="1:18" x14ac:dyDescent="0.35">
      <c r="A1258" s="13">
        <v>44814</v>
      </c>
      <c r="B1258">
        <v>2022</v>
      </c>
      <c r="C1258">
        <v>9</v>
      </c>
      <c r="D1258" t="s">
        <v>85</v>
      </c>
      <c r="E1258" t="s">
        <v>84</v>
      </c>
      <c r="F1258">
        <v>187</v>
      </c>
      <c r="G1258">
        <v>187</v>
      </c>
      <c r="H1258">
        <v>0</v>
      </c>
      <c r="I1258">
        <v>8</v>
      </c>
      <c r="J1258" s="17">
        <v>0.89903846153846156</v>
      </c>
      <c r="K1258">
        <v>35</v>
      </c>
      <c r="L1258">
        <v>33</v>
      </c>
      <c r="M1258" s="17">
        <v>0.94285714285714284</v>
      </c>
      <c r="N1258" s="25">
        <v>8098</v>
      </c>
      <c r="O1258" s="25">
        <v>1589.5</v>
      </c>
      <c r="P1258" s="25">
        <v>5425</v>
      </c>
      <c r="Q1258" s="25">
        <v>15112.5</v>
      </c>
      <c r="R1258" s="18">
        <v>80.815508021390372</v>
      </c>
    </row>
    <row r="1259" spans="1:18" x14ac:dyDescent="0.35">
      <c r="A1259" s="13">
        <v>44821</v>
      </c>
      <c r="B1259">
        <v>2022</v>
      </c>
      <c r="C1259">
        <v>9</v>
      </c>
      <c r="D1259" t="s">
        <v>85</v>
      </c>
      <c r="E1259" t="s">
        <v>84</v>
      </c>
      <c r="F1259">
        <v>185</v>
      </c>
      <c r="G1259">
        <v>185</v>
      </c>
      <c r="H1259">
        <v>0</v>
      </c>
      <c r="I1259">
        <v>9</v>
      </c>
      <c r="J1259" s="17">
        <v>0.79059829059829057</v>
      </c>
      <c r="K1259">
        <v>35</v>
      </c>
      <c r="L1259">
        <v>32</v>
      </c>
      <c r="M1259" s="17">
        <v>0.91428571428571426</v>
      </c>
      <c r="N1259" s="25">
        <v>9110.25</v>
      </c>
      <c r="O1259" s="25">
        <v>1572.5</v>
      </c>
      <c r="P1259" s="25">
        <v>5425</v>
      </c>
      <c r="Q1259" s="25">
        <v>16107.75</v>
      </c>
      <c r="R1259" s="18">
        <v>87.068918918918925</v>
      </c>
    </row>
    <row r="1260" spans="1:18" x14ac:dyDescent="0.35">
      <c r="A1260" s="13">
        <v>44828</v>
      </c>
      <c r="B1260">
        <v>2022</v>
      </c>
      <c r="C1260">
        <v>9</v>
      </c>
      <c r="D1260" t="s">
        <v>85</v>
      </c>
      <c r="E1260" t="s">
        <v>84</v>
      </c>
      <c r="F1260">
        <v>183</v>
      </c>
      <c r="G1260">
        <v>183</v>
      </c>
      <c r="H1260">
        <v>0</v>
      </c>
      <c r="I1260">
        <v>9</v>
      </c>
      <c r="J1260" s="17">
        <v>0.78205128205128205</v>
      </c>
      <c r="K1260">
        <v>35</v>
      </c>
      <c r="L1260">
        <v>32</v>
      </c>
      <c r="M1260" s="17">
        <v>0.91428571428571426</v>
      </c>
      <c r="N1260" s="25">
        <v>9110.25</v>
      </c>
      <c r="O1260" s="25">
        <v>1555.5</v>
      </c>
      <c r="P1260" s="25">
        <v>5425</v>
      </c>
      <c r="Q1260" s="25">
        <v>16090.75</v>
      </c>
      <c r="R1260" s="18">
        <v>87.927595628415304</v>
      </c>
    </row>
    <row r="1261" spans="1:18" x14ac:dyDescent="0.35">
      <c r="A1261" s="13">
        <v>44835</v>
      </c>
      <c r="B1261">
        <v>2022</v>
      </c>
      <c r="C1261">
        <v>10</v>
      </c>
      <c r="D1261" t="s">
        <v>85</v>
      </c>
      <c r="E1261" t="s">
        <v>84</v>
      </c>
      <c r="F1261">
        <v>189</v>
      </c>
      <c r="G1261">
        <v>189</v>
      </c>
      <c r="H1261">
        <v>0</v>
      </c>
      <c r="I1261">
        <v>10</v>
      </c>
      <c r="J1261" s="17">
        <v>0.72692307692307689</v>
      </c>
      <c r="K1261">
        <v>35</v>
      </c>
      <c r="L1261">
        <v>34</v>
      </c>
      <c r="M1261" s="17">
        <v>0.97142857142857142</v>
      </c>
      <c r="N1261" s="25">
        <v>10122.5</v>
      </c>
      <c r="O1261" s="25">
        <v>1606.5</v>
      </c>
      <c r="P1261" s="25">
        <v>5425</v>
      </c>
      <c r="Q1261" s="25">
        <v>17154</v>
      </c>
      <c r="R1261" s="18">
        <v>90.761904761904759</v>
      </c>
    </row>
    <row r="1262" spans="1:18" x14ac:dyDescent="0.35">
      <c r="A1262" s="13">
        <v>44842</v>
      </c>
      <c r="B1262">
        <v>2022</v>
      </c>
      <c r="C1262">
        <v>10</v>
      </c>
      <c r="D1262" t="s">
        <v>85</v>
      </c>
      <c r="E1262" t="s">
        <v>84</v>
      </c>
      <c r="F1262">
        <v>178</v>
      </c>
      <c r="G1262">
        <v>178</v>
      </c>
      <c r="H1262">
        <v>0</v>
      </c>
      <c r="I1262">
        <v>9</v>
      </c>
      <c r="J1262" s="17">
        <v>0.76068376068376065</v>
      </c>
      <c r="K1262">
        <v>35</v>
      </c>
      <c r="L1262">
        <v>31</v>
      </c>
      <c r="M1262" s="17">
        <v>0.88571428571428568</v>
      </c>
      <c r="N1262" s="25">
        <v>9110.25</v>
      </c>
      <c r="O1262" s="25">
        <v>1513</v>
      </c>
      <c r="P1262" s="25">
        <v>5425</v>
      </c>
      <c r="Q1262" s="25">
        <v>16048.25</v>
      </c>
      <c r="R1262" s="18">
        <v>90.158707865168537</v>
      </c>
    </row>
    <row r="1263" spans="1:18" x14ac:dyDescent="0.35">
      <c r="A1263" s="13">
        <v>44849</v>
      </c>
      <c r="B1263">
        <v>2022</v>
      </c>
      <c r="C1263">
        <v>10</v>
      </c>
      <c r="D1263" t="s">
        <v>85</v>
      </c>
      <c r="E1263" t="s">
        <v>84</v>
      </c>
      <c r="F1263">
        <v>184</v>
      </c>
      <c r="G1263">
        <v>184</v>
      </c>
      <c r="H1263">
        <v>0</v>
      </c>
      <c r="I1263">
        <v>9</v>
      </c>
      <c r="J1263" s="17">
        <v>0.78632478632478631</v>
      </c>
      <c r="K1263">
        <v>35</v>
      </c>
      <c r="L1263">
        <v>35</v>
      </c>
      <c r="M1263" s="17">
        <v>1</v>
      </c>
      <c r="N1263" s="25">
        <v>9110.25</v>
      </c>
      <c r="O1263" s="25">
        <v>1564</v>
      </c>
      <c r="P1263" s="25">
        <v>5425</v>
      </c>
      <c r="Q1263" s="25">
        <v>16099.25</v>
      </c>
      <c r="R1263" s="18">
        <v>87.495923913043484</v>
      </c>
    </row>
    <row r="1264" spans="1:18" x14ac:dyDescent="0.35">
      <c r="A1264" s="13">
        <v>44856</v>
      </c>
      <c r="B1264">
        <v>2022</v>
      </c>
      <c r="C1264">
        <v>10</v>
      </c>
      <c r="D1264" t="s">
        <v>85</v>
      </c>
      <c r="E1264" t="s">
        <v>84</v>
      </c>
      <c r="F1264">
        <v>187</v>
      </c>
      <c r="G1264">
        <v>187</v>
      </c>
      <c r="H1264">
        <v>0</v>
      </c>
      <c r="I1264">
        <v>9</v>
      </c>
      <c r="J1264" s="17">
        <v>0.79914529914529919</v>
      </c>
      <c r="K1264">
        <v>35</v>
      </c>
      <c r="L1264">
        <v>34</v>
      </c>
      <c r="M1264" s="17">
        <v>0.97142857142857142</v>
      </c>
      <c r="N1264" s="25">
        <v>9110.25</v>
      </c>
      <c r="O1264" s="25">
        <v>1589.5</v>
      </c>
      <c r="P1264" s="25">
        <v>5425</v>
      </c>
      <c r="Q1264" s="25">
        <v>16124.75</v>
      </c>
      <c r="R1264" s="18">
        <v>86.228609625668454</v>
      </c>
    </row>
    <row r="1265" spans="1:18" x14ac:dyDescent="0.35">
      <c r="A1265" s="13">
        <v>44863</v>
      </c>
      <c r="B1265">
        <v>2022</v>
      </c>
      <c r="C1265">
        <v>10</v>
      </c>
      <c r="D1265" t="s">
        <v>85</v>
      </c>
      <c r="E1265" t="s">
        <v>84</v>
      </c>
      <c r="F1265">
        <v>204</v>
      </c>
      <c r="G1265">
        <v>204</v>
      </c>
      <c r="H1265">
        <v>0</v>
      </c>
      <c r="I1265">
        <v>10</v>
      </c>
      <c r="J1265" s="17">
        <v>0.7846153846153846</v>
      </c>
      <c r="K1265">
        <v>35</v>
      </c>
      <c r="L1265">
        <v>33</v>
      </c>
      <c r="M1265" s="17">
        <v>0.94285714285714284</v>
      </c>
      <c r="N1265" s="25">
        <v>10122.5</v>
      </c>
      <c r="O1265" s="25">
        <v>1734</v>
      </c>
      <c r="P1265" s="25">
        <v>5425</v>
      </c>
      <c r="Q1265" s="25">
        <v>17281.5</v>
      </c>
      <c r="R1265" s="18">
        <v>84.713235294117652</v>
      </c>
    </row>
    <row r="1266" spans="1:18" x14ac:dyDescent="0.35">
      <c r="A1266" s="13">
        <v>44870</v>
      </c>
      <c r="B1266">
        <v>2022</v>
      </c>
      <c r="C1266">
        <v>11</v>
      </c>
      <c r="D1266" t="s">
        <v>85</v>
      </c>
      <c r="E1266" t="s">
        <v>84</v>
      </c>
      <c r="F1266">
        <v>205</v>
      </c>
      <c r="G1266">
        <v>205</v>
      </c>
      <c r="H1266">
        <v>0</v>
      </c>
      <c r="I1266">
        <v>9</v>
      </c>
      <c r="J1266" s="17">
        <v>0.87606837606837606</v>
      </c>
      <c r="K1266">
        <v>35</v>
      </c>
      <c r="L1266">
        <v>33</v>
      </c>
      <c r="M1266" s="17">
        <v>0.94285714285714284</v>
      </c>
      <c r="N1266" s="25">
        <v>9110.25</v>
      </c>
      <c r="O1266" s="25">
        <v>1742.5</v>
      </c>
      <c r="P1266" s="25">
        <v>5425</v>
      </c>
      <c r="Q1266" s="25">
        <v>16277.75</v>
      </c>
      <c r="R1266" s="18">
        <v>79.403658536585368</v>
      </c>
    </row>
    <row r="1267" spans="1:18" x14ac:dyDescent="0.35">
      <c r="A1267" s="13">
        <v>44877</v>
      </c>
      <c r="B1267">
        <v>2022</v>
      </c>
      <c r="C1267">
        <v>11</v>
      </c>
      <c r="D1267" t="s">
        <v>85</v>
      </c>
      <c r="E1267" t="s">
        <v>84</v>
      </c>
      <c r="F1267">
        <v>215</v>
      </c>
      <c r="G1267">
        <v>215</v>
      </c>
      <c r="H1267">
        <v>0</v>
      </c>
      <c r="I1267">
        <v>10</v>
      </c>
      <c r="J1267" s="17">
        <v>0.82692307692307687</v>
      </c>
      <c r="K1267">
        <v>35</v>
      </c>
      <c r="L1267">
        <v>35</v>
      </c>
      <c r="M1267" s="17">
        <v>1</v>
      </c>
      <c r="N1267" s="25">
        <v>10122.5</v>
      </c>
      <c r="O1267" s="25">
        <v>1827.5</v>
      </c>
      <c r="P1267" s="25">
        <v>5425</v>
      </c>
      <c r="Q1267" s="25">
        <v>17375</v>
      </c>
      <c r="R1267" s="18">
        <v>80.813953488372093</v>
      </c>
    </row>
    <row r="1268" spans="1:18" x14ac:dyDescent="0.35">
      <c r="A1268" s="13">
        <v>44884</v>
      </c>
      <c r="B1268">
        <v>2022</v>
      </c>
      <c r="C1268">
        <v>11</v>
      </c>
      <c r="D1268" t="s">
        <v>85</v>
      </c>
      <c r="E1268" t="s">
        <v>84</v>
      </c>
      <c r="F1268">
        <v>230</v>
      </c>
      <c r="G1268">
        <v>229</v>
      </c>
      <c r="H1268">
        <v>1</v>
      </c>
      <c r="I1268">
        <v>12</v>
      </c>
      <c r="J1268" s="17">
        <v>0.73397435897435892</v>
      </c>
      <c r="K1268">
        <v>35</v>
      </c>
      <c r="L1268">
        <v>34</v>
      </c>
      <c r="M1268" s="17">
        <v>0.97142857142857142</v>
      </c>
      <c r="N1268" s="25">
        <v>12147</v>
      </c>
      <c r="O1268" s="25">
        <v>1946.5</v>
      </c>
      <c r="P1268" s="25">
        <v>5425</v>
      </c>
      <c r="Q1268" s="25">
        <v>19518.5</v>
      </c>
      <c r="R1268" s="18">
        <v>85.233624454148469</v>
      </c>
    </row>
    <row r="1269" spans="1:18" x14ac:dyDescent="0.35">
      <c r="A1269" s="13">
        <v>44891</v>
      </c>
      <c r="B1269">
        <v>2022</v>
      </c>
      <c r="C1269">
        <v>11</v>
      </c>
      <c r="D1269" t="s">
        <v>85</v>
      </c>
      <c r="E1269" t="s">
        <v>84</v>
      </c>
      <c r="F1269">
        <v>263</v>
      </c>
      <c r="G1269">
        <v>259</v>
      </c>
      <c r="H1269">
        <v>5</v>
      </c>
      <c r="I1269">
        <v>13</v>
      </c>
      <c r="J1269" s="17">
        <v>0.76627218934911245</v>
      </c>
      <c r="K1269">
        <v>35</v>
      </c>
      <c r="L1269">
        <v>34</v>
      </c>
      <c r="M1269" s="17">
        <v>0.97142857142857142</v>
      </c>
      <c r="N1269" s="25">
        <v>13159.25</v>
      </c>
      <c r="O1269" s="25">
        <v>2201.5</v>
      </c>
      <c r="P1269" s="25">
        <v>5425</v>
      </c>
      <c r="Q1269" s="25">
        <v>20785.75</v>
      </c>
      <c r="R1269" s="18">
        <v>80.253861003861005</v>
      </c>
    </row>
    <row r="1270" spans="1:18" x14ac:dyDescent="0.35">
      <c r="A1270" s="13">
        <v>44898</v>
      </c>
      <c r="B1270">
        <v>2022</v>
      </c>
      <c r="C1270">
        <v>12</v>
      </c>
      <c r="D1270" t="s">
        <v>85</v>
      </c>
      <c r="E1270" t="s">
        <v>84</v>
      </c>
      <c r="F1270">
        <v>279</v>
      </c>
      <c r="G1270">
        <v>268</v>
      </c>
      <c r="H1270">
        <v>16</v>
      </c>
      <c r="I1270">
        <v>12</v>
      </c>
      <c r="J1270" s="17">
        <v>0.85897435897435892</v>
      </c>
      <c r="K1270">
        <v>35</v>
      </c>
      <c r="L1270">
        <v>35</v>
      </c>
      <c r="M1270" s="17">
        <v>1</v>
      </c>
      <c r="N1270" s="25">
        <v>12147</v>
      </c>
      <c r="O1270" s="25">
        <v>2278</v>
      </c>
      <c r="P1270" s="25">
        <v>5425</v>
      </c>
      <c r="Q1270" s="25">
        <v>19850</v>
      </c>
      <c r="R1270" s="18">
        <v>74.067164179104481</v>
      </c>
    </row>
    <row r="1271" spans="1:18" x14ac:dyDescent="0.35">
      <c r="A1271" s="13">
        <v>44905</v>
      </c>
      <c r="B1271">
        <v>2022</v>
      </c>
      <c r="C1271">
        <v>12</v>
      </c>
      <c r="D1271" t="s">
        <v>85</v>
      </c>
      <c r="E1271" t="s">
        <v>84</v>
      </c>
      <c r="F1271">
        <v>295</v>
      </c>
      <c r="G1271">
        <v>279</v>
      </c>
      <c r="H1271">
        <v>32</v>
      </c>
      <c r="I1271">
        <v>14</v>
      </c>
      <c r="J1271" s="17">
        <v>0.76648351648351654</v>
      </c>
      <c r="K1271">
        <v>35</v>
      </c>
      <c r="L1271">
        <v>33</v>
      </c>
      <c r="M1271" s="17">
        <v>0.94285714285714284</v>
      </c>
      <c r="N1271" s="25">
        <v>14171.5</v>
      </c>
      <c r="O1271" s="25">
        <v>2371.5</v>
      </c>
      <c r="P1271" s="25">
        <v>5425</v>
      </c>
      <c r="Q1271" s="25">
        <v>21968</v>
      </c>
      <c r="R1271" s="18">
        <v>78.738351254480293</v>
      </c>
    </row>
    <row r="1272" spans="1:18" x14ac:dyDescent="0.35">
      <c r="A1272" s="13">
        <v>44912</v>
      </c>
      <c r="B1272">
        <v>2022</v>
      </c>
      <c r="C1272">
        <v>12</v>
      </c>
      <c r="D1272" t="s">
        <v>85</v>
      </c>
      <c r="E1272" t="s">
        <v>84</v>
      </c>
      <c r="F1272">
        <v>271</v>
      </c>
      <c r="G1272">
        <v>277</v>
      </c>
      <c r="H1272">
        <v>26</v>
      </c>
      <c r="I1272">
        <v>14</v>
      </c>
      <c r="J1272" s="17">
        <v>0.76098901098901095</v>
      </c>
      <c r="K1272">
        <v>35</v>
      </c>
      <c r="L1272">
        <v>34</v>
      </c>
      <c r="M1272" s="17">
        <v>0.97142857142857142</v>
      </c>
      <c r="N1272" s="25">
        <v>14171.5</v>
      </c>
      <c r="O1272" s="25">
        <v>2354.5</v>
      </c>
      <c r="P1272" s="25">
        <v>5425</v>
      </c>
      <c r="Q1272" s="25">
        <v>21951</v>
      </c>
      <c r="R1272" s="18">
        <v>79.245487364620942</v>
      </c>
    </row>
    <row r="1273" spans="1:18" x14ac:dyDescent="0.35">
      <c r="A1273" s="13">
        <v>44919</v>
      </c>
      <c r="B1273">
        <v>2022</v>
      </c>
      <c r="C1273">
        <v>12</v>
      </c>
      <c r="D1273" t="s">
        <v>85</v>
      </c>
      <c r="E1273" t="s">
        <v>84</v>
      </c>
      <c r="F1273">
        <v>232</v>
      </c>
      <c r="G1273">
        <v>247</v>
      </c>
      <c r="H1273">
        <v>11</v>
      </c>
      <c r="I1273">
        <v>12</v>
      </c>
      <c r="J1273" s="17">
        <v>0.79166666666666663</v>
      </c>
      <c r="K1273">
        <v>35</v>
      </c>
      <c r="L1273">
        <v>32</v>
      </c>
      <c r="M1273" s="17">
        <v>0.91428571428571426</v>
      </c>
      <c r="N1273" s="25">
        <v>12147</v>
      </c>
      <c r="O1273" s="25">
        <v>2099.5</v>
      </c>
      <c r="P1273" s="25">
        <v>5425</v>
      </c>
      <c r="Q1273" s="25">
        <v>19671.5</v>
      </c>
      <c r="R1273" s="18">
        <v>79.641700404858298</v>
      </c>
    </row>
    <row r="1274" spans="1:18" x14ac:dyDescent="0.35">
      <c r="A1274" s="13">
        <v>44926</v>
      </c>
      <c r="B1274">
        <v>2022</v>
      </c>
      <c r="C1274">
        <v>12</v>
      </c>
      <c r="D1274" t="s">
        <v>85</v>
      </c>
      <c r="E1274" t="s">
        <v>84</v>
      </c>
      <c r="F1274">
        <v>194</v>
      </c>
      <c r="G1274">
        <v>203</v>
      </c>
      <c r="H1274">
        <v>2</v>
      </c>
      <c r="I1274">
        <v>10</v>
      </c>
      <c r="J1274" s="17">
        <v>0.78076923076923077</v>
      </c>
      <c r="K1274">
        <v>35</v>
      </c>
      <c r="L1274">
        <v>34</v>
      </c>
      <c r="M1274" s="17">
        <v>0.97142857142857142</v>
      </c>
      <c r="N1274" s="25">
        <v>10122.5</v>
      </c>
      <c r="O1274" s="25">
        <v>1725.5</v>
      </c>
      <c r="P1274" s="25">
        <v>5425</v>
      </c>
      <c r="Q1274" s="25">
        <v>17273</v>
      </c>
      <c r="R1274" s="18">
        <v>85.088669950738918</v>
      </c>
    </row>
    <row r="1275" spans="1:18" x14ac:dyDescent="0.35">
      <c r="A1275" s="13">
        <v>44933</v>
      </c>
      <c r="B1275">
        <v>2023</v>
      </c>
      <c r="C1275">
        <v>1</v>
      </c>
      <c r="D1275" t="s">
        <v>85</v>
      </c>
      <c r="E1275" t="s">
        <v>84</v>
      </c>
      <c r="F1275">
        <v>170</v>
      </c>
      <c r="G1275">
        <v>172</v>
      </c>
      <c r="H1275">
        <v>0</v>
      </c>
      <c r="I1275">
        <v>9</v>
      </c>
      <c r="J1275" s="17">
        <v>0.7350427350427351</v>
      </c>
      <c r="K1275">
        <v>35</v>
      </c>
      <c r="L1275">
        <v>32</v>
      </c>
      <c r="M1275" s="17">
        <v>0.91428571428571426</v>
      </c>
      <c r="N1275" s="25">
        <v>9110.25</v>
      </c>
      <c r="O1275" s="25">
        <v>1462</v>
      </c>
      <c r="P1275" s="25">
        <v>5425</v>
      </c>
      <c r="Q1275" s="25">
        <v>15997.25</v>
      </c>
      <c r="R1275" s="18">
        <v>93.007267441860463</v>
      </c>
    </row>
    <row r="1276" spans="1:18" x14ac:dyDescent="0.35">
      <c r="A1276" s="13">
        <v>44940</v>
      </c>
      <c r="B1276">
        <v>2023</v>
      </c>
      <c r="C1276">
        <v>1</v>
      </c>
      <c r="D1276" t="s">
        <v>85</v>
      </c>
      <c r="E1276" t="s">
        <v>84</v>
      </c>
      <c r="F1276">
        <v>139</v>
      </c>
      <c r="G1276">
        <v>139</v>
      </c>
      <c r="H1276">
        <v>0</v>
      </c>
      <c r="I1276">
        <v>8</v>
      </c>
      <c r="J1276" s="17">
        <v>0.66826923076923073</v>
      </c>
      <c r="K1276">
        <v>35</v>
      </c>
      <c r="L1276">
        <v>34</v>
      </c>
      <c r="M1276" s="17">
        <v>0.97142857142857142</v>
      </c>
      <c r="N1276" s="25">
        <v>8098</v>
      </c>
      <c r="O1276" s="25">
        <v>1181.5</v>
      </c>
      <c r="P1276" s="25">
        <v>5425</v>
      </c>
      <c r="Q1276" s="25">
        <v>14704.5</v>
      </c>
      <c r="R1276" s="18">
        <v>105.7877697841727</v>
      </c>
    </row>
    <row r="1277" spans="1:18" x14ac:dyDescent="0.35">
      <c r="A1277" s="13">
        <v>44947</v>
      </c>
      <c r="B1277">
        <v>2023</v>
      </c>
      <c r="C1277">
        <v>1</v>
      </c>
      <c r="D1277" t="s">
        <v>85</v>
      </c>
      <c r="E1277" t="s">
        <v>84</v>
      </c>
      <c r="F1277">
        <v>158</v>
      </c>
      <c r="G1277">
        <v>158</v>
      </c>
      <c r="H1277">
        <v>0</v>
      </c>
      <c r="I1277">
        <v>8</v>
      </c>
      <c r="J1277" s="17">
        <v>0.75961538461538458</v>
      </c>
      <c r="K1277">
        <v>35</v>
      </c>
      <c r="L1277">
        <v>35</v>
      </c>
      <c r="M1277" s="17">
        <v>1</v>
      </c>
      <c r="N1277" s="25">
        <v>8098</v>
      </c>
      <c r="O1277" s="25">
        <v>1343</v>
      </c>
      <c r="P1277" s="25">
        <v>5425</v>
      </c>
      <c r="Q1277" s="25">
        <v>14866</v>
      </c>
      <c r="R1277" s="18">
        <v>94.088607594936704</v>
      </c>
    </row>
    <row r="1278" spans="1:18" x14ac:dyDescent="0.35">
      <c r="A1278" s="13">
        <v>44954</v>
      </c>
      <c r="B1278">
        <v>2023</v>
      </c>
      <c r="C1278">
        <v>1</v>
      </c>
      <c r="D1278" t="s">
        <v>85</v>
      </c>
      <c r="E1278" t="s">
        <v>84</v>
      </c>
      <c r="F1278">
        <v>159</v>
      </c>
      <c r="G1278">
        <v>159</v>
      </c>
      <c r="H1278">
        <v>0</v>
      </c>
      <c r="I1278">
        <v>9</v>
      </c>
      <c r="J1278" s="17">
        <v>0.67948717948717952</v>
      </c>
      <c r="K1278">
        <v>35</v>
      </c>
      <c r="L1278">
        <v>32</v>
      </c>
      <c r="M1278" s="17">
        <v>0.91428571428571426</v>
      </c>
      <c r="N1278" s="25">
        <v>9110.25</v>
      </c>
      <c r="O1278" s="25">
        <v>1351.5</v>
      </c>
      <c r="P1278" s="25">
        <v>5425</v>
      </c>
      <c r="Q1278" s="25">
        <v>15886.75</v>
      </c>
      <c r="R1278" s="18">
        <v>99.916666666666671</v>
      </c>
    </row>
    <row r="1279" spans="1:18" x14ac:dyDescent="0.35">
      <c r="A1279" s="13">
        <v>44961</v>
      </c>
      <c r="B1279">
        <v>2023</v>
      </c>
      <c r="C1279">
        <v>2</v>
      </c>
      <c r="D1279" t="s">
        <v>85</v>
      </c>
      <c r="E1279" t="s">
        <v>84</v>
      </c>
      <c r="F1279">
        <v>158</v>
      </c>
      <c r="G1279">
        <v>158</v>
      </c>
      <c r="H1279">
        <v>0</v>
      </c>
      <c r="I1279">
        <v>8</v>
      </c>
      <c r="J1279" s="17">
        <v>0.75961538461538458</v>
      </c>
      <c r="K1279">
        <v>35</v>
      </c>
      <c r="L1279">
        <v>33</v>
      </c>
      <c r="M1279" s="17">
        <v>0.94285714285714284</v>
      </c>
      <c r="N1279" s="25">
        <v>8098</v>
      </c>
      <c r="O1279" s="25">
        <v>1343</v>
      </c>
      <c r="P1279" s="25">
        <v>5425</v>
      </c>
      <c r="Q1279" s="25">
        <v>14866</v>
      </c>
      <c r="R1279" s="18">
        <v>94.088607594936704</v>
      </c>
    </row>
    <row r="1280" spans="1:18" x14ac:dyDescent="0.35">
      <c r="A1280" s="13">
        <v>44968</v>
      </c>
      <c r="B1280">
        <v>2023</v>
      </c>
      <c r="C1280">
        <v>2</v>
      </c>
      <c r="D1280" t="s">
        <v>85</v>
      </c>
      <c r="E1280" t="s">
        <v>84</v>
      </c>
      <c r="F1280">
        <v>174</v>
      </c>
      <c r="G1280">
        <v>174</v>
      </c>
      <c r="H1280">
        <v>0</v>
      </c>
      <c r="I1280">
        <v>9</v>
      </c>
      <c r="J1280" s="17">
        <v>0.74358974358974361</v>
      </c>
      <c r="K1280">
        <v>35</v>
      </c>
      <c r="L1280">
        <v>35</v>
      </c>
      <c r="M1280" s="17">
        <v>1</v>
      </c>
      <c r="N1280" s="25">
        <v>9110.25</v>
      </c>
      <c r="O1280" s="25">
        <v>1479</v>
      </c>
      <c r="P1280" s="25">
        <v>5425</v>
      </c>
      <c r="Q1280" s="25">
        <v>16014.25</v>
      </c>
      <c r="R1280" s="18">
        <v>92.035919540229884</v>
      </c>
    </row>
    <row r="1281" spans="1:18" x14ac:dyDescent="0.35">
      <c r="A1281" s="13">
        <v>44975</v>
      </c>
      <c r="B1281">
        <v>2023</v>
      </c>
      <c r="C1281">
        <v>2</v>
      </c>
      <c r="D1281" t="s">
        <v>85</v>
      </c>
      <c r="E1281" t="s">
        <v>84</v>
      </c>
      <c r="F1281">
        <v>176</v>
      </c>
      <c r="G1281">
        <v>176</v>
      </c>
      <c r="H1281">
        <v>0</v>
      </c>
      <c r="I1281">
        <v>9</v>
      </c>
      <c r="J1281" s="17">
        <v>0.75213675213675213</v>
      </c>
      <c r="K1281">
        <v>35</v>
      </c>
      <c r="L1281">
        <v>34</v>
      </c>
      <c r="M1281" s="17">
        <v>0.97142857142857142</v>
      </c>
      <c r="N1281" s="25">
        <v>9110.25</v>
      </c>
      <c r="O1281" s="25">
        <v>1496</v>
      </c>
      <c r="P1281" s="25">
        <v>5425</v>
      </c>
      <c r="Q1281" s="25">
        <v>16031.25</v>
      </c>
      <c r="R1281" s="18">
        <v>91.086647727272734</v>
      </c>
    </row>
    <row r="1282" spans="1:18" x14ac:dyDescent="0.35">
      <c r="A1282" s="13">
        <v>44982</v>
      </c>
      <c r="B1282">
        <v>2023</v>
      </c>
      <c r="C1282">
        <v>2</v>
      </c>
      <c r="D1282" t="s">
        <v>85</v>
      </c>
      <c r="E1282" t="s">
        <v>84</v>
      </c>
      <c r="F1282">
        <v>177</v>
      </c>
      <c r="G1282">
        <v>177</v>
      </c>
      <c r="H1282">
        <v>0</v>
      </c>
      <c r="I1282">
        <v>8</v>
      </c>
      <c r="J1282" s="17">
        <v>0.85096153846153844</v>
      </c>
      <c r="K1282">
        <v>35</v>
      </c>
      <c r="L1282">
        <v>33</v>
      </c>
      <c r="M1282" s="17">
        <v>0.94285714285714284</v>
      </c>
      <c r="N1282" s="25">
        <v>8098</v>
      </c>
      <c r="O1282" s="25">
        <v>1504.5</v>
      </c>
      <c r="P1282" s="25">
        <v>5425</v>
      </c>
      <c r="Q1282" s="25">
        <v>15027.5</v>
      </c>
      <c r="R1282" s="18">
        <v>84.901129943502823</v>
      </c>
    </row>
    <row r="1283" spans="1:18" x14ac:dyDescent="0.35">
      <c r="A1283" s="13">
        <v>44989</v>
      </c>
      <c r="B1283">
        <v>2023</v>
      </c>
      <c r="C1283">
        <v>3</v>
      </c>
      <c r="D1283" t="s">
        <v>85</v>
      </c>
      <c r="E1283" t="s">
        <v>84</v>
      </c>
      <c r="F1283">
        <v>185</v>
      </c>
      <c r="G1283">
        <v>185</v>
      </c>
      <c r="H1283">
        <v>0</v>
      </c>
      <c r="I1283">
        <v>9</v>
      </c>
      <c r="J1283" s="17">
        <v>0.79059829059829057</v>
      </c>
      <c r="K1283">
        <v>35</v>
      </c>
      <c r="L1283">
        <v>32</v>
      </c>
      <c r="M1283" s="17">
        <v>0.91428571428571426</v>
      </c>
      <c r="N1283" s="25">
        <v>9110.25</v>
      </c>
      <c r="O1283" s="25">
        <v>1572.5</v>
      </c>
      <c r="P1283" s="25">
        <v>5425</v>
      </c>
      <c r="Q1283" s="25">
        <v>16107.75</v>
      </c>
      <c r="R1283" s="18">
        <v>87.068918918918925</v>
      </c>
    </row>
    <row r="1284" spans="1:18" x14ac:dyDescent="0.35">
      <c r="A1284" s="13">
        <v>44996</v>
      </c>
      <c r="B1284">
        <v>2023</v>
      </c>
      <c r="C1284">
        <v>3</v>
      </c>
      <c r="D1284" t="s">
        <v>85</v>
      </c>
      <c r="E1284" t="s">
        <v>84</v>
      </c>
      <c r="F1284">
        <v>179</v>
      </c>
      <c r="G1284">
        <v>179</v>
      </c>
      <c r="H1284">
        <v>0</v>
      </c>
      <c r="I1284">
        <v>9</v>
      </c>
      <c r="J1284" s="17">
        <v>0.7649572649572649</v>
      </c>
      <c r="K1284">
        <v>35</v>
      </c>
      <c r="L1284">
        <v>34</v>
      </c>
      <c r="M1284" s="17">
        <v>0.97142857142857142</v>
      </c>
      <c r="N1284" s="25">
        <v>9110.25</v>
      </c>
      <c r="O1284" s="25">
        <v>1521.5</v>
      </c>
      <c r="P1284" s="25">
        <v>5425</v>
      </c>
      <c r="Q1284" s="25">
        <v>16056.75</v>
      </c>
      <c r="R1284" s="18">
        <v>89.702513966480453</v>
      </c>
    </row>
    <row r="1285" spans="1:18" x14ac:dyDescent="0.35">
      <c r="A1285" s="13">
        <v>45003</v>
      </c>
      <c r="B1285">
        <v>2023</v>
      </c>
      <c r="C1285">
        <v>3</v>
      </c>
      <c r="D1285" t="s">
        <v>85</v>
      </c>
      <c r="E1285" t="s">
        <v>84</v>
      </c>
      <c r="F1285">
        <v>186</v>
      </c>
      <c r="G1285">
        <v>186</v>
      </c>
      <c r="H1285">
        <v>0</v>
      </c>
      <c r="I1285">
        <v>9</v>
      </c>
      <c r="J1285" s="17">
        <v>0.79487179487179482</v>
      </c>
      <c r="K1285">
        <v>35</v>
      </c>
      <c r="L1285">
        <v>35</v>
      </c>
      <c r="M1285" s="17">
        <v>1</v>
      </c>
      <c r="N1285" s="25">
        <v>9110.25</v>
      </c>
      <c r="O1285" s="25">
        <v>1581</v>
      </c>
      <c r="P1285" s="25">
        <v>5425</v>
      </c>
      <c r="Q1285" s="25">
        <v>16116.25</v>
      </c>
      <c r="R1285" s="18">
        <v>86.646505376344081</v>
      </c>
    </row>
    <row r="1286" spans="1:18" x14ac:dyDescent="0.35">
      <c r="A1286" s="13">
        <v>45010</v>
      </c>
      <c r="B1286">
        <v>2023</v>
      </c>
      <c r="C1286">
        <v>3</v>
      </c>
      <c r="D1286" t="s">
        <v>85</v>
      </c>
      <c r="E1286" t="s">
        <v>84</v>
      </c>
      <c r="F1286">
        <v>177</v>
      </c>
      <c r="G1286">
        <v>177</v>
      </c>
      <c r="H1286">
        <v>0</v>
      </c>
      <c r="I1286">
        <v>9</v>
      </c>
      <c r="J1286" s="17">
        <v>0.75641025641025639</v>
      </c>
      <c r="K1286">
        <v>35</v>
      </c>
      <c r="L1286">
        <v>32</v>
      </c>
      <c r="M1286" s="17">
        <v>0.91428571428571426</v>
      </c>
      <c r="N1286" s="25">
        <v>9110.25</v>
      </c>
      <c r="O1286" s="25">
        <v>1504.5</v>
      </c>
      <c r="P1286" s="25">
        <v>5425</v>
      </c>
      <c r="Q1286" s="25">
        <v>16039.75</v>
      </c>
      <c r="R1286" s="18">
        <v>90.620056497175142</v>
      </c>
    </row>
    <row r="1287" spans="1:18" x14ac:dyDescent="0.35">
      <c r="A1287" s="13">
        <v>45017</v>
      </c>
      <c r="B1287">
        <v>2023</v>
      </c>
      <c r="C1287">
        <v>4</v>
      </c>
      <c r="D1287" t="s">
        <v>85</v>
      </c>
      <c r="E1287" t="s">
        <v>84</v>
      </c>
      <c r="F1287">
        <v>172</v>
      </c>
      <c r="G1287">
        <v>172</v>
      </c>
      <c r="H1287">
        <v>0</v>
      </c>
      <c r="I1287">
        <v>8</v>
      </c>
      <c r="J1287" s="17">
        <v>0.82692307692307687</v>
      </c>
      <c r="K1287">
        <v>35</v>
      </c>
      <c r="L1287">
        <v>35</v>
      </c>
      <c r="M1287" s="17">
        <v>1</v>
      </c>
      <c r="N1287" s="25">
        <v>8098</v>
      </c>
      <c r="O1287" s="25">
        <v>1462</v>
      </c>
      <c r="P1287" s="25">
        <v>5425</v>
      </c>
      <c r="Q1287" s="25">
        <v>14985</v>
      </c>
      <c r="R1287" s="18">
        <v>87.122093023255815</v>
      </c>
    </row>
    <row r="1288" spans="1:18" x14ac:dyDescent="0.35">
      <c r="A1288" s="13">
        <v>45024</v>
      </c>
      <c r="B1288">
        <v>2023</v>
      </c>
      <c r="C1288">
        <v>4</v>
      </c>
      <c r="D1288" t="s">
        <v>85</v>
      </c>
      <c r="E1288" t="s">
        <v>84</v>
      </c>
      <c r="F1288">
        <v>195</v>
      </c>
      <c r="G1288">
        <v>195</v>
      </c>
      <c r="H1288">
        <v>0</v>
      </c>
      <c r="I1288">
        <v>9</v>
      </c>
      <c r="J1288" s="17">
        <v>0.83333333333333337</v>
      </c>
      <c r="K1288">
        <v>35</v>
      </c>
      <c r="L1288">
        <v>33</v>
      </c>
      <c r="M1288" s="17">
        <v>0.94285714285714284</v>
      </c>
      <c r="N1288" s="25">
        <v>9110.25</v>
      </c>
      <c r="O1288" s="25">
        <v>1657.5</v>
      </c>
      <c r="P1288" s="25">
        <v>5425</v>
      </c>
      <c r="Q1288" s="25">
        <v>16192.75</v>
      </c>
      <c r="R1288" s="18">
        <v>83.039743589743594</v>
      </c>
    </row>
    <row r="1289" spans="1:18" x14ac:dyDescent="0.35">
      <c r="A1289" s="13">
        <v>45031</v>
      </c>
      <c r="B1289">
        <v>2023</v>
      </c>
      <c r="C1289">
        <v>4</v>
      </c>
      <c r="D1289" t="s">
        <v>85</v>
      </c>
      <c r="E1289" t="s">
        <v>84</v>
      </c>
      <c r="F1289">
        <v>191</v>
      </c>
      <c r="G1289">
        <v>191</v>
      </c>
      <c r="H1289">
        <v>0</v>
      </c>
      <c r="I1289">
        <v>9</v>
      </c>
      <c r="J1289" s="17">
        <v>0.81623931623931623</v>
      </c>
      <c r="K1289">
        <v>35</v>
      </c>
      <c r="L1289">
        <v>32</v>
      </c>
      <c r="M1289" s="17">
        <v>0.91428571428571426</v>
      </c>
      <c r="N1289" s="25">
        <v>9110.25</v>
      </c>
      <c r="O1289" s="25">
        <v>1623.5</v>
      </c>
      <c r="P1289" s="25">
        <v>5425</v>
      </c>
      <c r="Q1289" s="25">
        <v>16158.75</v>
      </c>
      <c r="R1289" s="18">
        <v>84.600785340314133</v>
      </c>
    </row>
    <row r="1290" spans="1:18" x14ac:dyDescent="0.35">
      <c r="A1290" s="13">
        <v>45038</v>
      </c>
      <c r="B1290">
        <v>2023</v>
      </c>
      <c r="C1290">
        <v>4</v>
      </c>
      <c r="D1290" t="s">
        <v>85</v>
      </c>
      <c r="E1290" t="s">
        <v>84</v>
      </c>
      <c r="F1290">
        <v>187</v>
      </c>
      <c r="G1290">
        <v>187</v>
      </c>
      <c r="H1290">
        <v>0</v>
      </c>
      <c r="I1290">
        <v>9</v>
      </c>
      <c r="J1290" s="17">
        <v>0.79914529914529919</v>
      </c>
      <c r="K1290">
        <v>35</v>
      </c>
      <c r="L1290">
        <v>35</v>
      </c>
      <c r="M1290" s="17">
        <v>1</v>
      </c>
      <c r="N1290" s="25">
        <v>9110.25</v>
      </c>
      <c r="O1290" s="25">
        <v>1589.5</v>
      </c>
      <c r="P1290" s="25">
        <v>5425</v>
      </c>
      <c r="Q1290" s="25">
        <v>16124.75</v>
      </c>
      <c r="R1290" s="18">
        <v>86.228609625668454</v>
      </c>
    </row>
    <row r="1291" spans="1:18" x14ac:dyDescent="0.35">
      <c r="A1291" s="13">
        <v>45045</v>
      </c>
      <c r="B1291">
        <v>2023</v>
      </c>
      <c r="C1291">
        <v>4</v>
      </c>
      <c r="D1291" t="s">
        <v>85</v>
      </c>
      <c r="E1291" t="s">
        <v>84</v>
      </c>
      <c r="F1291">
        <v>192</v>
      </c>
      <c r="G1291">
        <v>192</v>
      </c>
      <c r="H1291">
        <v>0</v>
      </c>
      <c r="I1291">
        <v>9</v>
      </c>
      <c r="J1291" s="17">
        <v>0.82051282051282048</v>
      </c>
      <c r="K1291">
        <v>35</v>
      </c>
      <c r="L1291">
        <v>32</v>
      </c>
      <c r="M1291" s="17">
        <v>0.91428571428571426</v>
      </c>
      <c r="N1291" s="25">
        <v>9110.25</v>
      </c>
      <c r="O1291" s="25">
        <v>1632</v>
      </c>
      <c r="P1291" s="25">
        <v>5425</v>
      </c>
      <c r="Q1291" s="25">
        <v>16167.25</v>
      </c>
      <c r="R1291" s="18">
        <v>84.204427083333329</v>
      </c>
    </row>
    <row r="1292" spans="1:18" x14ac:dyDescent="0.35">
      <c r="A1292" s="13">
        <v>45052</v>
      </c>
      <c r="B1292">
        <v>2023</v>
      </c>
      <c r="C1292">
        <v>5</v>
      </c>
      <c r="D1292" t="s">
        <v>85</v>
      </c>
      <c r="E1292" t="s">
        <v>84</v>
      </c>
      <c r="F1292">
        <v>193</v>
      </c>
      <c r="G1292">
        <v>193</v>
      </c>
      <c r="H1292">
        <v>0</v>
      </c>
      <c r="I1292">
        <v>9</v>
      </c>
      <c r="J1292" s="17">
        <v>0.82478632478632474</v>
      </c>
      <c r="K1292">
        <v>35</v>
      </c>
      <c r="L1292">
        <v>33</v>
      </c>
      <c r="M1292" s="17">
        <v>0.94285714285714284</v>
      </c>
      <c r="N1292" s="25">
        <v>9110.25</v>
      </c>
      <c r="O1292" s="25">
        <v>1640.5</v>
      </c>
      <c r="P1292" s="25">
        <v>5425</v>
      </c>
      <c r="Q1292" s="25">
        <v>16175.75</v>
      </c>
      <c r="R1292" s="18">
        <v>83.812176165803109</v>
      </c>
    </row>
    <row r="1293" spans="1:18" x14ac:dyDescent="0.35">
      <c r="A1293" s="13">
        <v>45059</v>
      </c>
      <c r="B1293">
        <v>2023</v>
      </c>
      <c r="C1293">
        <v>5</v>
      </c>
      <c r="D1293" t="s">
        <v>85</v>
      </c>
      <c r="E1293" t="s">
        <v>84</v>
      </c>
      <c r="F1293">
        <v>196</v>
      </c>
      <c r="G1293">
        <v>196</v>
      </c>
      <c r="H1293">
        <v>0</v>
      </c>
      <c r="I1293">
        <v>10</v>
      </c>
      <c r="J1293" s="17">
        <v>0.75384615384615383</v>
      </c>
      <c r="K1293">
        <v>35</v>
      </c>
      <c r="L1293">
        <v>34</v>
      </c>
      <c r="M1293" s="17">
        <v>0.97142857142857142</v>
      </c>
      <c r="N1293" s="25">
        <v>10122.5</v>
      </c>
      <c r="O1293" s="25">
        <v>1666</v>
      </c>
      <c r="P1293" s="25">
        <v>5425</v>
      </c>
      <c r="Q1293" s="25">
        <v>17213.5</v>
      </c>
      <c r="R1293" s="18">
        <v>87.823979591836732</v>
      </c>
    </row>
    <row r="1294" spans="1:18" x14ac:dyDescent="0.35">
      <c r="A1294" s="13">
        <v>45066</v>
      </c>
      <c r="B1294">
        <v>2023</v>
      </c>
      <c r="C1294">
        <v>5</v>
      </c>
      <c r="D1294" t="s">
        <v>85</v>
      </c>
      <c r="E1294" t="s">
        <v>84</v>
      </c>
      <c r="F1294">
        <v>195</v>
      </c>
      <c r="G1294">
        <v>195</v>
      </c>
      <c r="H1294">
        <v>0</v>
      </c>
      <c r="I1294">
        <v>9</v>
      </c>
      <c r="J1294" s="17">
        <v>0.83333333333333337</v>
      </c>
      <c r="K1294">
        <v>35</v>
      </c>
      <c r="L1294">
        <v>33</v>
      </c>
      <c r="M1294" s="17">
        <v>0.94285714285714284</v>
      </c>
      <c r="N1294" s="25">
        <v>9110.25</v>
      </c>
      <c r="O1294" s="25">
        <v>1657.5</v>
      </c>
      <c r="P1294" s="25">
        <v>5425</v>
      </c>
      <c r="Q1294" s="25">
        <v>16192.75</v>
      </c>
      <c r="R1294" s="18">
        <v>83.039743589743594</v>
      </c>
    </row>
    <row r="1295" spans="1:18" x14ac:dyDescent="0.35">
      <c r="A1295" s="13">
        <v>45073</v>
      </c>
      <c r="B1295">
        <v>2023</v>
      </c>
      <c r="C1295">
        <v>5</v>
      </c>
      <c r="D1295" t="s">
        <v>85</v>
      </c>
      <c r="E1295" t="s">
        <v>84</v>
      </c>
      <c r="F1295">
        <v>190</v>
      </c>
      <c r="G1295">
        <v>190</v>
      </c>
      <c r="H1295">
        <v>0</v>
      </c>
      <c r="I1295">
        <v>10</v>
      </c>
      <c r="J1295" s="17">
        <v>0.73076923076923073</v>
      </c>
      <c r="K1295">
        <v>35</v>
      </c>
      <c r="L1295">
        <v>34</v>
      </c>
      <c r="M1295" s="17">
        <v>0.97142857142857142</v>
      </c>
      <c r="N1295" s="25">
        <v>10122.5</v>
      </c>
      <c r="O1295" s="25">
        <v>1615</v>
      </c>
      <c r="P1295" s="25">
        <v>5425</v>
      </c>
      <c r="Q1295" s="25">
        <v>17162.5</v>
      </c>
      <c r="R1295" s="18">
        <v>90.328947368421055</v>
      </c>
    </row>
    <row r="1296" spans="1:18" x14ac:dyDescent="0.35">
      <c r="A1296" s="13">
        <v>45080</v>
      </c>
      <c r="B1296">
        <v>2023</v>
      </c>
      <c r="C1296">
        <v>6</v>
      </c>
      <c r="D1296" t="s">
        <v>85</v>
      </c>
      <c r="E1296" t="s">
        <v>84</v>
      </c>
      <c r="F1296">
        <v>191</v>
      </c>
      <c r="G1296">
        <v>191</v>
      </c>
      <c r="H1296">
        <v>0</v>
      </c>
      <c r="I1296">
        <v>9</v>
      </c>
      <c r="J1296" s="17">
        <v>0.81623931623931623</v>
      </c>
      <c r="K1296">
        <v>35</v>
      </c>
      <c r="L1296">
        <v>33</v>
      </c>
      <c r="M1296" s="17">
        <v>0.94285714285714284</v>
      </c>
      <c r="N1296" s="25">
        <v>9110.25</v>
      </c>
      <c r="O1296" s="25">
        <v>1623.5</v>
      </c>
      <c r="P1296" s="25">
        <v>5425</v>
      </c>
      <c r="Q1296" s="25">
        <v>16158.75</v>
      </c>
      <c r="R1296" s="18">
        <v>84.600785340314133</v>
      </c>
    </row>
    <row r="1297" spans="1:18" x14ac:dyDescent="0.35">
      <c r="A1297" s="13">
        <v>45087</v>
      </c>
      <c r="B1297">
        <v>2023</v>
      </c>
      <c r="C1297">
        <v>6</v>
      </c>
      <c r="D1297" t="s">
        <v>85</v>
      </c>
      <c r="E1297" t="s">
        <v>84</v>
      </c>
      <c r="F1297">
        <v>185</v>
      </c>
      <c r="G1297">
        <v>185</v>
      </c>
      <c r="H1297">
        <v>0</v>
      </c>
      <c r="I1297">
        <v>8</v>
      </c>
      <c r="J1297" s="17">
        <v>0.88942307692307687</v>
      </c>
      <c r="K1297">
        <v>35</v>
      </c>
      <c r="L1297">
        <v>33</v>
      </c>
      <c r="M1297" s="17">
        <v>0.94285714285714284</v>
      </c>
      <c r="N1297" s="25">
        <v>8098</v>
      </c>
      <c r="O1297" s="25">
        <v>1572.5</v>
      </c>
      <c r="P1297" s="25">
        <v>5425</v>
      </c>
      <c r="Q1297" s="25">
        <v>15095.5</v>
      </c>
      <c r="R1297" s="18">
        <v>81.597297297297303</v>
      </c>
    </row>
    <row r="1298" spans="1:18" x14ac:dyDescent="0.35">
      <c r="A1298" s="13">
        <v>45094</v>
      </c>
      <c r="B1298">
        <v>2023</v>
      </c>
      <c r="C1298">
        <v>6</v>
      </c>
      <c r="D1298" t="s">
        <v>85</v>
      </c>
      <c r="E1298" t="s">
        <v>84</v>
      </c>
      <c r="F1298">
        <v>192</v>
      </c>
      <c r="G1298">
        <v>192</v>
      </c>
      <c r="H1298">
        <v>0</v>
      </c>
      <c r="I1298">
        <v>10</v>
      </c>
      <c r="J1298" s="17">
        <v>0.7384615384615385</v>
      </c>
      <c r="K1298">
        <v>35</v>
      </c>
      <c r="L1298">
        <v>30</v>
      </c>
      <c r="M1298" s="17">
        <v>0.8571428571428571</v>
      </c>
      <c r="N1298" s="25">
        <v>10122.5</v>
      </c>
      <c r="O1298" s="25">
        <v>1632</v>
      </c>
      <c r="P1298" s="25">
        <v>5425</v>
      </c>
      <c r="Q1298" s="25">
        <v>17179.5</v>
      </c>
      <c r="R1298" s="18">
        <v>89.4765625</v>
      </c>
    </row>
    <row r="1299" spans="1:18" x14ac:dyDescent="0.35">
      <c r="A1299" s="13">
        <v>45101</v>
      </c>
      <c r="B1299">
        <v>2023</v>
      </c>
      <c r="C1299">
        <v>6</v>
      </c>
      <c r="D1299" t="s">
        <v>85</v>
      </c>
      <c r="E1299" t="s">
        <v>84</v>
      </c>
      <c r="F1299">
        <v>185</v>
      </c>
      <c r="G1299">
        <v>185</v>
      </c>
      <c r="H1299">
        <v>0</v>
      </c>
      <c r="I1299">
        <v>9</v>
      </c>
      <c r="J1299" s="17">
        <v>0.79059829059829057</v>
      </c>
      <c r="K1299">
        <v>35</v>
      </c>
      <c r="L1299">
        <v>31</v>
      </c>
      <c r="M1299" s="17">
        <v>0.88571428571428568</v>
      </c>
      <c r="N1299" s="25">
        <v>9110.25</v>
      </c>
      <c r="O1299" s="25">
        <v>1572.5</v>
      </c>
      <c r="P1299" s="25">
        <v>5425</v>
      </c>
      <c r="Q1299" s="25">
        <v>16107.75</v>
      </c>
      <c r="R1299" s="18">
        <v>87.068918918918925</v>
      </c>
    </row>
    <row r="1300" spans="1:18" x14ac:dyDescent="0.35">
      <c r="A1300" s="13">
        <v>45108</v>
      </c>
      <c r="B1300">
        <v>2023</v>
      </c>
      <c r="C1300">
        <v>7</v>
      </c>
      <c r="D1300" t="s">
        <v>85</v>
      </c>
      <c r="E1300" t="s">
        <v>84</v>
      </c>
      <c r="F1300">
        <v>180</v>
      </c>
      <c r="G1300">
        <v>180</v>
      </c>
      <c r="H1300">
        <v>0</v>
      </c>
      <c r="I1300">
        <v>9</v>
      </c>
      <c r="J1300" s="17">
        <v>0.76923076923076927</v>
      </c>
      <c r="K1300">
        <v>35</v>
      </c>
      <c r="L1300">
        <v>35</v>
      </c>
      <c r="M1300" s="17">
        <v>1</v>
      </c>
      <c r="N1300" s="25">
        <v>9110.25</v>
      </c>
      <c r="O1300" s="25">
        <v>1530</v>
      </c>
      <c r="P1300" s="25">
        <v>5425</v>
      </c>
      <c r="Q1300" s="25">
        <v>16065.25</v>
      </c>
      <c r="R1300" s="18">
        <v>89.251388888888883</v>
      </c>
    </row>
    <row r="1301" spans="1:18" x14ac:dyDescent="0.35">
      <c r="A1301" s="13">
        <v>45115</v>
      </c>
      <c r="B1301">
        <v>2023</v>
      </c>
      <c r="C1301">
        <v>7</v>
      </c>
      <c r="D1301" t="s">
        <v>85</v>
      </c>
      <c r="E1301" t="s">
        <v>84</v>
      </c>
      <c r="F1301">
        <v>182</v>
      </c>
      <c r="G1301">
        <v>182</v>
      </c>
      <c r="H1301">
        <v>0</v>
      </c>
      <c r="I1301">
        <v>9</v>
      </c>
      <c r="J1301" s="17">
        <v>0.77777777777777779</v>
      </c>
      <c r="K1301">
        <v>35</v>
      </c>
      <c r="L1301">
        <v>34</v>
      </c>
      <c r="M1301" s="17">
        <v>0.97142857142857142</v>
      </c>
      <c r="N1301" s="25">
        <v>9110.25</v>
      </c>
      <c r="O1301" s="25">
        <v>1547</v>
      </c>
      <c r="P1301" s="25">
        <v>5425</v>
      </c>
      <c r="Q1301" s="25">
        <v>16082.25</v>
      </c>
      <c r="R1301" s="18">
        <v>88.364010989010993</v>
      </c>
    </row>
    <row r="1302" spans="1:18" x14ac:dyDescent="0.35">
      <c r="A1302" s="13">
        <v>45122</v>
      </c>
      <c r="B1302">
        <v>2023</v>
      </c>
      <c r="C1302">
        <v>7</v>
      </c>
      <c r="D1302" t="s">
        <v>85</v>
      </c>
      <c r="E1302" t="s">
        <v>84</v>
      </c>
      <c r="F1302">
        <v>184</v>
      </c>
      <c r="G1302">
        <v>184</v>
      </c>
      <c r="H1302">
        <v>0</v>
      </c>
      <c r="I1302">
        <v>9</v>
      </c>
      <c r="J1302" s="17">
        <v>0.78632478632478631</v>
      </c>
      <c r="K1302">
        <v>35</v>
      </c>
      <c r="L1302">
        <v>33</v>
      </c>
      <c r="M1302" s="17">
        <v>0.94285714285714284</v>
      </c>
      <c r="N1302" s="25">
        <v>9110.25</v>
      </c>
      <c r="O1302" s="25">
        <v>1564</v>
      </c>
      <c r="P1302" s="25">
        <v>5425</v>
      </c>
      <c r="Q1302" s="25">
        <v>16099.25</v>
      </c>
      <c r="R1302" s="18">
        <v>87.495923913043484</v>
      </c>
    </row>
    <row r="1303" spans="1:18" x14ac:dyDescent="0.35">
      <c r="A1303" s="13">
        <v>45129</v>
      </c>
      <c r="B1303">
        <v>2023</v>
      </c>
      <c r="C1303">
        <v>7</v>
      </c>
      <c r="D1303" t="s">
        <v>85</v>
      </c>
      <c r="E1303" t="s">
        <v>84</v>
      </c>
      <c r="F1303">
        <v>198</v>
      </c>
      <c r="G1303">
        <v>198</v>
      </c>
      <c r="H1303">
        <v>0</v>
      </c>
      <c r="I1303">
        <v>10</v>
      </c>
      <c r="J1303" s="17">
        <v>0.7615384615384615</v>
      </c>
      <c r="K1303">
        <v>35</v>
      </c>
      <c r="L1303">
        <v>34</v>
      </c>
      <c r="M1303" s="17">
        <v>0.97142857142857142</v>
      </c>
      <c r="N1303" s="25">
        <v>10122.5</v>
      </c>
      <c r="O1303" s="25">
        <v>1683</v>
      </c>
      <c r="P1303" s="25">
        <v>5425</v>
      </c>
      <c r="Q1303" s="25">
        <v>17230.5</v>
      </c>
      <c r="R1303" s="18">
        <v>87.022727272727266</v>
      </c>
    </row>
    <row r="1304" spans="1:18" x14ac:dyDescent="0.35">
      <c r="A1304" s="13">
        <v>45136</v>
      </c>
      <c r="B1304">
        <v>2023</v>
      </c>
      <c r="C1304">
        <v>7</v>
      </c>
      <c r="D1304" t="s">
        <v>85</v>
      </c>
      <c r="E1304" t="s">
        <v>84</v>
      </c>
      <c r="F1304">
        <v>192</v>
      </c>
      <c r="G1304">
        <v>192</v>
      </c>
      <c r="H1304">
        <v>0</v>
      </c>
      <c r="I1304">
        <v>10</v>
      </c>
      <c r="J1304" s="17">
        <v>0.7384615384615385</v>
      </c>
      <c r="K1304">
        <v>35</v>
      </c>
      <c r="L1304">
        <v>34</v>
      </c>
      <c r="M1304" s="17">
        <v>0.97142857142857142</v>
      </c>
      <c r="N1304" s="25">
        <v>10122.5</v>
      </c>
      <c r="O1304" s="25">
        <v>1632</v>
      </c>
      <c r="P1304" s="25">
        <v>5425</v>
      </c>
      <c r="Q1304" s="25">
        <v>17179.5</v>
      </c>
      <c r="R1304" s="18">
        <v>89.4765625</v>
      </c>
    </row>
    <row r="1305" spans="1:18" x14ac:dyDescent="0.35">
      <c r="A1305" s="13">
        <v>45143</v>
      </c>
      <c r="B1305">
        <v>2023</v>
      </c>
      <c r="C1305">
        <v>8</v>
      </c>
      <c r="D1305" t="s">
        <v>85</v>
      </c>
      <c r="E1305" t="s">
        <v>84</v>
      </c>
      <c r="F1305">
        <v>195</v>
      </c>
      <c r="G1305">
        <v>195</v>
      </c>
      <c r="H1305">
        <v>0</v>
      </c>
      <c r="I1305">
        <v>10</v>
      </c>
      <c r="J1305" s="17">
        <v>0.75</v>
      </c>
      <c r="K1305">
        <v>35</v>
      </c>
      <c r="L1305">
        <v>35</v>
      </c>
      <c r="M1305" s="17">
        <v>1</v>
      </c>
      <c r="N1305" s="25">
        <v>10122.5</v>
      </c>
      <c r="O1305" s="25">
        <v>1657.5</v>
      </c>
      <c r="P1305" s="25">
        <v>5425</v>
      </c>
      <c r="Q1305" s="25">
        <v>17205</v>
      </c>
      <c r="R1305" s="18">
        <v>88.230769230769226</v>
      </c>
    </row>
    <row r="1306" spans="1:18" x14ac:dyDescent="0.35">
      <c r="A1306" s="13">
        <v>45150</v>
      </c>
      <c r="B1306">
        <v>2023</v>
      </c>
      <c r="C1306">
        <v>8</v>
      </c>
      <c r="D1306" t="s">
        <v>85</v>
      </c>
      <c r="E1306" t="s">
        <v>84</v>
      </c>
      <c r="F1306">
        <v>195</v>
      </c>
      <c r="G1306">
        <v>195</v>
      </c>
      <c r="H1306">
        <v>0</v>
      </c>
      <c r="I1306">
        <v>10</v>
      </c>
      <c r="J1306" s="17">
        <v>0.75</v>
      </c>
      <c r="K1306">
        <v>35</v>
      </c>
      <c r="L1306">
        <v>31</v>
      </c>
      <c r="M1306" s="17">
        <v>0.88571428571428568</v>
      </c>
      <c r="N1306" s="25">
        <v>10122.5</v>
      </c>
      <c r="O1306" s="25">
        <v>1657.5</v>
      </c>
      <c r="P1306" s="25">
        <v>5425</v>
      </c>
      <c r="Q1306" s="25">
        <v>17205</v>
      </c>
      <c r="R1306" s="18">
        <v>88.230769230769226</v>
      </c>
    </row>
    <row r="1307" spans="1:18" x14ac:dyDescent="0.35">
      <c r="A1307" s="13">
        <v>45157</v>
      </c>
      <c r="B1307">
        <v>2023</v>
      </c>
      <c r="C1307">
        <v>8</v>
      </c>
      <c r="D1307" t="s">
        <v>85</v>
      </c>
      <c r="E1307" t="s">
        <v>84</v>
      </c>
      <c r="F1307">
        <v>196</v>
      </c>
      <c r="G1307">
        <v>196</v>
      </c>
      <c r="H1307">
        <v>0</v>
      </c>
      <c r="I1307">
        <v>10</v>
      </c>
      <c r="J1307" s="17">
        <v>0.75384615384615383</v>
      </c>
      <c r="K1307">
        <v>35</v>
      </c>
      <c r="L1307">
        <v>34</v>
      </c>
      <c r="M1307" s="17">
        <v>0.97142857142857142</v>
      </c>
      <c r="N1307" s="25">
        <v>10122.5</v>
      </c>
      <c r="O1307" s="25">
        <v>1666</v>
      </c>
      <c r="P1307" s="25">
        <v>5425</v>
      </c>
      <c r="Q1307" s="25">
        <v>17213.5</v>
      </c>
      <c r="R1307" s="18">
        <v>87.823979591836732</v>
      </c>
    </row>
    <row r="1308" spans="1:18" x14ac:dyDescent="0.35">
      <c r="A1308" s="13">
        <v>45164</v>
      </c>
      <c r="B1308">
        <v>2023</v>
      </c>
      <c r="C1308">
        <v>8</v>
      </c>
      <c r="D1308" t="s">
        <v>85</v>
      </c>
      <c r="E1308" t="s">
        <v>84</v>
      </c>
      <c r="F1308">
        <v>194</v>
      </c>
      <c r="G1308">
        <v>194</v>
      </c>
      <c r="H1308">
        <v>0</v>
      </c>
      <c r="I1308">
        <v>10</v>
      </c>
      <c r="J1308" s="17">
        <v>0.74615384615384617</v>
      </c>
      <c r="K1308">
        <v>35</v>
      </c>
      <c r="L1308">
        <v>31</v>
      </c>
      <c r="M1308" s="17">
        <v>0.88571428571428568</v>
      </c>
      <c r="N1308" s="25">
        <v>10122.5</v>
      </c>
      <c r="O1308" s="25">
        <v>1649</v>
      </c>
      <c r="P1308" s="25">
        <v>5425</v>
      </c>
      <c r="Q1308" s="25">
        <v>17196.5</v>
      </c>
      <c r="R1308" s="18">
        <v>88.641752577319593</v>
      </c>
    </row>
    <row r="1309" spans="1:18" x14ac:dyDescent="0.35">
      <c r="A1309" s="13">
        <v>45171</v>
      </c>
      <c r="B1309">
        <v>2023</v>
      </c>
      <c r="C1309">
        <v>9</v>
      </c>
      <c r="D1309" t="s">
        <v>85</v>
      </c>
      <c r="E1309" t="s">
        <v>84</v>
      </c>
      <c r="F1309">
        <v>179</v>
      </c>
      <c r="G1309">
        <v>179</v>
      </c>
      <c r="H1309">
        <v>0</v>
      </c>
      <c r="I1309">
        <v>8</v>
      </c>
      <c r="J1309" s="17">
        <v>0.86057692307692313</v>
      </c>
      <c r="K1309">
        <v>35</v>
      </c>
      <c r="L1309">
        <v>31</v>
      </c>
      <c r="M1309" s="17">
        <v>0.88571428571428568</v>
      </c>
      <c r="N1309" s="25">
        <v>8098</v>
      </c>
      <c r="O1309" s="25">
        <v>1521.5</v>
      </c>
      <c r="P1309" s="25">
        <v>5425</v>
      </c>
      <c r="Q1309" s="25">
        <v>15044.5</v>
      </c>
      <c r="R1309" s="18">
        <v>84.047486033519547</v>
      </c>
    </row>
    <row r="1310" spans="1:18" x14ac:dyDescent="0.35">
      <c r="A1310" s="13">
        <v>45178</v>
      </c>
      <c r="B1310">
        <v>2023</v>
      </c>
      <c r="C1310">
        <v>9</v>
      </c>
      <c r="D1310" t="s">
        <v>85</v>
      </c>
      <c r="E1310" t="s">
        <v>84</v>
      </c>
      <c r="F1310">
        <v>186</v>
      </c>
      <c r="G1310">
        <v>186</v>
      </c>
      <c r="H1310">
        <v>0</v>
      </c>
      <c r="I1310">
        <v>10</v>
      </c>
      <c r="J1310" s="17">
        <v>0.7153846153846154</v>
      </c>
      <c r="K1310">
        <v>35</v>
      </c>
      <c r="L1310">
        <v>34</v>
      </c>
      <c r="M1310" s="17">
        <v>0.97142857142857142</v>
      </c>
      <c r="N1310" s="25">
        <v>10122.5</v>
      </c>
      <c r="O1310" s="25">
        <v>1581</v>
      </c>
      <c r="P1310" s="25">
        <v>5425</v>
      </c>
      <c r="Q1310" s="25">
        <v>17128.5</v>
      </c>
      <c r="R1310" s="18">
        <v>92.088709677419359</v>
      </c>
    </row>
    <row r="1311" spans="1:18" x14ac:dyDescent="0.35">
      <c r="A1311" s="13">
        <v>45185</v>
      </c>
      <c r="B1311">
        <v>2023</v>
      </c>
      <c r="C1311">
        <v>9</v>
      </c>
      <c r="D1311" t="s">
        <v>85</v>
      </c>
      <c r="E1311" t="s">
        <v>84</v>
      </c>
      <c r="F1311">
        <v>187</v>
      </c>
      <c r="G1311">
        <v>187</v>
      </c>
      <c r="H1311">
        <v>0</v>
      </c>
      <c r="I1311">
        <v>9</v>
      </c>
      <c r="J1311" s="17">
        <v>0.79914529914529919</v>
      </c>
      <c r="K1311">
        <v>35</v>
      </c>
      <c r="L1311">
        <v>32</v>
      </c>
      <c r="M1311" s="17">
        <v>0.91428571428571426</v>
      </c>
      <c r="N1311" s="25">
        <v>9110.25</v>
      </c>
      <c r="O1311" s="25">
        <v>1589.5</v>
      </c>
      <c r="P1311" s="25">
        <v>5425</v>
      </c>
      <c r="Q1311" s="25">
        <v>16124.75</v>
      </c>
      <c r="R1311" s="18">
        <v>86.228609625668454</v>
      </c>
    </row>
    <row r="1312" spans="1:18" x14ac:dyDescent="0.35">
      <c r="A1312" s="13">
        <v>45192</v>
      </c>
      <c r="B1312">
        <v>2023</v>
      </c>
      <c r="C1312">
        <v>9</v>
      </c>
      <c r="D1312" t="s">
        <v>85</v>
      </c>
      <c r="E1312" t="s">
        <v>84</v>
      </c>
      <c r="F1312">
        <v>184</v>
      </c>
      <c r="G1312">
        <v>184</v>
      </c>
      <c r="H1312">
        <v>0</v>
      </c>
      <c r="I1312">
        <v>9</v>
      </c>
      <c r="J1312" s="17">
        <v>0.78632478632478631</v>
      </c>
      <c r="K1312">
        <v>35</v>
      </c>
      <c r="L1312">
        <v>32</v>
      </c>
      <c r="M1312" s="17">
        <v>0.91428571428571426</v>
      </c>
      <c r="N1312" s="25">
        <v>9110.25</v>
      </c>
      <c r="O1312" s="25">
        <v>1564</v>
      </c>
      <c r="P1312" s="25">
        <v>5425</v>
      </c>
      <c r="Q1312" s="25">
        <v>16099.25</v>
      </c>
      <c r="R1312" s="18">
        <v>87.495923913043484</v>
      </c>
    </row>
    <row r="1313" spans="1:18" x14ac:dyDescent="0.35">
      <c r="A1313" s="13">
        <v>45199</v>
      </c>
      <c r="B1313">
        <v>2023</v>
      </c>
      <c r="C1313">
        <v>9</v>
      </c>
      <c r="D1313" t="s">
        <v>85</v>
      </c>
      <c r="E1313" t="s">
        <v>84</v>
      </c>
      <c r="F1313">
        <v>179</v>
      </c>
      <c r="G1313">
        <v>179</v>
      </c>
      <c r="H1313">
        <v>0</v>
      </c>
      <c r="I1313">
        <v>9</v>
      </c>
      <c r="J1313" s="17">
        <v>0.7649572649572649</v>
      </c>
      <c r="K1313">
        <v>35</v>
      </c>
      <c r="L1313">
        <v>34</v>
      </c>
      <c r="M1313" s="17">
        <v>0.97142857142857142</v>
      </c>
      <c r="N1313" s="25">
        <v>9110.25</v>
      </c>
      <c r="O1313" s="25">
        <v>1521.5</v>
      </c>
      <c r="P1313" s="25">
        <v>5425</v>
      </c>
      <c r="Q1313" s="25">
        <v>16056.75</v>
      </c>
      <c r="R1313" s="18">
        <v>89.702513966480453</v>
      </c>
    </row>
    <row r="1314" spans="1:18" x14ac:dyDescent="0.35">
      <c r="A1314" s="13">
        <v>45206</v>
      </c>
      <c r="B1314">
        <v>2023</v>
      </c>
      <c r="C1314">
        <v>10</v>
      </c>
      <c r="D1314" t="s">
        <v>85</v>
      </c>
      <c r="E1314" t="s">
        <v>84</v>
      </c>
      <c r="F1314">
        <v>182</v>
      </c>
      <c r="G1314">
        <v>182</v>
      </c>
      <c r="H1314">
        <v>0</v>
      </c>
      <c r="I1314">
        <v>9</v>
      </c>
      <c r="J1314" s="17">
        <v>0.77777777777777779</v>
      </c>
      <c r="K1314">
        <v>35</v>
      </c>
      <c r="L1314">
        <v>32</v>
      </c>
      <c r="M1314" s="17">
        <v>0.91428571428571426</v>
      </c>
      <c r="N1314" s="25">
        <v>9110.25</v>
      </c>
      <c r="O1314" s="25">
        <v>1547</v>
      </c>
      <c r="P1314" s="25">
        <v>5425</v>
      </c>
      <c r="Q1314" s="25">
        <v>16082.25</v>
      </c>
      <c r="R1314" s="18">
        <v>88.364010989010993</v>
      </c>
    </row>
    <row r="1315" spans="1:18" x14ac:dyDescent="0.35">
      <c r="A1315" s="13">
        <v>45213</v>
      </c>
      <c r="B1315">
        <v>2023</v>
      </c>
      <c r="C1315">
        <v>10</v>
      </c>
      <c r="D1315" t="s">
        <v>85</v>
      </c>
      <c r="E1315" t="s">
        <v>84</v>
      </c>
      <c r="F1315">
        <v>184</v>
      </c>
      <c r="G1315">
        <v>184</v>
      </c>
      <c r="H1315">
        <v>0</v>
      </c>
      <c r="I1315">
        <v>10</v>
      </c>
      <c r="J1315" s="17">
        <v>0.70769230769230773</v>
      </c>
      <c r="K1315">
        <v>35</v>
      </c>
      <c r="L1315">
        <v>33</v>
      </c>
      <c r="M1315" s="17">
        <v>0.94285714285714284</v>
      </c>
      <c r="N1315" s="25">
        <v>10122.5</v>
      </c>
      <c r="O1315" s="25">
        <v>1564</v>
      </c>
      <c r="P1315" s="25">
        <v>5425</v>
      </c>
      <c r="Q1315" s="25">
        <v>17111.5</v>
      </c>
      <c r="R1315" s="18">
        <v>92.997282608695656</v>
      </c>
    </row>
    <row r="1316" spans="1:18" x14ac:dyDescent="0.35">
      <c r="A1316" s="13">
        <v>45220</v>
      </c>
      <c r="B1316">
        <v>2023</v>
      </c>
      <c r="C1316">
        <v>10</v>
      </c>
      <c r="D1316" t="s">
        <v>85</v>
      </c>
      <c r="E1316" t="s">
        <v>84</v>
      </c>
      <c r="F1316">
        <v>198</v>
      </c>
      <c r="G1316">
        <v>198</v>
      </c>
      <c r="H1316">
        <v>0</v>
      </c>
      <c r="I1316">
        <v>10</v>
      </c>
      <c r="J1316" s="17">
        <v>0.7615384615384615</v>
      </c>
      <c r="K1316">
        <v>35</v>
      </c>
      <c r="L1316">
        <v>30</v>
      </c>
      <c r="M1316" s="17">
        <v>0.8571428571428571</v>
      </c>
      <c r="N1316" s="25">
        <v>10122.5</v>
      </c>
      <c r="O1316" s="25">
        <v>1683</v>
      </c>
      <c r="P1316" s="25">
        <v>5425</v>
      </c>
      <c r="Q1316" s="25">
        <v>17230.5</v>
      </c>
      <c r="R1316" s="18">
        <v>87.022727272727266</v>
      </c>
    </row>
    <row r="1317" spans="1:18" x14ac:dyDescent="0.35">
      <c r="A1317" s="13">
        <v>45227</v>
      </c>
      <c r="B1317">
        <v>2023</v>
      </c>
      <c r="C1317">
        <v>10</v>
      </c>
      <c r="D1317" t="s">
        <v>85</v>
      </c>
      <c r="E1317" t="s">
        <v>84</v>
      </c>
      <c r="F1317">
        <v>202</v>
      </c>
      <c r="G1317">
        <v>202</v>
      </c>
      <c r="H1317">
        <v>0</v>
      </c>
      <c r="I1317">
        <v>10</v>
      </c>
      <c r="J1317" s="17">
        <v>0.77692307692307694</v>
      </c>
      <c r="K1317">
        <v>35</v>
      </c>
      <c r="L1317">
        <v>31</v>
      </c>
      <c r="M1317" s="17">
        <v>0.88571428571428568</v>
      </c>
      <c r="N1317" s="25">
        <v>10122.5</v>
      </c>
      <c r="O1317" s="25">
        <v>1717</v>
      </c>
      <c r="P1317" s="25">
        <v>5425</v>
      </c>
      <c r="Q1317" s="25">
        <v>17264.5</v>
      </c>
      <c r="R1317" s="18">
        <v>85.46782178217822</v>
      </c>
    </row>
    <row r="1318" spans="1:18" x14ac:dyDescent="0.35">
      <c r="A1318" s="13">
        <v>45234</v>
      </c>
      <c r="B1318">
        <v>2023</v>
      </c>
      <c r="C1318">
        <v>11</v>
      </c>
      <c r="D1318" t="s">
        <v>85</v>
      </c>
      <c r="E1318" t="s">
        <v>84</v>
      </c>
      <c r="F1318">
        <v>202</v>
      </c>
      <c r="G1318">
        <v>202</v>
      </c>
      <c r="H1318">
        <v>0</v>
      </c>
      <c r="I1318">
        <v>9</v>
      </c>
      <c r="J1318" s="17">
        <v>0.86324786324786329</v>
      </c>
      <c r="K1318">
        <v>35</v>
      </c>
      <c r="L1318">
        <v>35</v>
      </c>
      <c r="M1318" s="17">
        <v>1</v>
      </c>
      <c r="N1318" s="25">
        <v>9110.25</v>
      </c>
      <c r="O1318" s="25">
        <v>1717</v>
      </c>
      <c r="P1318" s="25">
        <v>5425</v>
      </c>
      <c r="Q1318" s="25">
        <v>16252.25</v>
      </c>
      <c r="R1318" s="18">
        <v>80.456683168316829</v>
      </c>
    </row>
    <row r="1319" spans="1:18" x14ac:dyDescent="0.35">
      <c r="A1319" s="13">
        <v>45241</v>
      </c>
      <c r="B1319">
        <v>2023</v>
      </c>
      <c r="C1319">
        <v>11</v>
      </c>
      <c r="D1319" t="s">
        <v>85</v>
      </c>
      <c r="E1319" t="s">
        <v>84</v>
      </c>
      <c r="F1319">
        <v>225</v>
      </c>
      <c r="G1319">
        <v>225</v>
      </c>
      <c r="H1319">
        <v>0</v>
      </c>
      <c r="I1319">
        <v>12</v>
      </c>
      <c r="J1319" s="17">
        <v>0.72115384615384615</v>
      </c>
      <c r="K1319">
        <v>35</v>
      </c>
      <c r="L1319">
        <v>33</v>
      </c>
      <c r="M1319" s="17">
        <v>0.94285714285714284</v>
      </c>
      <c r="N1319" s="25">
        <v>12147</v>
      </c>
      <c r="O1319" s="25">
        <v>1912.5</v>
      </c>
      <c r="P1319" s="25">
        <v>5425</v>
      </c>
      <c r="Q1319" s="25">
        <v>19484.5</v>
      </c>
      <c r="R1319" s="18">
        <v>86.597777777777779</v>
      </c>
    </row>
    <row r="1320" spans="1:18" x14ac:dyDescent="0.35">
      <c r="A1320" s="13">
        <v>45248</v>
      </c>
      <c r="B1320">
        <v>2023</v>
      </c>
      <c r="C1320">
        <v>11</v>
      </c>
      <c r="D1320" t="s">
        <v>85</v>
      </c>
      <c r="E1320" t="s">
        <v>84</v>
      </c>
      <c r="F1320">
        <v>247</v>
      </c>
      <c r="G1320">
        <v>246</v>
      </c>
      <c r="H1320">
        <v>1</v>
      </c>
      <c r="I1320">
        <v>12</v>
      </c>
      <c r="J1320" s="17">
        <v>0.78846153846153844</v>
      </c>
      <c r="K1320">
        <v>35</v>
      </c>
      <c r="L1320">
        <v>34</v>
      </c>
      <c r="M1320" s="17">
        <v>0.97142857142857142</v>
      </c>
      <c r="N1320" s="25">
        <v>12147</v>
      </c>
      <c r="O1320" s="25">
        <v>2091</v>
      </c>
      <c r="P1320" s="25">
        <v>5425</v>
      </c>
      <c r="Q1320" s="25">
        <v>19663</v>
      </c>
      <c r="R1320" s="18">
        <v>79.930894308943095</v>
      </c>
    </row>
    <row r="1321" spans="1:18" x14ac:dyDescent="0.35">
      <c r="A1321" s="13">
        <v>45255</v>
      </c>
      <c r="B1321">
        <v>2023</v>
      </c>
      <c r="C1321">
        <v>11</v>
      </c>
      <c r="D1321" t="s">
        <v>85</v>
      </c>
      <c r="E1321" t="s">
        <v>84</v>
      </c>
      <c r="F1321">
        <v>249</v>
      </c>
      <c r="G1321">
        <v>246</v>
      </c>
      <c r="H1321">
        <v>4</v>
      </c>
      <c r="I1321">
        <v>13</v>
      </c>
      <c r="J1321" s="17">
        <v>0.72781065088757402</v>
      </c>
      <c r="K1321">
        <v>35</v>
      </c>
      <c r="L1321">
        <v>31</v>
      </c>
      <c r="M1321" s="17">
        <v>0.88571428571428568</v>
      </c>
      <c r="N1321" s="25">
        <v>13159.25</v>
      </c>
      <c r="O1321" s="25">
        <v>2091</v>
      </c>
      <c r="P1321" s="25">
        <v>5425</v>
      </c>
      <c r="Q1321" s="25">
        <v>20675.25</v>
      </c>
      <c r="R1321" s="18">
        <v>84.045731707317074</v>
      </c>
    </row>
    <row r="1322" spans="1:18" x14ac:dyDescent="0.35">
      <c r="A1322" s="13">
        <v>45262</v>
      </c>
      <c r="B1322">
        <v>2023</v>
      </c>
      <c r="C1322">
        <v>12</v>
      </c>
      <c r="D1322" t="s">
        <v>85</v>
      </c>
      <c r="E1322" t="s">
        <v>84</v>
      </c>
      <c r="F1322">
        <v>278</v>
      </c>
      <c r="G1322">
        <v>268</v>
      </c>
      <c r="H1322">
        <v>14</v>
      </c>
      <c r="I1322">
        <v>14</v>
      </c>
      <c r="J1322" s="17">
        <v>0.73626373626373631</v>
      </c>
      <c r="K1322">
        <v>35</v>
      </c>
      <c r="L1322">
        <v>35</v>
      </c>
      <c r="M1322" s="17">
        <v>1</v>
      </c>
      <c r="N1322" s="25">
        <v>14171.5</v>
      </c>
      <c r="O1322" s="25">
        <v>2278</v>
      </c>
      <c r="P1322" s="25">
        <v>5425</v>
      </c>
      <c r="Q1322" s="25">
        <v>21874.5</v>
      </c>
      <c r="R1322" s="18">
        <v>81.621268656716424</v>
      </c>
    </row>
    <row r="1323" spans="1:18" x14ac:dyDescent="0.35">
      <c r="A1323" s="13">
        <v>45269</v>
      </c>
      <c r="B1323">
        <v>2023</v>
      </c>
      <c r="C1323">
        <v>12</v>
      </c>
      <c r="D1323" t="s">
        <v>85</v>
      </c>
      <c r="E1323" t="s">
        <v>84</v>
      </c>
      <c r="F1323">
        <v>299</v>
      </c>
      <c r="G1323">
        <v>278</v>
      </c>
      <c r="H1323">
        <v>35</v>
      </c>
      <c r="I1323">
        <v>13</v>
      </c>
      <c r="J1323" s="17">
        <v>0.8224852071005917</v>
      </c>
      <c r="K1323">
        <v>35</v>
      </c>
      <c r="L1323">
        <v>33</v>
      </c>
      <c r="M1323" s="17">
        <v>0.94285714285714284</v>
      </c>
      <c r="N1323" s="25">
        <v>13159.25</v>
      </c>
      <c r="O1323" s="25">
        <v>2363</v>
      </c>
      <c r="P1323" s="25">
        <v>5425</v>
      </c>
      <c r="Q1323" s="25">
        <v>20947.25</v>
      </c>
      <c r="R1323" s="18">
        <v>75.349820143884898</v>
      </c>
    </row>
    <row r="1324" spans="1:18" x14ac:dyDescent="0.35">
      <c r="A1324" s="13">
        <v>45276</v>
      </c>
      <c r="B1324">
        <v>2023</v>
      </c>
      <c r="C1324">
        <v>12</v>
      </c>
      <c r="D1324" t="s">
        <v>85</v>
      </c>
      <c r="E1324" t="s">
        <v>84</v>
      </c>
      <c r="F1324">
        <v>282</v>
      </c>
      <c r="G1324">
        <v>279</v>
      </c>
      <c r="H1324">
        <v>38</v>
      </c>
      <c r="I1324">
        <v>15</v>
      </c>
      <c r="J1324" s="17">
        <v>0.7153846153846154</v>
      </c>
      <c r="K1324">
        <v>35</v>
      </c>
      <c r="L1324">
        <v>32</v>
      </c>
      <c r="M1324" s="17">
        <v>0.91428571428571426</v>
      </c>
      <c r="N1324" s="25">
        <v>15183.75</v>
      </c>
      <c r="O1324" s="25">
        <v>2371.5</v>
      </c>
      <c r="P1324" s="25">
        <v>5425</v>
      </c>
      <c r="Q1324" s="25">
        <v>22980.25</v>
      </c>
      <c r="R1324" s="18">
        <v>82.366487455197131</v>
      </c>
    </row>
    <row r="1325" spans="1:18" x14ac:dyDescent="0.35">
      <c r="A1325" s="13">
        <v>45283</v>
      </c>
      <c r="B1325">
        <v>2023</v>
      </c>
      <c r="C1325">
        <v>12</v>
      </c>
      <c r="D1325" t="s">
        <v>85</v>
      </c>
      <c r="E1325" t="s">
        <v>84</v>
      </c>
      <c r="F1325">
        <v>251</v>
      </c>
      <c r="G1325">
        <v>264</v>
      </c>
      <c r="H1325">
        <v>25</v>
      </c>
      <c r="I1325">
        <v>12</v>
      </c>
      <c r="J1325" s="17">
        <v>0.84615384615384615</v>
      </c>
      <c r="K1325">
        <v>35</v>
      </c>
      <c r="L1325">
        <v>34</v>
      </c>
      <c r="M1325" s="17">
        <v>0.97142857142857142</v>
      </c>
      <c r="N1325" s="25">
        <v>12147</v>
      </c>
      <c r="O1325" s="25">
        <v>2244</v>
      </c>
      <c r="P1325" s="25">
        <v>5425</v>
      </c>
      <c r="Q1325" s="25">
        <v>19816</v>
      </c>
      <c r="R1325" s="18">
        <v>75.060606060606062</v>
      </c>
    </row>
    <row r="1326" spans="1:18" x14ac:dyDescent="0.35">
      <c r="A1326" s="13">
        <v>45290</v>
      </c>
      <c r="B1326">
        <v>2023</v>
      </c>
      <c r="C1326">
        <v>12</v>
      </c>
      <c r="D1326" t="s">
        <v>85</v>
      </c>
      <c r="E1326" t="s">
        <v>84</v>
      </c>
      <c r="F1326">
        <v>219</v>
      </c>
      <c r="G1326">
        <v>233</v>
      </c>
      <c r="H1326">
        <v>11</v>
      </c>
      <c r="I1326">
        <v>12</v>
      </c>
      <c r="J1326" s="17">
        <v>0.74679487179487181</v>
      </c>
      <c r="K1326">
        <v>35</v>
      </c>
      <c r="L1326">
        <v>30</v>
      </c>
      <c r="M1326" s="17">
        <v>0.8571428571428571</v>
      </c>
      <c r="N1326" s="25">
        <v>12147</v>
      </c>
      <c r="O1326" s="25">
        <v>1980.5</v>
      </c>
      <c r="P1326" s="25">
        <v>5425</v>
      </c>
      <c r="Q1326" s="25">
        <v>19552.5</v>
      </c>
      <c r="R1326" s="18">
        <v>83.91630901287553</v>
      </c>
    </row>
    <row r="1327" spans="1:18" x14ac:dyDescent="0.35">
      <c r="A1327" s="13">
        <v>45297</v>
      </c>
      <c r="B1327">
        <v>2024</v>
      </c>
      <c r="C1327">
        <v>1</v>
      </c>
      <c r="D1327" t="s">
        <v>85</v>
      </c>
      <c r="E1327" t="s">
        <v>84</v>
      </c>
      <c r="F1327">
        <v>169</v>
      </c>
      <c r="G1327">
        <v>180</v>
      </c>
      <c r="H1327">
        <v>0</v>
      </c>
      <c r="I1327">
        <v>9</v>
      </c>
      <c r="J1327" s="17">
        <v>0.76923076923076927</v>
      </c>
      <c r="K1327">
        <v>35</v>
      </c>
      <c r="L1327">
        <v>31</v>
      </c>
      <c r="M1327" s="17">
        <v>0.88571428571428568</v>
      </c>
      <c r="N1327" s="25">
        <v>9110.25</v>
      </c>
      <c r="O1327" s="25">
        <v>1530</v>
      </c>
      <c r="P1327" s="25">
        <v>5425</v>
      </c>
      <c r="Q1327" s="25">
        <v>16065.25</v>
      </c>
      <c r="R1327" s="18">
        <v>89.251388888888883</v>
      </c>
    </row>
    <row r="1328" spans="1:18" x14ac:dyDescent="0.35">
      <c r="A1328" s="13">
        <v>45304</v>
      </c>
      <c r="B1328">
        <v>2024</v>
      </c>
      <c r="C1328">
        <v>1</v>
      </c>
      <c r="D1328" t="s">
        <v>85</v>
      </c>
      <c r="E1328" t="s">
        <v>84</v>
      </c>
      <c r="F1328">
        <v>138</v>
      </c>
      <c r="G1328">
        <v>138</v>
      </c>
      <c r="H1328">
        <v>0</v>
      </c>
      <c r="I1328">
        <v>8</v>
      </c>
      <c r="J1328" s="17">
        <v>0.66346153846153844</v>
      </c>
      <c r="K1328">
        <v>35</v>
      </c>
      <c r="L1328">
        <v>34</v>
      </c>
      <c r="M1328" s="17">
        <v>0.97142857142857142</v>
      </c>
      <c r="N1328" s="25">
        <v>8098</v>
      </c>
      <c r="O1328" s="25">
        <v>1173</v>
      </c>
      <c r="P1328" s="25">
        <v>5425</v>
      </c>
      <c r="Q1328" s="25">
        <v>14696</v>
      </c>
      <c r="R1328" s="18">
        <v>106.49275362318841</v>
      </c>
    </row>
    <row r="1329" spans="1:18" x14ac:dyDescent="0.35">
      <c r="A1329" s="13">
        <v>45311</v>
      </c>
      <c r="B1329">
        <v>2024</v>
      </c>
      <c r="C1329">
        <v>1</v>
      </c>
      <c r="D1329" t="s">
        <v>85</v>
      </c>
      <c r="E1329" t="s">
        <v>84</v>
      </c>
      <c r="F1329">
        <v>147</v>
      </c>
      <c r="G1329">
        <v>147</v>
      </c>
      <c r="H1329">
        <v>0</v>
      </c>
      <c r="I1329">
        <v>8</v>
      </c>
      <c r="J1329" s="17">
        <v>0.70673076923076927</v>
      </c>
      <c r="K1329">
        <v>35</v>
      </c>
      <c r="L1329">
        <v>32</v>
      </c>
      <c r="M1329" s="17">
        <v>0.91428571428571426</v>
      </c>
      <c r="N1329" s="25">
        <v>8098</v>
      </c>
      <c r="O1329" s="25">
        <v>1249.5</v>
      </c>
      <c r="P1329" s="25">
        <v>5425</v>
      </c>
      <c r="Q1329" s="25">
        <v>14772.5</v>
      </c>
      <c r="R1329" s="18">
        <v>100.49319727891159</v>
      </c>
    </row>
    <row r="1330" spans="1:18" x14ac:dyDescent="0.35">
      <c r="A1330" s="13">
        <v>45318</v>
      </c>
      <c r="B1330">
        <v>2024</v>
      </c>
      <c r="C1330">
        <v>1</v>
      </c>
      <c r="D1330" t="s">
        <v>85</v>
      </c>
      <c r="E1330" t="s">
        <v>84</v>
      </c>
      <c r="F1330">
        <v>164</v>
      </c>
      <c r="G1330">
        <v>164</v>
      </c>
      <c r="H1330">
        <v>0</v>
      </c>
      <c r="I1330">
        <v>8</v>
      </c>
      <c r="J1330" s="17">
        <v>0.78846153846153844</v>
      </c>
      <c r="K1330">
        <v>35</v>
      </c>
      <c r="L1330">
        <v>33</v>
      </c>
      <c r="M1330" s="17">
        <v>0.94285714285714284</v>
      </c>
      <c r="N1330" s="25">
        <v>8098</v>
      </c>
      <c r="O1330" s="25">
        <v>1394</v>
      </c>
      <c r="P1330" s="25">
        <v>5425</v>
      </c>
      <c r="Q1330" s="25">
        <v>14917</v>
      </c>
      <c r="R1330" s="18">
        <v>90.957317073170728</v>
      </c>
    </row>
    <row r="1331" spans="1:18" x14ac:dyDescent="0.35">
      <c r="A1331" s="13">
        <v>45325</v>
      </c>
      <c r="B1331">
        <v>2024</v>
      </c>
      <c r="C1331">
        <v>2</v>
      </c>
      <c r="D1331" t="s">
        <v>85</v>
      </c>
      <c r="E1331" t="s">
        <v>84</v>
      </c>
      <c r="F1331">
        <v>171</v>
      </c>
      <c r="G1331">
        <v>171</v>
      </c>
      <c r="H1331">
        <v>0</v>
      </c>
      <c r="I1331">
        <v>8</v>
      </c>
      <c r="J1331" s="17">
        <v>0.82211538461538458</v>
      </c>
      <c r="K1331">
        <v>35</v>
      </c>
      <c r="L1331">
        <v>33</v>
      </c>
      <c r="M1331" s="17">
        <v>0.94285714285714284</v>
      </c>
      <c r="N1331" s="25">
        <v>8098</v>
      </c>
      <c r="O1331" s="25">
        <v>1453.5</v>
      </c>
      <c r="P1331" s="25">
        <v>5425</v>
      </c>
      <c r="Q1331" s="25">
        <v>14976.5</v>
      </c>
      <c r="R1331" s="18">
        <v>87.581871345029242</v>
      </c>
    </row>
    <row r="1332" spans="1:18" x14ac:dyDescent="0.35">
      <c r="A1332" s="13">
        <v>45332</v>
      </c>
      <c r="B1332">
        <v>2024</v>
      </c>
      <c r="C1332">
        <v>2</v>
      </c>
      <c r="D1332" t="s">
        <v>85</v>
      </c>
      <c r="E1332" t="s">
        <v>84</v>
      </c>
      <c r="F1332">
        <v>177</v>
      </c>
      <c r="G1332">
        <v>177</v>
      </c>
      <c r="H1332">
        <v>0</v>
      </c>
      <c r="I1332">
        <v>9</v>
      </c>
      <c r="J1332" s="17">
        <v>0.75641025641025639</v>
      </c>
      <c r="K1332">
        <v>35</v>
      </c>
      <c r="L1332">
        <v>33</v>
      </c>
      <c r="M1332" s="17">
        <v>0.94285714285714284</v>
      </c>
      <c r="N1332" s="25">
        <v>9110.25</v>
      </c>
      <c r="O1332" s="25">
        <v>1504.5</v>
      </c>
      <c r="P1332" s="25">
        <v>5425</v>
      </c>
      <c r="Q1332" s="25">
        <v>16039.75</v>
      </c>
      <c r="R1332" s="18">
        <v>90.620056497175142</v>
      </c>
    </row>
    <row r="1333" spans="1:18" x14ac:dyDescent="0.35">
      <c r="A1333" s="13">
        <v>45339</v>
      </c>
      <c r="B1333">
        <v>2024</v>
      </c>
      <c r="C1333">
        <v>2</v>
      </c>
      <c r="D1333" t="s">
        <v>85</v>
      </c>
      <c r="E1333" t="s">
        <v>84</v>
      </c>
      <c r="F1333">
        <v>176</v>
      </c>
      <c r="G1333">
        <v>176</v>
      </c>
      <c r="H1333">
        <v>0</v>
      </c>
      <c r="I1333">
        <v>9</v>
      </c>
      <c r="J1333" s="17">
        <v>0.75213675213675213</v>
      </c>
      <c r="K1333">
        <v>35</v>
      </c>
      <c r="L1333">
        <v>31</v>
      </c>
      <c r="M1333" s="17">
        <v>0.88571428571428568</v>
      </c>
      <c r="N1333" s="25">
        <v>9110.25</v>
      </c>
      <c r="O1333" s="25">
        <v>1496</v>
      </c>
      <c r="P1333" s="25">
        <v>5425</v>
      </c>
      <c r="Q1333" s="25">
        <v>16031.25</v>
      </c>
      <c r="R1333" s="18">
        <v>91.086647727272734</v>
      </c>
    </row>
    <row r="1334" spans="1:18" x14ac:dyDescent="0.35">
      <c r="A1334" s="13">
        <v>45346</v>
      </c>
      <c r="B1334">
        <v>2024</v>
      </c>
      <c r="C1334">
        <v>2</v>
      </c>
      <c r="D1334" t="s">
        <v>85</v>
      </c>
      <c r="E1334" t="s">
        <v>84</v>
      </c>
      <c r="F1334">
        <v>174</v>
      </c>
      <c r="G1334">
        <v>174</v>
      </c>
      <c r="H1334">
        <v>0</v>
      </c>
      <c r="I1334">
        <v>9</v>
      </c>
      <c r="J1334" s="17">
        <v>0.74358974358974361</v>
      </c>
      <c r="K1334">
        <v>35</v>
      </c>
      <c r="L1334">
        <v>31</v>
      </c>
      <c r="M1334" s="17">
        <v>0.88571428571428568</v>
      </c>
      <c r="N1334" s="25">
        <v>9110.25</v>
      </c>
      <c r="O1334" s="25">
        <v>1479</v>
      </c>
      <c r="P1334" s="25">
        <v>5425</v>
      </c>
      <c r="Q1334" s="25">
        <v>16014.25</v>
      </c>
      <c r="R1334" s="18">
        <v>92.035919540229884</v>
      </c>
    </row>
    <row r="1335" spans="1:18" x14ac:dyDescent="0.35">
      <c r="A1335" s="13">
        <v>45353</v>
      </c>
      <c r="B1335">
        <v>2024</v>
      </c>
      <c r="C1335">
        <v>3</v>
      </c>
      <c r="D1335" t="s">
        <v>85</v>
      </c>
      <c r="E1335" t="s">
        <v>84</v>
      </c>
      <c r="F1335">
        <v>191</v>
      </c>
      <c r="G1335">
        <v>191</v>
      </c>
      <c r="H1335">
        <v>0</v>
      </c>
      <c r="I1335">
        <v>9</v>
      </c>
      <c r="J1335" s="17">
        <v>0.81623931623931623</v>
      </c>
      <c r="K1335">
        <v>35</v>
      </c>
      <c r="L1335">
        <v>32</v>
      </c>
      <c r="M1335" s="17">
        <v>0.91428571428571426</v>
      </c>
      <c r="N1335" s="25">
        <v>9110.25</v>
      </c>
      <c r="O1335" s="25">
        <v>1623.5</v>
      </c>
      <c r="P1335" s="25">
        <v>5425</v>
      </c>
      <c r="Q1335" s="25">
        <v>16158.75</v>
      </c>
      <c r="R1335" s="18">
        <v>84.600785340314133</v>
      </c>
    </row>
    <row r="1336" spans="1:18" x14ac:dyDescent="0.35">
      <c r="A1336" s="13">
        <v>45360</v>
      </c>
      <c r="B1336">
        <v>2024</v>
      </c>
      <c r="C1336">
        <v>3</v>
      </c>
      <c r="D1336" t="s">
        <v>85</v>
      </c>
      <c r="E1336" t="s">
        <v>84</v>
      </c>
      <c r="F1336">
        <v>180</v>
      </c>
      <c r="G1336">
        <v>180</v>
      </c>
      <c r="H1336">
        <v>0</v>
      </c>
      <c r="I1336">
        <v>9</v>
      </c>
      <c r="J1336" s="17">
        <v>0.76923076923076927</v>
      </c>
      <c r="K1336">
        <v>35</v>
      </c>
      <c r="L1336">
        <v>31</v>
      </c>
      <c r="M1336" s="17">
        <v>0.88571428571428568</v>
      </c>
      <c r="N1336" s="25">
        <v>9110.25</v>
      </c>
      <c r="O1336" s="25">
        <v>1530</v>
      </c>
      <c r="P1336" s="25">
        <v>5425</v>
      </c>
      <c r="Q1336" s="25">
        <v>16065.25</v>
      </c>
      <c r="R1336" s="18">
        <v>89.251388888888883</v>
      </c>
    </row>
    <row r="1337" spans="1:18" x14ac:dyDescent="0.35">
      <c r="A1337" s="13">
        <v>45367</v>
      </c>
      <c r="B1337">
        <v>2024</v>
      </c>
      <c r="C1337">
        <v>3</v>
      </c>
      <c r="D1337" t="s">
        <v>85</v>
      </c>
      <c r="E1337" t="s">
        <v>84</v>
      </c>
      <c r="F1337">
        <v>197</v>
      </c>
      <c r="G1337">
        <v>197</v>
      </c>
      <c r="H1337">
        <v>0</v>
      </c>
      <c r="I1337">
        <v>9</v>
      </c>
      <c r="J1337" s="17">
        <v>0.84188034188034189</v>
      </c>
      <c r="K1337">
        <v>35</v>
      </c>
      <c r="L1337">
        <v>32</v>
      </c>
      <c r="M1337" s="17">
        <v>0.91428571428571426</v>
      </c>
      <c r="N1337" s="25">
        <v>9110.25</v>
      </c>
      <c r="O1337" s="25">
        <v>1674.5</v>
      </c>
      <c r="P1337" s="25">
        <v>5425</v>
      </c>
      <c r="Q1337" s="25">
        <v>16209.75</v>
      </c>
      <c r="R1337" s="18">
        <v>82.282994923857871</v>
      </c>
    </row>
    <row r="1338" spans="1:18" x14ac:dyDescent="0.35">
      <c r="A1338" s="13">
        <v>45374</v>
      </c>
      <c r="B1338">
        <v>2024</v>
      </c>
      <c r="C1338">
        <v>3</v>
      </c>
      <c r="D1338" t="s">
        <v>85</v>
      </c>
      <c r="E1338" t="s">
        <v>84</v>
      </c>
      <c r="F1338">
        <v>180</v>
      </c>
      <c r="G1338">
        <v>180</v>
      </c>
      <c r="H1338">
        <v>0</v>
      </c>
      <c r="I1338">
        <v>9</v>
      </c>
      <c r="J1338" s="17">
        <v>0.76923076923076927</v>
      </c>
      <c r="K1338">
        <v>35</v>
      </c>
      <c r="L1338">
        <v>34</v>
      </c>
      <c r="M1338" s="17">
        <v>0.97142857142857142</v>
      </c>
      <c r="N1338" s="25">
        <v>9110.25</v>
      </c>
      <c r="O1338" s="25">
        <v>1530</v>
      </c>
      <c r="P1338" s="25">
        <v>5425</v>
      </c>
      <c r="Q1338" s="25">
        <v>16065.25</v>
      </c>
      <c r="R1338" s="18">
        <v>89.251388888888883</v>
      </c>
    </row>
    <row r="1339" spans="1:18" x14ac:dyDescent="0.35">
      <c r="A1339" s="13">
        <v>45381</v>
      </c>
      <c r="B1339">
        <v>2024</v>
      </c>
      <c r="C1339">
        <v>3</v>
      </c>
      <c r="D1339" t="s">
        <v>85</v>
      </c>
      <c r="E1339" t="s">
        <v>84</v>
      </c>
      <c r="F1339">
        <v>180</v>
      </c>
      <c r="G1339">
        <v>180</v>
      </c>
      <c r="H1339">
        <v>0</v>
      </c>
      <c r="I1339">
        <v>9</v>
      </c>
      <c r="J1339" s="17">
        <v>0.76923076923076927</v>
      </c>
      <c r="K1339">
        <v>35</v>
      </c>
      <c r="L1339">
        <v>34</v>
      </c>
      <c r="M1339" s="17">
        <v>0.97142857142857142</v>
      </c>
      <c r="N1339" s="25">
        <v>9110.25</v>
      </c>
      <c r="O1339" s="25">
        <v>1530</v>
      </c>
      <c r="P1339" s="25">
        <v>5425</v>
      </c>
      <c r="Q1339" s="25">
        <v>16065.25</v>
      </c>
      <c r="R1339" s="18">
        <v>89.251388888888883</v>
      </c>
    </row>
    <row r="1340" spans="1:18" x14ac:dyDescent="0.35">
      <c r="A1340" s="13">
        <v>45388</v>
      </c>
      <c r="B1340">
        <v>2024</v>
      </c>
      <c r="C1340">
        <v>4</v>
      </c>
      <c r="D1340" t="s">
        <v>85</v>
      </c>
      <c r="E1340" t="s">
        <v>84</v>
      </c>
      <c r="F1340">
        <v>187</v>
      </c>
      <c r="G1340">
        <v>187</v>
      </c>
      <c r="H1340">
        <v>0</v>
      </c>
      <c r="I1340">
        <v>9</v>
      </c>
      <c r="J1340" s="17">
        <v>0.79914529914529919</v>
      </c>
      <c r="K1340">
        <v>35</v>
      </c>
      <c r="L1340">
        <v>30</v>
      </c>
      <c r="M1340" s="17">
        <v>0.8571428571428571</v>
      </c>
      <c r="N1340" s="25">
        <v>9110.25</v>
      </c>
      <c r="O1340" s="25">
        <v>1589.5</v>
      </c>
      <c r="P1340" s="25">
        <v>5425</v>
      </c>
      <c r="Q1340" s="25">
        <v>16124.75</v>
      </c>
      <c r="R1340" s="18">
        <v>86.228609625668454</v>
      </c>
    </row>
    <row r="1341" spans="1:18" x14ac:dyDescent="0.35">
      <c r="A1341" s="13">
        <v>45395</v>
      </c>
      <c r="B1341">
        <v>2024</v>
      </c>
      <c r="C1341">
        <v>4</v>
      </c>
      <c r="D1341" t="s">
        <v>85</v>
      </c>
      <c r="E1341" t="s">
        <v>84</v>
      </c>
      <c r="F1341">
        <v>192</v>
      </c>
      <c r="G1341">
        <v>192</v>
      </c>
      <c r="H1341">
        <v>0</v>
      </c>
      <c r="I1341">
        <v>10</v>
      </c>
      <c r="J1341" s="17">
        <v>0.7384615384615385</v>
      </c>
      <c r="K1341">
        <v>35</v>
      </c>
      <c r="L1341">
        <v>33</v>
      </c>
      <c r="M1341" s="17">
        <v>0.94285714285714284</v>
      </c>
      <c r="N1341" s="25">
        <v>10122.5</v>
      </c>
      <c r="O1341" s="25">
        <v>1632</v>
      </c>
      <c r="P1341" s="25">
        <v>5425</v>
      </c>
      <c r="Q1341" s="25">
        <v>17179.5</v>
      </c>
      <c r="R1341" s="18">
        <v>89.4765625</v>
      </c>
    </row>
    <row r="1342" spans="1:18" x14ac:dyDescent="0.35">
      <c r="A1342" s="13">
        <v>45402</v>
      </c>
      <c r="B1342">
        <v>2024</v>
      </c>
      <c r="C1342">
        <v>4</v>
      </c>
      <c r="D1342" t="s">
        <v>85</v>
      </c>
      <c r="E1342" t="s">
        <v>84</v>
      </c>
      <c r="F1342">
        <v>186</v>
      </c>
      <c r="G1342">
        <v>186</v>
      </c>
      <c r="H1342">
        <v>0</v>
      </c>
      <c r="I1342">
        <v>9</v>
      </c>
      <c r="J1342" s="17">
        <v>0.79487179487179482</v>
      </c>
      <c r="K1342">
        <v>35</v>
      </c>
      <c r="L1342">
        <v>35</v>
      </c>
      <c r="M1342" s="17">
        <v>1</v>
      </c>
      <c r="N1342" s="25">
        <v>9110.25</v>
      </c>
      <c r="O1342" s="25">
        <v>1581</v>
      </c>
      <c r="P1342" s="25">
        <v>5425</v>
      </c>
      <c r="Q1342" s="25">
        <v>16116.25</v>
      </c>
      <c r="R1342" s="18">
        <v>86.646505376344081</v>
      </c>
    </row>
    <row r="1343" spans="1:18" x14ac:dyDescent="0.35">
      <c r="A1343" s="13">
        <v>45409</v>
      </c>
      <c r="B1343">
        <v>2024</v>
      </c>
      <c r="C1343">
        <v>4</v>
      </c>
      <c r="D1343" t="s">
        <v>85</v>
      </c>
      <c r="E1343" t="s">
        <v>84</v>
      </c>
      <c r="F1343">
        <v>202</v>
      </c>
      <c r="G1343">
        <v>202</v>
      </c>
      <c r="H1343">
        <v>0</v>
      </c>
      <c r="I1343">
        <v>9</v>
      </c>
      <c r="J1343" s="17">
        <v>0.86324786324786329</v>
      </c>
      <c r="K1343">
        <v>35</v>
      </c>
      <c r="L1343">
        <v>35</v>
      </c>
      <c r="M1343" s="17">
        <v>1</v>
      </c>
      <c r="N1343" s="25">
        <v>9110.25</v>
      </c>
      <c r="O1343" s="25">
        <v>1717</v>
      </c>
      <c r="P1343" s="25">
        <v>5425</v>
      </c>
      <c r="Q1343" s="25">
        <v>16252.25</v>
      </c>
      <c r="R1343" s="18">
        <v>80.456683168316829</v>
      </c>
    </row>
    <row r="1344" spans="1:18" x14ac:dyDescent="0.35">
      <c r="A1344" s="13">
        <v>45416</v>
      </c>
      <c r="B1344">
        <v>2024</v>
      </c>
      <c r="C1344">
        <v>5</v>
      </c>
      <c r="D1344" t="s">
        <v>85</v>
      </c>
      <c r="E1344" t="s">
        <v>84</v>
      </c>
      <c r="F1344">
        <v>200</v>
      </c>
      <c r="G1344">
        <v>200</v>
      </c>
      <c r="H1344">
        <v>0</v>
      </c>
      <c r="I1344">
        <v>10</v>
      </c>
      <c r="J1344" s="17">
        <v>0.76923076923076927</v>
      </c>
      <c r="K1344">
        <v>35</v>
      </c>
      <c r="L1344">
        <v>34</v>
      </c>
      <c r="M1344" s="17">
        <v>0.97142857142857142</v>
      </c>
      <c r="N1344" s="25">
        <v>10122.5</v>
      </c>
      <c r="O1344" s="25">
        <v>1700</v>
      </c>
      <c r="P1344" s="25">
        <v>5425</v>
      </c>
      <c r="Q1344" s="25">
        <v>17247.5</v>
      </c>
      <c r="R1344" s="18">
        <v>86.237499999999997</v>
      </c>
    </row>
    <row r="1345" spans="1:18" x14ac:dyDescent="0.35">
      <c r="A1345" s="13">
        <v>45423</v>
      </c>
      <c r="B1345">
        <v>2024</v>
      </c>
      <c r="C1345">
        <v>5</v>
      </c>
      <c r="D1345" t="s">
        <v>85</v>
      </c>
      <c r="E1345" t="s">
        <v>84</v>
      </c>
      <c r="F1345">
        <v>203</v>
      </c>
      <c r="G1345">
        <v>203</v>
      </c>
      <c r="H1345">
        <v>0</v>
      </c>
      <c r="I1345">
        <v>10</v>
      </c>
      <c r="J1345" s="17">
        <v>0.78076923076923077</v>
      </c>
      <c r="K1345">
        <v>35</v>
      </c>
      <c r="L1345">
        <v>34</v>
      </c>
      <c r="M1345" s="17">
        <v>0.97142857142857142</v>
      </c>
      <c r="N1345" s="25">
        <v>10122.5</v>
      </c>
      <c r="O1345" s="25">
        <v>1725.5</v>
      </c>
      <c r="P1345" s="25">
        <v>5425</v>
      </c>
      <c r="Q1345" s="25">
        <v>17273</v>
      </c>
      <c r="R1345" s="18">
        <v>85.088669950738918</v>
      </c>
    </row>
    <row r="1346" spans="1:18" x14ac:dyDescent="0.35">
      <c r="A1346" s="13">
        <v>45430</v>
      </c>
      <c r="B1346">
        <v>2024</v>
      </c>
      <c r="C1346">
        <v>5</v>
      </c>
      <c r="D1346" t="s">
        <v>85</v>
      </c>
      <c r="E1346" t="s">
        <v>84</v>
      </c>
      <c r="F1346">
        <v>202</v>
      </c>
      <c r="G1346">
        <v>202</v>
      </c>
      <c r="H1346">
        <v>0</v>
      </c>
      <c r="I1346">
        <v>10</v>
      </c>
      <c r="J1346" s="17">
        <v>0.77692307692307694</v>
      </c>
      <c r="K1346">
        <v>35</v>
      </c>
      <c r="L1346">
        <v>32</v>
      </c>
      <c r="M1346" s="17">
        <v>0.91428571428571426</v>
      </c>
      <c r="N1346" s="25">
        <v>10122.5</v>
      </c>
      <c r="O1346" s="25">
        <v>1717</v>
      </c>
      <c r="P1346" s="25">
        <v>5425</v>
      </c>
      <c r="Q1346" s="25">
        <v>17264.5</v>
      </c>
      <c r="R1346" s="18">
        <v>85.46782178217822</v>
      </c>
    </row>
    <row r="1347" spans="1:18" x14ac:dyDescent="0.35">
      <c r="A1347" s="13">
        <v>45437</v>
      </c>
      <c r="B1347">
        <v>2024</v>
      </c>
      <c r="C1347">
        <v>5</v>
      </c>
      <c r="D1347" t="s">
        <v>85</v>
      </c>
      <c r="E1347" t="s">
        <v>84</v>
      </c>
      <c r="F1347">
        <v>199</v>
      </c>
      <c r="G1347">
        <v>199</v>
      </c>
      <c r="H1347">
        <v>0</v>
      </c>
      <c r="I1347">
        <v>10</v>
      </c>
      <c r="J1347" s="17">
        <v>0.76538461538461533</v>
      </c>
      <c r="K1347">
        <v>35</v>
      </c>
      <c r="L1347">
        <v>33</v>
      </c>
      <c r="M1347" s="17">
        <v>0.94285714285714284</v>
      </c>
      <c r="N1347" s="25">
        <v>10122.5</v>
      </c>
      <c r="O1347" s="25">
        <v>1691.5</v>
      </c>
      <c r="P1347" s="25">
        <v>5425</v>
      </c>
      <c r="Q1347" s="25">
        <v>17239</v>
      </c>
      <c r="R1347" s="18">
        <v>86.628140703517587</v>
      </c>
    </row>
    <row r="1348" spans="1:18" x14ac:dyDescent="0.35">
      <c r="A1348" s="13">
        <v>45444</v>
      </c>
      <c r="B1348">
        <v>2024</v>
      </c>
      <c r="C1348">
        <v>6</v>
      </c>
      <c r="D1348" t="s">
        <v>85</v>
      </c>
      <c r="E1348" t="s">
        <v>84</v>
      </c>
      <c r="F1348">
        <v>197</v>
      </c>
      <c r="G1348">
        <v>197</v>
      </c>
      <c r="H1348">
        <v>0</v>
      </c>
      <c r="I1348">
        <v>9</v>
      </c>
      <c r="J1348" s="17">
        <v>0.84188034188034189</v>
      </c>
      <c r="K1348">
        <v>35</v>
      </c>
      <c r="L1348">
        <v>32</v>
      </c>
      <c r="M1348" s="17">
        <v>0.91428571428571426</v>
      </c>
      <c r="N1348" s="25">
        <v>9110.25</v>
      </c>
      <c r="O1348" s="25">
        <v>1674.5</v>
      </c>
      <c r="P1348" s="25">
        <v>5425</v>
      </c>
      <c r="Q1348" s="25">
        <v>16209.75</v>
      </c>
      <c r="R1348" s="18">
        <v>82.282994923857871</v>
      </c>
    </row>
    <row r="1349" spans="1:18" x14ac:dyDescent="0.35">
      <c r="A1349" s="13">
        <v>45451</v>
      </c>
      <c r="B1349">
        <v>2024</v>
      </c>
      <c r="C1349">
        <v>6</v>
      </c>
      <c r="D1349" t="s">
        <v>85</v>
      </c>
      <c r="E1349" t="s">
        <v>84</v>
      </c>
      <c r="F1349">
        <v>201</v>
      </c>
      <c r="G1349">
        <v>201</v>
      </c>
      <c r="H1349">
        <v>0</v>
      </c>
      <c r="I1349">
        <v>10</v>
      </c>
      <c r="J1349" s="17">
        <v>0.77307692307692311</v>
      </c>
      <c r="K1349">
        <v>35</v>
      </c>
      <c r="L1349">
        <v>35</v>
      </c>
      <c r="M1349" s="17">
        <v>1</v>
      </c>
      <c r="N1349" s="25">
        <v>10122.5</v>
      </c>
      <c r="O1349" s="25">
        <v>1708.5</v>
      </c>
      <c r="P1349" s="25">
        <v>5425</v>
      </c>
      <c r="Q1349" s="25">
        <v>17256</v>
      </c>
      <c r="R1349" s="18">
        <v>85.850746268656721</v>
      </c>
    </row>
    <row r="1350" spans="1:18" x14ac:dyDescent="0.35">
      <c r="A1350" s="13">
        <v>45458</v>
      </c>
      <c r="B1350">
        <v>2024</v>
      </c>
      <c r="C1350">
        <v>6</v>
      </c>
      <c r="D1350" t="s">
        <v>85</v>
      </c>
      <c r="E1350" t="s">
        <v>84</v>
      </c>
      <c r="F1350">
        <v>187</v>
      </c>
      <c r="G1350">
        <v>187</v>
      </c>
      <c r="H1350">
        <v>0</v>
      </c>
      <c r="I1350">
        <v>9</v>
      </c>
      <c r="J1350" s="17">
        <v>0.79914529914529919</v>
      </c>
      <c r="K1350">
        <v>35</v>
      </c>
      <c r="L1350">
        <v>34</v>
      </c>
      <c r="M1350" s="17">
        <v>0.97142857142857142</v>
      </c>
      <c r="N1350" s="25">
        <v>9110.25</v>
      </c>
      <c r="O1350" s="25">
        <v>1589.5</v>
      </c>
      <c r="P1350" s="25">
        <v>5425</v>
      </c>
      <c r="Q1350" s="25">
        <v>16124.75</v>
      </c>
      <c r="R1350" s="18">
        <v>86.228609625668454</v>
      </c>
    </row>
    <row r="1351" spans="1:18" x14ac:dyDescent="0.35">
      <c r="A1351" s="13">
        <v>45465</v>
      </c>
      <c r="B1351">
        <v>2024</v>
      </c>
      <c r="C1351">
        <v>6</v>
      </c>
      <c r="D1351" t="s">
        <v>85</v>
      </c>
      <c r="E1351" t="s">
        <v>84</v>
      </c>
      <c r="F1351">
        <v>187</v>
      </c>
      <c r="G1351">
        <v>187</v>
      </c>
      <c r="H1351">
        <v>0</v>
      </c>
      <c r="I1351">
        <v>9</v>
      </c>
      <c r="J1351" s="17">
        <v>0.79914529914529919</v>
      </c>
      <c r="K1351">
        <v>35</v>
      </c>
      <c r="L1351">
        <v>31</v>
      </c>
      <c r="M1351" s="17">
        <v>0.88571428571428568</v>
      </c>
      <c r="N1351" s="25">
        <v>9110.25</v>
      </c>
      <c r="O1351" s="25">
        <v>1589.5</v>
      </c>
      <c r="P1351" s="25">
        <v>5425</v>
      </c>
      <c r="Q1351" s="25">
        <v>16124.75</v>
      </c>
      <c r="R1351" s="18">
        <v>86.228609625668454</v>
      </c>
    </row>
    <row r="1352" spans="1:18" x14ac:dyDescent="0.35">
      <c r="A1352" s="13">
        <v>45472</v>
      </c>
      <c r="B1352">
        <v>2024</v>
      </c>
      <c r="C1352">
        <v>6</v>
      </c>
      <c r="D1352" t="s">
        <v>85</v>
      </c>
      <c r="E1352" t="s">
        <v>84</v>
      </c>
      <c r="F1352">
        <v>190</v>
      </c>
      <c r="G1352">
        <v>190</v>
      </c>
      <c r="H1352">
        <v>0</v>
      </c>
      <c r="I1352">
        <v>9</v>
      </c>
      <c r="J1352" s="17">
        <v>0.81196581196581197</v>
      </c>
      <c r="K1352">
        <v>35</v>
      </c>
      <c r="L1352">
        <v>34</v>
      </c>
      <c r="M1352" s="17">
        <v>0.97142857142857142</v>
      </c>
      <c r="N1352" s="25">
        <v>9110.25</v>
      </c>
      <c r="O1352" s="25">
        <v>1615</v>
      </c>
      <c r="P1352" s="25">
        <v>5425</v>
      </c>
      <c r="Q1352" s="25">
        <v>16150.25</v>
      </c>
      <c r="R1352" s="18">
        <v>85.001315789473679</v>
      </c>
    </row>
    <row r="1353" spans="1:18" x14ac:dyDescent="0.35">
      <c r="A1353" s="13">
        <v>45479</v>
      </c>
      <c r="B1353">
        <v>2024</v>
      </c>
      <c r="C1353">
        <v>7</v>
      </c>
      <c r="D1353" t="s">
        <v>85</v>
      </c>
      <c r="E1353" t="s">
        <v>84</v>
      </c>
      <c r="F1353">
        <v>187</v>
      </c>
      <c r="G1353">
        <v>187</v>
      </c>
      <c r="H1353">
        <v>0</v>
      </c>
      <c r="I1353">
        <v>9</v>
      </c>
      <c r="J1353" s="17">
        <v>0.79914529914529919</v>
      </c>
      <c r="K1353">
        <v>35</v>
      </c>
      <c r="L1353">
        <v>33</v>
      </c>
      <c r="M1353" s="17">
        <v>0.94285714285714284</v>
      </c>
      <c r="N1353" s="25">
        <v>9110.25</v>
      </c>
      <c r="O1353" s="25">
        <v>1589.5</v>
      </c>
      <c r="P1353" s="25">
        <v>5425</v>
      </c>
      <c r="Q1353" s="25">
        <v>16124.75</v>
      </c>
      <c r="R1353" s="18">
        <v>86.228609625668454</v>
      </c>
    </row>
    <row r="1354" spans="1:18" x14ac:dyDescent="0.35">
      <c r="A1354" s="13">
        <v>45486</v>
      </c>
      <c r="B1354">
        <v>2024</v>
      </c>
      <c r="C1354">
        <v>7</v>
      </c>
      <c r="D1354" t="s">
        <v>85</v>
      </c>
      <c r="E1354" t="s">
        <v>84</v>
      </c>
      <c r="F1354">
        <v>192</v>
      </c>
      <c r="G1354">
        <v>192</v>
      </c>
      <c r="H1354">
        <v>0</v>
      </c>
      <c r="I1354">
        <v>10</v>
      </c>
      <c r="J1354" s="17">
        <v>0.7384615384615385</v>
      </c>
      <c r="K1354">
        <v>35</v>
      </c>
      <c r="L1354">
        <v>33</v>
      </c>
      <c r="M1354" s="17">
        <v>0.94285714285714284</v>
      </c>
      <c r="N1354" s="25">
        <v>10122.5</v>
      </c>
      <c r="O1354" s="25">
        <v>1632</v>
      </c>
      <c r="P1354" s="25">
        <v>5425</v>
      </c>
      <c r="Q1354" s="25">
        <v>17179.5</v>
      </c>
      <c r="R1354" s="18">
        <v>89.4765625</v>
      </c>
    </row>
    <row r="1355" spans="1:18" x14ac:dyDescent="0.35">
      <c r="A1355" s="13">
        <v>45493</v>
      </c>
      <c r="B1355">
        <v>2024</v>
      </c>
      <c r="C1355">
        <v>7</v>
      </c>
      <c r="D1355" t="s">
        <v>85</v>
      </c>
      <c r="E1355" t="s">
        <v>84</v>
      </c>
      <c r="F1355">
        <v>194</v>
      </c>
      <c r="G1355">
        <v>194</v>
      </c>
      <c r="H1355">
        <v>0</v>
      </c>
      <c r="I1355">
        <v>10</v>
      </c>
      <c r="J1355" s="17">
        <v>0.74615384615384617</v>
      </c>
      <c r="K1355">
        <v>35</v>
      </c>
      <c r="L1355">
        <v>33</v>
      </c>
      <c r="M1355" s="17">
        <v>0.94285714285714284</v>
      </c>
      <c r="N1355" s="25">
        <v>10122.5</v>
      </c>
      <c r="O1355" s="25">
        <v>1649</v>
      </c>
      <c r="P1355" s="25">
        <v>5425</v>
      </c>
      <c r="Q1355" s="25">
        <v>17196.5</v>
      </c>
      <c r="R1355" s="18">
        <v>88.641752577319593</v>
      </c>
    </row>
    <row r="1356" spans="1:18" x14ac:dyDescent="0.35">
      <c r="A1356" s="13">
        <v>45500</v>
      </c>
      <c r="B1356">
        <v>2024</v>
      </c>
      <c r="C1356">
        <v>7</v>
      </c>
      <c r="D1356" t="s">
        <v>85</v>
      </c>
      <c r="E1356" t="s">
        <v>84</v>
      </c>
      <c r="F1356">
        <v>200</v>
      </c>
      <c r="G1356">
        <v>200</v>
      </c>
      <c r="H1356">
        <v>0</v>
      </c>
      <c r="I1356">
        <v>10</v>
      </c>
      <c r="J1356" s="17">
        <v>0.76923076923076927</v>
      </c>
      <c r="K1356">
        <v>35</v>
      </c>
      <c r="L1356">
        <v>35</v>
      </c>
      <c r="M1356" s="17">
        <v>1</v>
      </c>
      <c r="N1356" s="25">
        <v>10122.5</v>
      </c>
      <c r="O1356" s="25">
        <v>1700</v>
      </c>
      <c r="P1356" s="25">
        <v>5425</v>
      </c>
      <c r="Q1356" s="25">
        <v>17247.5</v>
      </c>
      <c r="R1356" s="18">
        <v>86.237499999999997</v>
      </c>
    </row>
    <row r="1357" spans="1:18" x14ac:dyDescent="0.35">
      <c r="A1357" s="13">
        <v>45507</v>
      </c>
      <c r="B1357">
        <v>2024</v>
      </c>
      <c r="C1357">
        <v>8</v>
      </c>
      <c r="D1357" t="s">
        <v>85</v>
      </c>
      <c r="E1357" t="s">
        <v>84</v>
      </c>
      <c r="F1357">
        <v>208</v>
      </c>
      <c r="G1357">
        <v>208</v>
      </c>
      <c r="H1357">
        <v>0</v>
      </c>
      <c r="I1357">
        <v>11</v>
      </c>
      <c r="J1357" s="17">
        <v>0.72727272727272729</v>
      </c>
      <c r="K1357">
        <v>35</v>
      </c>
      <c r="L1357">
        <v>32</v>
      </c>
      <c r="M1357" s="17">
        <v>0.91428571428571426</v>
      </c>
      <c r="N1357" s="25">
        <v>11134.75</v>
      </c>
      <c r="O1357" s="25">
        <v>1768</v>
      </c>
      <c r="P1357" s="25">
        <v>5425</v>
      </c>
      <c r="Q1357" s="25">
        <v>18327.75</v>
      </c>
      <c r="R1357" s="18">
        <v>88.114182692307693</v>
      </c>
    </row>
    <row r="1358" spans="1:18" x14ac:dyDescent="0.35">
      <c r="A1358" s="13">
        <v>45514</v>
      </c>
      <c r="B1358">
        <v>2024</v>
      </c>
      <c r="C1358">
        <v>8</v>
      </c>
      <c r="D1358" t="s">
        <v>85</v>
      </c>
      <c r="E1358" t="s">
        <v>84</v>
      </c>
      <c r="F1358">
        <v>204</v>
      </c>
      <c r="G1358">
        <v>204</v>
      </c>
      <c r="H1358">
        <v>0</v>
      </c>
      <c r="I1358">
        <v>10</v>
      </c>
      <c r="J1358" s="17">
        <v>0.7846153846153846</v>
      </c>
      <c r="K1358">
        <v>35</v>
      </c>
      <c r="L1358">
        <v>32</v>
      </c>
      <c r="M1358" s="17">
        <v>0.91428571428571426</v>
      </c>
      <c r="N1358" s="25">
        <v>10122.5</v>
      </c>
      <c r="O1358" s="25">
        <v>1734</v>
      </c>
      <c r="P1358" s="25">
        <v>5425</v>
      </c>
      <c r="Q1358" s="25">
        <v>17281.5</v>
      </c>
      <c r="R1358" s="18">
        <v>84.713235294117652</v>
      </c>
    </row>
    <row r="1359" spans="1:18" x14ac:dyDescent="0.35">
      <c r="A1359" s="13">
        <v>45521</v>
      </c>
      <c r="B1359">
        <v>2024</v>
      </c>
      <c r="C1359">
        <v>8</v>
      </c>
      <c r="D1359" t="s">
        <v>85</v>
      </c>
      <c r="E1359" t="s">
        <v>84</v>
      </c>
      <c r="F1359">
        <v>197</v>
      </c>
      <c r="G1359">
        <v>197</v>
      </c>
      <c r="H1359">
        <v>0</v>
      </c>
      <c r="I1359">
        <v>10</v>
      </c>
      <c r="J1359" s="17">
        <v>0.75769230769230766</v>
      </c>
      <c r="K1359">
        <v>35</v>
      </c>
      <c r="L1359">
        <v>35</v>
      </c>
      <c r="M1359" s="17">
        <v>1</v>
      </c>
      <c r="N1359" s="25">
        <v>10122.5</v>
      </c>
      <c r="O1359" s="25">
        <v>1674.5</v>
      </c>
      <c r="P1359" s="25">
        <v>5425</v>
      </c>
      <c r="Q1359" s="25">
        <v>17222</v>
      </c>
      <c r="R1359" s="18">
        <v>87.421319796954322</v>
      </c>
    </row>
    <row r="1360" spans="1:18" x14ac:dyDescent="0.35">
      <c r="A1360" s="13">
        <v>45528</v>
      </c>
      <c r="B1360">
        <v>2024</v>
      </c>
      <c r="C1360">
        <v>8</v>
      </c>
      <c r="D1360" t="s">
        <v>85</v>
      </c>
      <c r="E1360" t="s">
        <v>84</v>
      </c>
      <c r="F1360">
        <v>190</v>
      </c>
      <c r="G1360">
        <v>190</v>
      </c>
      <c r="H1360">
        <v>0</v>
      </c>
      <c r="I1360">
        <v>10</v>
      </c>
      <c r="J1360" s="17">
        <v>0.73076923076923073</v>
      </c>
      <c r="K1360">
        <v>35</v>
      </c>
      <c r="L1360">
        <v>34</v>
      </c>
      <c r="M1360" s="17">
        <v>0.97142857142857142</v>
      </c>
      <c r="N1360" s="25">
        <v>10122.5</v>
      </c>
      <c r="O1360" s="25">
        <v>1615</v>
      </c>
      <c r="P1360" s="25">
        <v>5425</v>
      </c>
      <c r="Q1360" s="25">
        <v>17162.5</v>
      </c>
      <c r="R1360" s="18">
        <v>90.328947368421055</v>
      </c>
    </row>
    <row r="1361" spans="1:18" x14ac:dyDescent="0.35">
      <c r="A1361" s="13">
        <v>45535</v>
      </c>
      <c r="B1361">
        <v>2024</v>
      </c>
      <c r="C1361">
        <v>8</v>
      </c>
      <c r="D1361" t="s">
        <v>85</v>
      </c>
      <c r="E1361" t="s">
        <v>84</v>
      </c>
      <c r="F1361">
        <v>181</v>
      </c>
      <c r="G1361">
        <v>181</v>
      </c>
      <c r="H1361">
        <v>0</v>
      </c>
      <c r="I1361">
        <v>10</v>
      </c>
      <c r="J1361" s="17">
        <v>0.69615384615384612</v>
      </c>
      <c r="K1361">
        <v>35</v>
      </c>
      <c r="L1361">
        <v>33</v>
      </c>
      <c r="M1361" s="17">
        <v>0.94285714285714284</v>
      </c>
      <c r="N1361" s="25">
        <v>10122.5</v>
      </c>
      <c r="O1361" s="25">
        <v>1538.5</v>
      </c>
      <c r="P1361" s="25">
        <v>5425</v>
      </c>
      <c r="Q1361" s="25">
        <v>17086</v>
      </c>
      <c r="R1361" s="18">
        <v>94.39779005524862</v>
      </c>
    </row>
    <row r="1362" spans="1:18" x14ac:dyDescent="0.35">
      <c r="A1362" s="13">
        <v>45542</v>
      </c>
      <c r="B1362">
        <v>2024</v>
      </c>
      <c r="C1362">
        <v>9</v>
      </c>
      <c r="D1362" t="s">
        <v>85</v>
      </c>
      <c r="E1362" t="s">
        <v>84</v>
      </c>
      <c r="F1362">
        <v>180</v>
      </c>
      <c r="G1362">
        <v>180</v>
      </c>
      <c r="H1362">
        <v>0</v>
      </c>
      <c r="I1362">
        <v>9</v>
      </c>
      <c r="J1362" s="17">
        <v>0.76923076923076927</v>
      </c>
      <c r="K1362">
        <v>35</v>
      </c>
      <c r="L1362">
        <v>35</v>
      </c>
      <c r="M1362" s="17">
        <v>1</v>
      </c>
      <c r="N1362" s="25">
        <v>9110.25</v>
      </c>
      <c r="O1362" s="25">
        <v>1530</v>
      </c>
      <c r="P1362" s="25">
        <v>5425</v>
      </c>
      <c r="Q1362" s="25">
        <v>16065.25</v>
      </c>
      <c r="R1362" s="18">
        <v>89.251388888888883</v>
      </c>
    </row>
    <row r="1363" spans="1:18" x14ac:dyDescent="0.35">
      <c r="A1363" s="13">
        <v>45549</v>
      </c>
      <c r="B1363">
        <v>2024</v>
      </c>
      <c r="C1363">
        <v>9</v>
      </c>
      <c r="D1363" t="s">
        <v>85</v>
      </c>
      <c r="E1363" t="s">
        <v>84</v>
      </c>
      <c r="F1363">
        <v>177</v>
      </c>
      <c r="G1363">
        <v>177</v>
      </c>
      <c r="H1363">
        <v>0</v>
      </c>
      <c r="I1363">
        <v>8</v>
      </c>
      <c r="J1363" s="17">
        <v>0.85096153846153844</v>
      </c>
      <c r="K1363">
        <v>35</v>
      </c>
      <c r="L1363">
        <v>33</v>
      </c>
      <c r="M1363" s="17">
        <v>0.94285714285714284</v>
      </c>
      <c r="N1363" s="25">
        <v>8098</v>
      </c>
      <c r="O1363" s="25">
        <v>1504.5</v>
      </c>
      <c r="P1363" s="25">
        <v>5425</v>
      </c>
      <c r="Q1363" s="25">
        <v>15027.5</v>
      </c>
      <c r="R1363" s="18">
        <v>84.901129943502823</v>
      </c>
    </row>
    <row r="1364" spans="1:18" x14ac:dyDescent="0.35">
      <c r="A1364" s="13">
        <v>45556</v>
      </c>
      <c r="B1364">
        <v>2024</v>
      </c>
      <c r="C1364">
        <v>9</v>
      </c>
      <c r="D1364" t="s">
        <v>85</v>
      </c>
      <c r="E1364" t="s">
        <v>84</v>
      </c>
      <c r="F1364">
        <v>185</v>
      </c>
      <c r="G1364">
        <v>185</v>
      </c>
      <c r="H1364">
        <v>0</v>
      </c>
      <c r="I1364">
        <v>8</v>
      </c>
      <c r="J1364" s="17">
        <v>0.88942307692307687</v>
      </c>
      <c r="K1364">
        <v>35</v>
      </c>
      <c r="L1364">
        <v>35</v>
      </c>
      <c r="M1364" s="17">
        <v>1</v>
      </c>
      <c r="N1364" s="25">
        <v>8098</v>
      </c>
      <c r="O1364" s="25">
        <v>1572.5</v>
      </c>
      <c r="P1364" s="25">
        <v>5425</v>
      </c>
      <c r="Q1364" s="25">
        <v>15095.5</v>
      </c>
      <c r="R1364" s="18">
        <v>81.597297297297303</v>
      </c>
    </row>
    <row r="1365" spans="1:18" x14ac:dyDescent="0.35">
      <c r="A1365" s="13">
        <v>45563</v>
      </c>
      <c r="B1365">
        <v>2024</v>
      </c>
      <c r="C1365">
        <v>9</v>
      </c>
      <c r="D1365" t="s">
        <v>85</v>
      </c>
      <c r="E1365" t="s">
        <v>84</v>
      </c>
      <c r="F1365">
        <v>180</v>
      </c>
      <c r="G1365">
        <v>180</v>
      </c>
      <c r="H1365">
        <v>0</v>
      </c>
      <c r="I1365">
        <v>9</v>
      </c>
      <c r="J1365" s="17">
        <v>0.76923076923076927</v>
      </c>
      <c r="K1365">
        <v>35</v>
      </c>
      <c r="L1365">
        <v>33</v>
      </c>
      <c r="M1365" s="17">
        <v>0.94285714285714284</v>
      </c>
      <c r="N1365" s="25">
        <v>9110.25</v>
      </c>
      <c r="O1365" s="25">
        <v>1530</v>
      </c>
      <c r="P1365" s="25">
        <v>5425</v>
      </c>
      <c r="Q1365" s="25">
        <v>16065.25</v>
      </c>
      <c r="R1365" s="18">
        <v>89.251388888888883</v>
      </c>
    </row>
    <row r="1366" spans="1:18" x14ac:dyDescent="0.35">
      <c r="A1366" s="13">
        <v>45570</v>
      </c>
      <c r="B1366">
        <v>2024</v>
      </c>
      <c r="C1366">
        <v>10</v>
      </c>
      <c r="D1366" t="s">
        <v>85</v>
      </c>
      <c r="E1366" t="s">
        <v>84</v>
      </c>
      <c r="F1366">
        <v>183</v>
      </c>
      <c r="G1366">
        <v>183</v>
      </c>
      <c r="H1366">
        <v>0</v>
      </c>
      <c r="I1366">
        <v>9</v>
      </c>
      <c r="J1366" s="17">
        <v>0.78205128205128205</v>
      </c>
      <c r="K1366">
        <v>35</v>
      </c>
      <c r="L1366">
        <v>30</v>
      </c>
      <c r="M1366" s="17">
        <v>0.8571428571428571</v>
      </c>
      <c r="N1366" s="25">
        <v>9110.25</v>
      </c>
      <c r="O1366" s="25">
        <v>1555.5</v>
      </c>
      <c r="P1366" s="25">
        <v>5425</v>
      </c>
      <c r="Q1366" s="25">
        <v>16090.75</v>
      </c>
      <c r="R1366" s="18">
        <v>87.927595628415304</v>
      </c>
    </row>
    <row r="1367" spans="1:18" x14ac:dyDescent="0.35">
      <c r="A1367" s="13">
        <v>45577</v>
      </c>
      <c r="B1367">
        <v>2024</v>
      </c>
      <c r="C1367">
        <v>10</v>
      </c>
      <c r="D1367" t="s">
        <v>85</v>
      </c>
      <c r="E1367" t="s">
        <v>84</v>
      </c>
      <c r="F1367">
        <v>189</v>
      </c>
      <c r="G1367">
        <v>189</v>
      </c>
      <c r="H1367">
        <v>0</v>
      </c>
      <c r="I1367">
        <v>10</v>
      </c>
      <c r="J1367" s="17">
        <v>0.72692307692307689</v>
      </c>
      <c r="K1367">
        <v>35</v>
      </c>
      <c r="L1367">
        <v>31</v>
      </c>
      <c r="M1367" s="17">
        <v>0.88571428571428568</v>
      </c>
      <c r="N1367" s="25">
        <v>10122.5</v>
      </c>
      <c r="O1367" s="25">
        <v>1606.5</v>
      </c>
      <c r="P1367" s="25">
        <v>5425</v>
      </c>
      <c r="Q1367" s="25">
        <v>17154</v>
      </c>
      <c r="R1367" s="18">
        <v>90.761904761904759</v>
      </c>
    </row>
    <row r="1368" spans="1:18" x14ac:dyDescent="0.35">
      <c r="A1368" s="13">
        <v>45584</v>
      </c>
      <c r="B1368">
        <v>2024</v>
      </c>
      <c r="C1368">
        <v>10</v>
      </c>
      <c r="D1368" t="s">
        <v>85</v>
      </c>
      <c r="E1368" t="s">
        <v>84</v>
      </c>
      <c r="F1368">
        <v>198</v>
      </c>
      <c r="G1368">
        <v>198</v>
      </c>
      <c r="H1368">
        <v>0</v>
      </c>
      <c r="I1368">
        <v>10</v>
      </c>
      <c r="J1368" s="17">
        <v>0.7615384615384615</v>
      </c>
      <c r="K1368">
        <v>35</v>
      </c>
      <c r="L1368">
        <v>32</v>
      </c>
      <c r="M1368" s="17">
        <v>0.91428571428571426</v>
      </c>
      <c r="N1368" s="25">
        <v>10122.5</v>
      </c>
      <c r="O1368" s="25">
        <v>1683</v>
      </c>
      <c r="P1368" s="25">
        <v>5425</v>
      </c>
      <c r="Q1368" s="25">
        <v>17230.5</v>
      </c>
      <c r="R1368" s="18">
        <v>87.022727272727266</v>
      </c>
    </row>
    <row r="1369" spans="1:18" x14ac:dyDescent="0.35">
      <c r="A1369" s="13">
        <v>45591</v>
      </c>
      <c r="B1369">
        <v>2024</v>
      </c>
      <c r="C1369">
        <v>10</v>
      </c>
      <c r="D1369" t="s">
        <v>85</v>
      </c>
      <c r="E1369" t="s">
        <v>84</v>
      </c>
      <c r="F1369">
        <v>209</v>
      </c>
      <c r="G1369">
        <v>209</v>
      </c>
      <c r="H1369">
        <v>0</v>
      </c>
      <c r="I1369">
        <v>10</v>
      </c>
      <c r="J1369" s="17">
        <v>0.80384615384615388</v>
      </c>
      <c r="K1369">
        <v>35</v>
      </c>
      <c r="L1369">
        <v>35</v>
      </c>
      <c r="M1369" s="17">
        <v>1</v>
      </c>
      <c r="N1369" s="25">
        <v>10122.5</v>
      </c>
      <c r="O1369" s="25">
        <v>1776.5</v>
      </c>
      <c r="P1369" s="25">
        <v>5425</v>
      </c>
      <c r="Q1369" s="25">
        <v>17324</v>
      </c>
      <c r="R1369" s="18">
        <v>82.889952153110045</v>
      </c>
    </row>
    <row r="1370" spans="1:18" x14ac:dyDescent="0.35">
      <c r="A1370" s="13">
        <v>45598</v>
      </c>
      <c r="B1370">
        <v>2024</v>
      </c>
      <c r="C1370">
        <v>11</v>
      </c>
      <c r="D1370" t="s">
        <v>85</v>
      </c>
      <c r="E1370" t="s">
        <v>84</v>
      </c>
      <c r="F1370">
        <v>207</v>
      </c>
      <c r="G1370">
        <v>207</v>
      </c>
      <c r="H1370">
        <v>0</v>
      </c>
      <c r="I1370">
        <v>10</v>
      </c>
      <c r="J1370" s="17">
        <v>0.7961538461538461</v>
      </c>
      <c r="K1370">
        <v>35</v>
      </c>
      <c r="L1370">
        <v>34</v>
      </c>
      <c r="M1370" s="17">
        <v>0.97142857142857142</v>
      </c>
      <c r="N1370" s="25">
        <v>10122.5</v>
      </c>
      <c r="O1370" s="25">
        <v>1759.5</v>
      </c>
      <c r="P1370" s="25">
        <v>5425</v>
      </c>
      <c r="Q1370" s="25">
        <v>17307</v>
      </c>
      <c r="R1370" s="18">
        <v>83.608695652173907</v>
      </c>
    </row>
    <row r="1371" spans="1:18" x14ac:dyDescent="0.35">
      <c r="A1371" s="13">
        <v>45605</v>
      </c>
      <c r="B1371">
        <v>2024</v>
      </c>
      <c r="C1371">
        <v>11</v>
      </c>
      <c r="D1371" t="s">
        <v>85</v>
      </c>
      <c r="E1371" t="s">
        <v>84</v>
      </c>
      <c r="F1371">
        <v>233</v>
      </c>
      <c r="G1371">
        <v>233</v>
      </c>
      <c r="H1371">
        <v>0</v>
      </c>
      <c r="I1371">
        <v>12</v>
      </c>
      <c r="J1371" s="17">
        <v>0.74679487179487181</v>
      </c>
      <c r="K1371">
        <v>35</v>
      </c>
      <c r="L1371">
        <v>34</v>
      </c>
      <c r="M1371" s="17">
        <v>0.97142857142857142</v>
      </c>
      <c r="N1371" s="25">
        <v>12147</v>
      </c>
      <c r="O1371" s="25">
        <v>1980.5</v>
      </c>
      <c r="P1371" s="25">
        <v>5425</v>
      </c>
      <c r="Q1371" s="25">
        <v>19552.5</v>
      </c>
      <c r="R1371" s="18">
        <v>83.91630901287553</v>
      </c>
    </row>
    <row r="1372" spans="1:18" x14ac:dyDescent="0.35">
      <c r="A1372" s="13">
        <v>45612</v>
      </c>
      <c r="B1372">
        <v>2024</v>
      </c>
      <c r="C1372">
        <v>11</v>
      </c>
      <c r="D1372" t="s">
        <v>85</v>
      </c>
      <c r="E1372" t="s">
        <v>84</v>
      </c>
      <c r="F1372">
        <v>243</v>
      </c>
      <c r="G1372">
        <v>243</v>
      </c>
      <c r="H1372">
        <v>0</v>
      </c>
      <c r="I1372">
        <v>12</v>
      </c>
      <c r="J1372" s="17">
        <v>0.77884615384615385</v>
      </c>
      <c r="K1372">
        <v>35</v>
      </c>
      <c r="L1372">
        <v>34</v>
      </c>
      <c r="M1372" s="17">
        <v>0.97142857142857142</v>
      </c>
      <c r="N1372" s="25">
        <v>12147</v>
      </c>
      <c r="O1372" s="25">
        <v>2065.5</v>
      </c>
      <c r="P1372" s="25">
        <v>5425</v>
      </c>
      <c r="Q1372" s="25">
        <v>19637.5</v>
      </c>
      <c r="R1372" s="18">
        <v>80.812757201646093</v>
      </c>
    </row>
    <row r="1373" spans="1:18" x14ac:dyDescent="0.35">
      <c r="A1373" s="13">
        <v>45619</v>
      </c>
      <c r="B1373">
        <v>2024</v>
      </c>
      <c r="C1373">
        <v>11</v>
      </c>
      <c r="D1373" t="s">
        <v>85</v>
      </c>
      <c r="E1373" t="s">
        <v>84</v>
      </c>
      <c r="F1373">
        <v>253</v>
      </c>
      <c r="G1373">
        <v>252</v>
      </c>
      <c r="H1373">
        <v>1</v>
      </c>
      <c r="I1373">
        <v>13</v>
      </c>
      <c r="J1373" s="17">
        <v>0.74556213017751483</v>
      </c>
      <c r="K1373">
        <v>35</v>
      </c>
      <c r="L1373">
        <v>29</v>
      </c>
      <c r="M1373" s="17">
        <v>0.82857142857142863</v>
      </c>
      <c r="N1373" s="25">
        <v>13159.25</v>
      </c>
      <c r="O1373" s="25">
        <v>2142</v>
      </c>
      <c r="P1373" s="25">
        <v>5425</v>
      </c>
      <c r="Q1373" s="25">
        <v>20726.25</v>
      </c>
      <c r="R1373" s="18">
        <v>82.24702380952381</v>
      </c>
    </row>
    <row r="1374" spans="1:18" x14ac:dyDescent="0.35">
      <c r="A1374" s="13">
        <v>45626</v>
      </c>
      <c r="B1374">
        <v>2024</v>
      </c>
      <c r="C1374">
        <v>11</v>
      </c>
      <c r="D1374" t="s">
        <v>85</v>
      </c>
      <c r="E1374" t="s">
        <v>84</v>
      </c>
      <c r="F1374">
        <v>285</v>
      </c>
      <c r="G1374">
        <v>273</v>
      </c>
      <c r="H1374">
        <v>13</v>
      </c>
      <c r="I1374">
        <v>15</v>
      </c>
      <c r="J1374" s="17">
        <v>0.7</v>
      </c>
      <c r="K1374">
        <v>35</v>
      </c>
      <c r="L1374">
        <v>35</v>
      </c>
      <c r="M1374" s="17">
        <v>1</v>
      </c>
      <c r="N1374" s="25">
        <v>15183.75</v>
      </c>
      <c r="O1374" s="25">
        <v>2320.5</v>
      </c>
      <c r="P1374" s="25">
        <v>5425</v>
      </c>
      <c r="Q1374" s="25">
        <v>22929.25</v>
      </c>
      <c r="R1374" s="18">
        <v>83.989926739926744</v>
      </c>
    </row>
    <row r="1375" spans="1:18" x14ac:dyDescent="0.35">
      <c r="A1375" s="13">
        <v>45633</v>
      </c>
      <c r="B1375">
        <v>2024</v>
      </c>
      <c r="C1375">
        <v>12</v>
      </c>
      <c r="D1375" t="s">
        <v>85</v>
      </c>
      <c r="E1375" t="s">
        <v>84</v>
      </c>
      <c r="F1375">
        <v>299</v>
      </c>
      <c r="G1375">
        <v>279</v>
      </c>
      <c r="H1375">
        <v>33</v>
      </c>
      <c r="I1375">
        <v>14</v>
      </c>
      <c r="J1375" s="17">
        <v>0.76648351648351654</v>
      </c>
      <c r="K1375">
        <v>35</v>
      </c>
      <c r="L1375">
        <v>32</v>
      </c>
      <c r="M1375" s="17">
        <v>0.91428571428571426</v>
      </c>
      <c r="N1375" s="25">
        <v>14171.5</v>
      </c>
      <c r="O1375" s="25">
        <v>2371.5</v>
      </c>
      <c r="P1375" s="25">
        <v>5425</v>
      </c>
      <c r="Q1375" s="25">
        <v>21968</v>
      </c>
      <c r="R1375" s="18">
        <v>78.738351254480293</v>
      </c>
    </row>
    <row r="1376" spans="1:18" x14ac:dyDescent="0.35">
      <c r="A1376" s="13">
        <v>45640</v>
      </c>
      <c r="B1376">
        <v>2024</v>
      </c>
      <c r="C1376">
        <v>12</v>
      </c>
      <c r="D1376" t="s">
        <v>85</v>
      </c>
      <c r="E1376" t="s">
        <v>84</v>
      </c>
      <c r="F1376">
        <v>300</v>
      </c>
      <c r="G1376">
        <v>282</v>
      </c>
      <c r="H1376">
        <v>51</v>
      </c>
      <c r="I1376">
        <v>14</v>
      </c>
      <c r="J1376" s="17">
        <v>0.77472527472527475</v>
      </c>
      <c r="K1376">
        <v>35</v>
      </c>
      <c r="L1376">
        <v>35</v>
      </c>
      <c r="M1376" s="17">
        <v>1</v>
      </c>
      <c r="N1376" s="25">
        <v>14171.5</v>
      </c>
      <c r="O1376" s="25">
        <v>2397</v>
      </c>
      <c r="P1376" s="25">
        <v>5425</v>
      </c>
      <c r="Q1376" s="25">
        <v>21993.5</v>
      </c>
      <c r="R1376" s="18">
        <v>77.991134751773046</v>
      </c>
    </row>
    <row r="1377" spans="1:18" x14ac:dyDescent="0.35">
      <c r="A1377" s="13">
        <v>45647</v>
      </c>
      <c r="B1377">
        <v>2024</v>
      </c>
      <c r="C1377">
        <v>12</v>
      </c>
      <c r="D1377" t="s">
        <v>85</v>
      </c>
      <c r="E1377" t="s">
        <v>84</v>
      </c>
      <c r="F1377">
        <v>278</v>
      </c>
      <c r="G1377">
        <v>276</v>
      </c>
      <c r="H1377">
        <v>53</v>
      </c>
      <c r="I1377">
        <v>15</v>
      </c>
      <c r="J1377" s="17">
        <v>0.70769230769230773</v>
      </c>
      <c r="K1377">
        <v>35</v>
      </c>
      <c r="L1377">
        <v>34</v>
      </c>
      <c r="M1377" s="17">
        <v>0.97142857142857142</v>
      </c>
      <c r="N1377" s="25">
        <v>15183.75</v>
      </c>
      <c r="O1377" s="25">
        <v>2346</v>
      </c>
      <c r="P1377" s="25">
        <v>5425</v>
      </c>
      <c r="Q1377" s="25">
        <v>22954.75</v>
      </c>
      <c r="R1377" s="18">
        <v>83.169384057971016</v>
      </c>
    </row>
    <row r="1378" spans="1:18" x14ac:dyDescent="0.35">
      <c r="A1378" s="13">
        <v>45654</v>
      </c>
      <c r="B1378">
        <v>2024</v>
      </c>
      <c r="C1378">
        <v>12</v>
      </c>
      <c r="D1378" t="s">
        <v>85</v>
      </c>
      <c r="E1378" t="s">
        <v>84</v>
      </c>
      <c r="F1378">
        <v>230</v>
      </c>
      <c r="G1378">
        <v>265</v>
      </c>
      <c r="H1378">
        <v>18</v>
      </c>
      <c r="I1378">
        <v>13</v>
      </c>
      <c r="J1378" s="17">
        <v>0.78402366863905326</v>
      </c>
      <c r="K1378">
        <v>35</v>
      </c>
      <c r="L1378">
        <v>32</v>
      </c>
      <c r="M1378" s="17">
        <v>0.91428571428571426</v>
      </c>
      <c r="N1378" s="25">
        <v>13159.25</v>
      </c>
      <c r="O1378" s="25">
        <v>2252.5</v>
      </c>
      <c r="P1378" s="25">
        <v>5425</v>
      </c>
      <c r="Q1378" s="25">
        <v>20836.75</v>
      </c>
      <c r="R1378" s="18">
        <v>78.629245283018861</v>
      </c>
    </row>
    <row r="1379" spans="1:18" x14ac:dyDescent="0.35">
      <c r="A1379" s="13">
        <v>45661</v>
      </c>
      <c r="B1379">
        <v>2025</v>
      </c>
      <c r="C1379">
        <v>1</v>
      </c>
      <c r="D1379" t="s">
        <v>85</v>
      </c>
      <c r="E1379" t="s">
        <v>84</v>
      </c>
      <c r="F1379">
        <v>190</v>
      </c>
      <c r="G1379">
        <v>204</v>
      </c>
      <c r="H1379">
        <v>4</v>
      </c>
      <c r="I1379">
        <v>10</v>
      </c>
      <c r="J1379" s="17">
        <v>0.7846153846153846</v>
      </c>
      <c r="K1379">
        <v>35</v>
      </c>
      <c r="L1379">
        <v>33</v>
      </c>
      <c r="M1379" s="17">
        <v>0.94285714285714284</v>
      </c>
      <c r="N1379" s="25">
        <v>10122.5</v>
      </c>
      <c r="O1379" s="25">
        <v>1734</v>
      </c>
      <c r="P1379" s="25">
        <v>5425</v>
      </c>
      <c r="Q1379" s="25">
        <v>17281.5</v>
      </c>
      <c r="R1379" s="18">
        <v>84.713235294117652</v>
      </c>
    </row>
    <row r="1380" spans="1:18" x14ac:dyDescent="0.35">
      <c r="A1380" s="13">
        <v>45668</v>
      </c>
      <c r="B1380">
        <v>2025</v>
      </c>
      <c r="C1380">
        <v>1</v>
      </c>
      <c r="D1380" t="s">
        <v>85</v>
      </c>
      <c r="E1380" t="s">
        <v>84</v>
      </c>
      <c r="F1380">
        <v>149</v>
      </c>
      <c r="G1380">
        <v>153</v>
      </c>
      <c r="H1380">
        <v>0</v>
      </c>
      <c r="I1380">
        <v>8</v>
      </c>
      <c r="J1380" s="17">
        <v>0.73557692307692313</v>
      </c>
      <c r="K1380">
        <v>35</v>
      </c>
      <c r="L1380">
        <v>31</v>
      </c>
      <c r="M1380" s="17">
        <v>0.88571428571428568</v>
      </c>
      <c r="N1380" s="25">
        <v>8098</v>
      </c>
      <c r="O1380" s="25">
        <v>1300.5</v>
      </c>
      <c r="P1380" s="25">
        <v>5425</v>
      </c>
      <c r="Q1380" s="25">
        <v>14823.5</v>
      </c>
      <c r="R1380" s="18">
        <v>96.885620915032675</v>
      </c>
    </row>
    <row r="1381" spans="1:18" x14ac:dyDescent="0.35">
      <c r="A1381" s="13">
        <v>45675</v>
      </c>
      <c r="B1381">
        <v>2025</v>
      </c>
      <c r="C1381">
        <v>1</v>
      </c>
      <c r="D1381" t="s">
        <v>85</v>
      </c>
      <c r="E1381" t="s">
        <v>84</v>
      </c>
      <c r="F1381">
        <v>159</v>
      </c>
      <c r="G1381">
        <v>159</v>
      </c>
      <c r="H1381">
        <v>0</v>
      </c>
      <c r="I1381">
        <v>8</v>
      </c>
      <c r="J1381" s="17">
        <v>0.76442307692307687</v>
      </c>
      <c r="K1381">
        <v>35</v>
      </c>
      <c r="L1381">
        <v>34</v>
      </c>
      <c r="M1381" s="17">
        <v>0.97142857142857142</v>
      </c>
      <c r="N1381" s="25">
        <v>8098</v>
      </c>
      <c r="O1381" s="25">
        <v>1351.5</v>
      </c>
      <c r="P1381" s="25">
        <v>5425</v>
      </c>
      <c r="Q1381" s="25">
        <v>14874.5</v>
      </c>
      <c r="R1381" s="18">
        <v>93.550314465408803</v>
      </c>
    </row>
    <row r="1382" spans="1:18" x14ac:dyDescent="0.35">
      <c r="A1382" s="13">
        <v>45682</v>
      </c>
      <c r="B1382">
        <v>2025</v>
      </c>
      <c r="C1382">
        <v>1</v>
      </c>
      <c r="D1382" t="s">
        <v>85</v>
      </c>
      <c r="E1382" t="s">
        <v>84</v>
      </c>
      <c r="F1382">
        <v>165</v>
      </c>
      <c r="G1382">
        <v>165</v>
      </c>
      <c r="H1382">
        <v>0</v>
      </c>
      <c r="I1382">
        <v>8</v>
      </c>
      <c r="J1382" s="17">
        <v>0.79326923076923073</v>
      </c>
      <c r="K1382">
        <v>35</v>
      </c>
      <c r="L1382">
        <v>33</v>
      </c>
      <c r="M1382" s="17">
        <v>0.94285714285714284</v>
      </c>
      <c r="N1382" s="25">
        <v>8098</v>
      </c>
      <c r="O1382" s="25">
        <v>1402.5</v>
      </c>
      <c r="P1382" s="25">
        <v>5425</v>
      </c>
      <c r="Q1382" s="25">
        <v>14925.5</v>
      </c>
      <c r="R1382" s="18">
        <v>90.457575757575754</v>
      </c>
    </row>
    <row r="1383" spans="1:18" x14ac:dyDescent="0.35">
      <c r="A1383" s="13">
        <v>45689</v>
      </c>
      <c r="B1383">
        <v>2025</v>
      </c>
      <c r="C1383">
        <v>2</v>
      </c>
      <c r="D1383" t="s">
        <v>85</v>
      </c>
      <c r="E1383" t="s">
        <v>84</v>
      </c>
      <c r="F1383">
        <v>166</v>
      </c>
      <c r="G1383">
        <v>166</v>
      </c>
      <c r="H1383">
        <v>0</v>
      </c>
      <c r="I1383">
        <v>8</v>
      </c>
      <c r="J1383" s="17">
        <v>0.79807692307692313</v>
      </c>
      <c r="K1383">
        <v>37</v>
      </c>
      <c r="L1383">
        <v>36</v>
      </c>
      <c r="M1383" s="17">
        <v>0.97297297297297303</v>
      </c>
      <c r="N1383" s="25">
        <v>8098</v>
      </c>
      <c r="O1383" s="25">
        <v>1411</v>
      </c>
      <c r="P1383" s="25">
        <v>5735</v>
      </c>
      <c r="Q1383" s="25">
        <v>15244</v>
      </c>
      <c r="R1383" s="18">
        <v>91.831325301204814</v>
      </c>
    </row>
    <row r="1384" spans="1:18" x14ac:dyDescent="0.35">
      <c r="A1384" s="13">
        <v>45696</v>
      </c>
      <c r="B1384">
        <v>2025</v>
      </c>
      <c r="C1384">
        <v>2</v>
      </c>
      <c r="D1384" t="s">
        <v>85</v>
      </c>
      <c r="E1384" t="s">
        <v>84</v>
      </c>
      <c r="F1384">
        <v>171</v>
      </c>
      <c r="G1384">
        <v>171</v>
      </c>
      <c r="H1384">
        <v>0</v>
      </c>
      <c r="I1384">
        <v>9</v>
      </c>
      <c r="J1384" s="17">
        <v>0.73076923076923073</v>
      </c>
      <c r="K1384">
        <v>37</v>
      </c>
      <c r="L1384">
        <v>37</v>
      </c>
      <c r="M1384" s="17">
        <v>1</v>
      </c>
      <c r="N1384" s="25">
        <v>9110.25</v>
      </c>
      <c r="O1384" s="25">
        <v>1453.5</v>
      </c>
      <c r="P1384" s="25">
        <v>5735</v>
      </c>
      <c r="Q1384" s="25">
        <v>16298.75</v>
      </c>
      <c r="R1384" s="18">
        <v>95.314327485380119</v>
      </c>
    </row>
    <row r="1385" spans="1:18" x14ac:dyDescent="0.35">
      <c r="A1385" s="13">
        <v>45703</v>
      </c>
      <c r="B1385">
        <v>2025</v>
      </c>
      <c r="C1385">
        <v>2</v>
      </c>
      <c r="D1385" t="s">
        <v>85</v>
      </c>
      <c r="E1385" t="s">
        <v>84</v>
      </c>
      <c r="F1385">
        <v>188</v>
      </c>
      <c r="G1385">
        <v>188</v>
      </c>
      <c r="H1385">
        <v>0</v>
      </c>
      <c r="I1385">
        <v>9</v>
      </c>
      <c r="J1385" s="17">
        <v>0.80341880341880345</v>
      </c>
      <c r="K1385">
        <v>37</v>
      </c>
      <c r="L1385">
        <v>35</v>
      </c>
      <c r="M1385" s="17">
        <v>0.94594594594594594</v>
      </c>
      <c r="N1385" s="25">
        <v>9110.25</v>
      </c>
      <c r="O1385" s="25">
        <v>1598</v>
      </c>
      <c r="P1385" s="25">
        <v>5735</v>
      </c>
      <c r="Q1385" s="25">
        <v>16443.25</v>
      </c>
      <c r="R1385" s="18">
        <v>87.464095744680847</v>
      </c>
    </row>
    <row r="1386" spans="1:18" x14ac:dyDescent="0.35">
      <c r="A1386" s="13">
        <v>45710</v>
      </c>
      <c r="B1386">
        <v>2025</v>
      </c>
      <c r="C1386">
        <v>2</v>
      </c>
      <c r="D1386" t="s">
        <v>85</v>
      </c>
      <c r="E1386" t="s">
        <v>84</v>
      </c>
      <c r="F1386">
        <v>182</v>
      </c>
      <c r="G1386">
        <v>182</v>
      </c>
      <c r="H1386">
        <v>0</v>
      </c>
      <c r="I1386">
        <v>9</v>
      </c>
      <c r="J1386" s="17">
        <v>0.77777777777777779</v>
      </c>
      <c r="K1386">
        <v>37</v>
      </c>
      <c r="L1386">
        <v>36</v>
      </c>
      <c r="M1386" s="17">
        <v>0.97297297297297303</v>
      </c>
      <c r="N1386" s="25">
        <v>9110.25</v>
      </c>
      <c r="O1386" s="25">
        <v>1547</v>
      </c>
      <c r="P1386" s="25">
        <v>5735</v>
      </c>
      <c r="Q1386" s="25">
        <v>16392.25</v>
      </c>
      <c r="R1386" s="18">
        <v>90.067307692307693</v>
      </c>
    </row>
    <row r="1387" spans="1:18" x14ac:dyDescent="0.35">
      <c r="A1387" s="13">
        <v>45717</v>
      </c>
      <c r="B1387">
        <v>2025</v>
      </c>
      <c r="C1387">
        <v>3</v>
      </c>
      <c r="D1387" t="s">
        <v>85</v>
      </c>
      <c r="E1387" t="s">
        <v>84</v>
      </c>
      <c r="F1387">
        <v>193</v>
      </c>
      <c r="G1387">
        <v>193</v>
      </c>
      <c r="H1387">
        <v>0</v>
      </c>
      <c r="I1387">
        <v>9</v>
      </c>
      <c r="J1387" s="17">
        <v>0.82478632478632474</v>
      </c>
      <c r="K1387">
        <v>37</v>
      </c>
      <c r="L1387">
        <v>36</v>
      </c>
      <c r="M1387" s="17">
        <v>0.97297297297297303</v>
      </c>
      <c r="N1387" s="25">
        <v>9110.25</v>
      </c>
      <c r="O1387" s="25">
        <v>1640.5</v>
      </c>
      <c r="P1387" s="25">
        <v>5735</v>
      </c>
      <c r="Q1387" s="25">
        <v>16485.75</v>
      </c>
      <c r="R1387" s="18">
        <v>85.418393782383419</v>
      </c>
    </row>
    <row r="1388" spans="1:18" x14ac:dyDescent="0.35">
      <c r="A1388" s="13">
        <v>45724</v>
      </c>
      <c r="B1388">
        <v>2025</v>
      </c>
      <c r="C1388">
        <v>3</v>
      </c>
      <c r="D1388" t="s">
        <v>85</v>
      </c>
      <c r="E1388" t="s">
        <v>84</v>
      </c>
      <c r="F1388">
        <v>201</v>
      </c>
      <c r="G1388">
        <v>201</v>
      </c>
      <c r="H1388">
        <v>0</v>
      </c>
      <c r="I1388">
        <v>10</v>
      </c>
      <c r="J1388" s="17">
        <v>0.77307692307692311</v>
      </c>
      <c r="K1388">
        <v>37</v>
      </c>
      <c r="L1388">
        <v>36</v>
      </c>
      <c r="M1388" s="17">
        <v>0.97297297297297303</v>
      </c>
      <c r="N1388" s="25">
        <v>10122.5</v>
      </c>
      <c r="O1388" s="25">
        <v>1708.5</v>
      </c>
      <c r="P1388" s="25">
        <v>5735</v>
      </c>
      <c r="Q1388" s="25">
        <v>17566</v>
      </c>
      <c r="R1388" s="18">
        <v>87.393034825870643</v>
      </c>
    </row>
    <row r="1389" spans="1:18" x14ac:dyDescent="0.35">
      <c r="A1389" s="13">
        <v>45731</v>
      </c>
      <c r="B1389">
        <v>2025</v>
      </c>
      <c r="C1389">
        <v>3</v>
      </c>
      <c r="D1389" t="s">
        <v>85</v>
      </c>
      <c r="E1389" t="s">
        <v>84</v>
      </c>
      <c r="F1389">
        <v>204</v>
      </c>
      <c r="G1389">
        <v>204</v>
      </c>
      <c r="H1389">
        <v>0</v>
      </c>
      <c r="I1389">
        <v>10</v>
      </c>
      <c r="J1389" s="17">
        <v>0.7846153846153846</v>
      </c>
      <c r="K1389">
        <v>37</v>
      </c>
      <c r="L1389">
        <v>34</v>
      </c>
      <c r="M1389" s="17">
        <v>0.91891891891891897</v>
      </c>
      <c r="N1389" s="25">
        <v>10122.5</v>
      </c>
      <c r="O1389" s="25">
        <v>1734</v>
      </c>
      <c r="P1389" s="25">
        <v>5735</v>
      </c>
      <c r="Q1389" s="25">
        <v>17591.5</v>
      </c>
      <c r="R1389" s="18">
        <v>86.232843137254903</v>
      </c>
    </row>
    <row r="1390" spans="1:18" x14ac:dyDescent="0.35">
      <c r="A1390" s="13">
        <v>45738</v>
      </c>
      <c r="B1390">
        <v>2025</v>
      </c>
      <c r="C1390">
        <v>3</v>
      </c>
      <c r="D1390" t="s">
        <v>85</v>
      </c>
      <c r="E1390" t="s">
        <v>84</v>
      </c>
      <c r="F1390">
        <v>207</v>
      </c>
      <c r="G1390">
        <v>207</v>
      </c>
      <c r="H1390">
        <v>0</v>
      </c>
      <c r="I1390">
        <v>11</v>
      </c>
      <c r="J1390" s="17">
        <v>0.72377622377622375</v>
      </c>
      <c r="K1390">
        <v>37</v>
      </c>
      <c r="L1390">
        <v>32</v>
      </c>
      <c r="M1390" s="17">
        <v>0.86486486486486491</v>
      </c>
      <c r="N1390" s="25">
        <v>11134.75</v>
      </c>
      <c r="O1390" s="25">
        <v>1759.5</v>
      </c>
      <c r="P1390" s="25">
        <v>5735</v>
      </c>
      <c r="Q1390" s="25">
        <v>18629.25</v>
      </c>
      <c r="R1390" s="18">
        <v>89.996376811594203</v>
      </c>
    </row>
    <row r="1391" spans="1:18" x14ac:dyDescent="0.35">
      <c r="A1391" s="13">
        <v>45745</v>
      </c>
      <c r="B1391">
        <v>2025</v>
      </c>
      <c r="C1391">
        <v>3</v>
      </c>
      <c r="D1391" t="s">
        <v>85</v>
      </c>
      <c r="E1391" t="s">
        <v>84</v>
      </c>
      <c r="F1391">
        <v>207</v>
      </c>
      <c r="G1391">
        <v>207</v>
      </c>
      <c r="H1391">
        <v>0</v>
      </c>
      <c r="I1391">
        <v>11</v>
      </c>
      <c r="J1391" s="17">
        <v>0.72377622377622375</v>
      </c>
      <c r="K1391">
        <v>37</v>
      </c>
      <c r="L1391">
        <v>37</v>
      </c>
      <c r="M1391" s="17">
        <v>1</v>
      </c>
      <c r="N1391" s="25">
        <v>11134.75</v>
      </c>
      <c r="O1391" s="25">
        <v>1759.5</v>
      </c>
      <c r="P1391" s="25">
        <v>5735</v>
      </c>
      <c r="Q1391" s="25">
        <v>18629.25</v>
      </c>
      <c r="R1391" s="18">
        <v>89.996376811594203</v>
      </c>
    </row>
    <row r="1392" spans="1:18" x14ac:dyDescent="0.35">
      <c r="A1392" s="13">
        <v>45752</v>
      </c>
      <c r="B1392">
        <v>2025</v>
      </c>
      <c r="C1392">
        <v>4</v>
      </c>
      <c r="D1392" t="s">
        <v>85</v>
      </c>
      <c r="E1392" t="s">
        <v>84</v>
      </c>
      <c r="F1392">
        <v>208</v>
      </c>
      <c r="G1392">
        <v>208</v>
      </c>
      <c r="H1392">
        <v>0</v>
      </c>
      <c r="I1392">
        <v>11</v>
      </c>
      <c r="J1392" s="17">
        <v>0.72727272727272729</v>
      </c>
      <c r="K1392">
        <v>37</v>
      </c>
      <c r="L1392">
        <v>35</v>
      </c>
      <c r="M1392" s="17">
        <v>0.94594594594594594</v>
      </c>
      <c r="N1392" s="25">
        <v>11134.75</v>
      </c>
      <c r="O1392" s="25">
        <v>1768</v>
      </c>
      <c r="P1392" s="25">
        <v>5735</v>
      </c>
      <c r="Q1392" s="25">
        <v>18637.75</v>
      </c>
      <c r="R1392" s="18">
        <v>89.604567307692307</v>
      </c>
    </row>
    <row r="1393" spans="1:18" x14ac:dyDescent="0.35">
      <c r="A1393" s="13">
        <v>45759</v>
      </c>
      <c r="B1393">
        <v>2025</v>
      </c>
      <c r="C1393">
        <v>4</v>
      </c>
      <c r="D1393" t="s">
        <v>85</v>
      </c>
      <c r="E1393" t="s">
        <v>84</v>
      </c>
      <c r="F1393">
        <v>215</v>
      </c>
      <c r="G1393">
        <v>215</v>
      </c>
      <c r="H1393">
        <v>0</v>
      </c>
      <c r="I1393">
        <v>11</v>
      </c>
      <c r="J1393" s="17">
        <v>0.75174825174825177</v>
      </c>
      <c r="K1393">
        <v>37</v>
      </c>
      <c r="L1393">
        <v>36</v>
      </c>
      <c r="M1393" s="17">
        <v>0.97297297297297303</v>
      </c>
      <c r="N1393" s="25">
        <v>11134.75</v>
      </c>
      <c r="O1393" s="25">
        <v>1827.5</v>
      </c>
      <c r="P1393" s="25">
        <v>5735</v>
      </c>
      <c r="Q1393" s="25">
        <v>18697.25</v>
      </c>
      <c r="R1393" s="18">
        <v>86.963953488372098</v>
      </c>
    </row>
    <row r="1394" spans="1:18" x14ac:dyDescent="0.35">
      <c r="A1394" s="13">
        <v>45766</v>
      </c>
      <c r="B1394">
        <v>2025</v>
      </c>
      <c r="C1394">
        <v>4</v>
      </c>
      <c r="D1394" t="s">
        <v>85</v>
      </c>
      <c r="E1394" t="s">
        <v>84</v>
      </c>
      <c r="F1394">
        <v>200</v>
      </c>
      <c r="G1394">
        <v>200</v>
      </c>
      <c r="H1394">
        <v>0</v>
      </c>
      <c r="I1394">
        <v>11</v>
      </c>
      <c r="J1394" s="17">
        <v>0.69930069930069927</v>
      </c>
      <c r="K1394">
        <v>37</v>
      </c>
      <c r="L1394">
        <v>36</v>
      </c>
      <c r="M1394" s="17">
        <v>0.97297297297297303</v>
      </c>
      <c r="N1394" s="25">
        <v>11134.75</v>
      </c>
      <c r="O1394" s="25">
        <v>1700</v>
      </c>
      <c r="P1394" s="25">
        <v>5735</v>
      </c>
      <c r="Q1394" s="25">
        <v>18569.75</v>
      </c>
      <c r="R1394" s="18">
        <v>92.848749999999995</v>
      </c>
    </row>
    <row r="1395" spans="1:18" x14ac:dyDescent="0.35">
      <c r="A1395" s="13">
        <v>45773</v>
      </c>
      <c r="B1395">
        <v>2025</v>
      </c>
      <c r="C1395">
        <v>4</v>
      </c>
      <c r="D1395" t="s">
        <v>85</v>
      </c>
      <c r="E1395" t="s">
        <v>84</v>
      </c>
      <c r="F1395">
        <v>213</v>
      </c>
      <c r="G1395">
        <v>213</v>
      </c>
      <c r="H1395">
        <v>0</v>
      </c>
      <c r="I1395">
        <v>11</v>
      </c>
      <c r="J1395" s="17">
        <v>0.74475524475524479</v>
      </c>
      <c r="K1395">
        <v>37</v>
      </c>
      <c r="L1395">
        <v>32</v>
      </c>
      <c r="M1395" s="17">
        <v>0.86486486486486491</v>
      </c>
      <c r="N1395" s="25">
        <v>11134.75</v>
      </c>
      <c r="O1395" s="25">
        <v>1810.5</v>
      </c>
      <c r="P1395" s="25">
        <v>5735</v>
      </c>
      <c r="Q1395" s="25">
        <v>18680.25</v>
      </c>
      <c r="R1395" s="18">
        <v>87.700704225352112</v>
      </c>
    </row>
    <row r="1396" spans="1:18" x14ac:dyDescent="0.35">
      <c r="A1396" s="13">
        <v>45780</v>
      </c>
      <c r="B1396">
        <v>2025</v>
      </c>
      <c r="C1396">
        <v>5</v>
      </c>
      <c r="D1396" t="s">
        <v>85</v>
      </c>
      <c r="E1396" t="s">
        <v>84</v>
      </c>
      <c r="F1396">
        <v>236</v>
      </c>
      <c r="G1396">
        <v>236</v>
      </c>
      <c r="H1396">
        <v>0</v>
      </c>
      <c r="I1396">
        <v>12</v>
      </c>
      <c r="J1396" s="17">
        <v>0.75641025641025639</v>
      </c>
      <c r="K1396">
        <v>37</v>
      </c>
      <c r="L1396">
        <v>36</v>
      </c>
      <c r="M1396" s="17">
        <v>0.97297297297297303</v>
      </c>
      <c r="N1396" s="25">
        <v>12147</v>
      </c>
      <c r="O1396" s="25">
        <v>2006</v>
      </c>
      <c r="P1396" s="25">
        <v>5735</v>
      </c>
      <c r="Q1396" s="25">
        <v>19888</v>
      </c>
      <c r="R1396" s="18">
        <v>84.271186440677965</v>
      </c>
    </row>
    <row r="1397" spans="1:18" x14ac:dyDescent="0.35">
      <c r="A1397" s="13">
        <v>45787</v>
      </c>
      <c r="B1397">
        <v>2025</v>
      </c>
      <c r="C1397">
        <v>5</v>
      </c>
      <c r="D1397" t="s">
        <v>85</v>
      </c>
      <c r="E1397" t="s">
        <v>84</v>
      </c>
      <c r="F1397">
        <v>220</v>
      </c>
      <c r="G1397">
        <v>220</v>
      </c>
      <c r="H1397">
        <v>0</v>
      </c>
      <c r="I1397">
        <v>11</v>
      </c>
      <c r="J1397" s="17">
        <v>0.76923076923076927</v>
      </c>
      <c r="K1397">
        <v>37</v>
      </c>
      <c r="L1397">
        <v>36</v>
      </c>
      <c r="M1397" s="17">
        <v>0.97297297297297303</v>
      </c>
      <c r="N1397" s="25">
        <v>11134.75</v>
      </c>
      <c r="O1397" s="25">
        <v>1870</v>
      </c>
      <c r="P1397" s="25">
        <v>5735</v>
      </c>
      <c r="Q1397" s="25">
        <v>18739.75</v>
      </c>
      <c r="R1397" s="18">
        <v>85.180681818181824</v>
      </c>
    </row>
    <row r="1398" spans="1:18" x14ac:dyDescent="0.35">
      <c r="A1398" s="13">
        <v>45794</v>
      </c>
      <c r="B1398">
        <v>2025</v>
      </c>
      <c r="C1398">
        <v>5</v>
      </c>
      <c r="D1398" t="s">
        <v>85</v>
      </c>
      <c r="E1398" t="s">
        <v>84</v>
      </c>
      <c r="F1398">
        <v>217</v>
      </c>
      <c r="G1398">
        <v>217</v>
      </c>
      <c r="H1398">
        <v>0</v>
      </c>
      <c r="I1398">
        <v>12</v>
      </c>
      <c r="J1398" s="17">
        <v>0.69551282051282048</v>
      </c>
      <c r="K1398">
        <v>37</v>
      </c>
      <c r="L1398">
        <v>35</v>
      </c>
      <c r="M1398" s="17">
        <v>0.94594594594594594</v>
      </c>
      <c r="N1398" s="25">
        <v>12147</v>
      </c>
      <c r="O1398" s="25">
        <v>1844.5</v>
      </c>
      <c r="P1398" s="25">
        <v>5735</v>
      </c>
      <c r="Q1398" s="25">
        <v>19726.5</v>
      </c>
      <c r="R1398" s="18">
        <v>90.905529953917053</v>
      </c>
    </row>
    <row r="1399" spans="1:18" x14ac:dyDescent="0.35">
      <c r="A1399" s="13">
        <v>45801</v>
      </c>
      <c r="B1399">
        <v>2025</v>
      </c>
      <c r="C1399">
        <v>5</v>
      </c>
      <c r="D1399" t="s">
        <v>85</v>
      </c>
      <c r="E1399" t="s">
        <v>84</v>
      </c>
      <c r="F1399">
        <v>215</v>
      </c>
      <c r="G1399">
        <v>215</v>
      </c>
      <c r="H1399">
        <v>0</v>
      </c>
      <c r="I1399">
        <v>11</v>
      </c>
      <c r="J1399" s="17">
        <v>0.75174825174825177</v>
      </c>
      <c r="K1399">
        <v>37</v>
      </c>
      <c r="L1399">
        <v>37</v>
      </c>
      <c r="M1399" s="17">
        <v>1</v>
      </c>
      <c r="N1399" s="25">
        <v>11134.75</v>
      </c>
      <c r="O1399" s="25">
        <v>1827.5</v>
      </c>
      <c r="P1399" s="25">
        <v>5735</v>
      </c>
      <c r="Q1399" s="25">
        <v>18697.25</v>
      </c>
      <c r="R1399" s="18">
        <v>86.963953488372098</v>
      </c>
    </row>
    <row r="1400" spans="1:18" x14ac:dyDescent="0.35">
      <c r="A1400" s="13">
        <v>45808</v>
      </c>
      <c r="B1400">
        <v>2025</v>
      </c>
      <c r="C1400">
        <v>5</v>
      </c>
      <c r="D1400" t="s">
        <v>85</v>
      </c>
      <c r="E1400" t="s">
        <v>84</v>
      </c>
      <c r="F1400">
        <v>221</v>
      </c>
      <c r="G1400">
        <v>221</v>
      </c>
      <c r="H1400">
        <v>0</v>
      </c>
      <c r="I1400">
        <v>11</v>
      </c>
      <c r="J1400" s="17">
        <v>0.77272727272727271</v>
      </c>
      <c r="K1400">
        <v>37</v>
      </c>
      <c r="L1400">
        <v>32</v>
      </c>
      <c r="M1400" s="17">
        <v>0.86486486486486491</v>
      </c>
      <c r="N1400" s="25">
        <v>11134.75</v>
      </c>
      <c r="O1400" s="25">
        <v>1878.5</v>
      </c>
      <c r="P1400" s="25">
        <v>5735</v>
      </c>
      <c r="Q1400" s="25">
        <v>18748.25</v>
      </c>
      <c r="R1400" s="18">
        <v>84.83371040723982</v>
      </c>
    </row>
    <row r="1401" spans="1:18" x14ac:dyDescent="0.35">
      <c r="A1401" s="13">
        <v>45815</v>
      </c>
      <c r="B1401">
        <v>2025</v>
      </c>
      <c r="C1401">
        <v>6</v>
      </c>
      <c r="D1401" t="s">
        <v>85</v>
      </c>
      <c r="E1401" t="s">
        <v>84</v>
      </c>
      <c r="F1401">
        <v>214</v>
      </c>
      <c r="G1401">
        <v>214</v>
      </c>
      <c r="H1401">
        <v>0</v>
      </c>
      <c r="I1401">
        <v>12</v>
      </c>
      <c r="J1401" s="17">
        <v>0.6858974358974359</v>
      </c>
      <c r="K1401">
        <v>37</v>
      </c>
      <c r="L1401">
        <v>36</v>
      </c>
      <c r="M1401" s="17">
        <v>0.97297297297297303</v>
      </c>
      <c r="N1401" s="25">
        <v>12147</v>
      </c>
      <c r="O1401" s="25">
        <v>1819</v>
      </c>
      <c r="P1401" s="25">
        <v>5735</v>
      </c>
      <c r="Q1401" s="25">
        <v>19701</v>
      </c>
      <c r="R1401" s="18">
        <v>92.060747663551396</v>
      </c>
    </row>
    <row r="1402" spans="1:18" x14ac:dyDescent="0.35">
      <c r="A1402" s="13">
        <v>45822</v>
      </c>
      <c r="B1402">
        <v>2025</v>
      </c>
      <c r="C1402">
        <v>6</v>
      </c>
      <c r="D1402" t="s">
        <v>85</v>
      </c>
      <c r="E1402" t="s">
        <v>84</v>
      </c>
      <c r="F1402">
        <v>216</v>
      </c>
      <c r="G1402">
        <v>216</v>
      </c>
      <c r="H1402">
        <v>0</v>
      </c>
      <c r="I1402">
        <v>11</v>
      </c>
      <c r="J1402" s="17">
        <v>0.75524475524475521</v>
      </c>
      <c r="K1402">
        <v>37</v>
      </c>
      <c r="L1402">
        <v>35</v>
      </c>
      <c r="M1402" s="17">
        <v>0.94594594594594594</v>
      </c>
      <c r="N1402" s="25">
        <v>11134.75</v>
      </c>
      <c r="O1402" s="25">
        <v>1836</v>
      </c>
      <c r="P1402" s="25">
        <v>5735</v>
      </c>
      <c r="Q1402" s="25">
        <v>18705.75</v>
      </c>
      <c r="R1402" s="18">
        <v>86.600694444444443</v>
      </c>
    </row>
    <row r="1403" spans="1:18" x14ac:dyDescent="0.35">
      <c r="A1403" s="13">
        <v>45829</v>
      </c>
      <c r="B1403">
        <v>2025</v>
      </c>
      <c r="C1403">
        <v>6</v>
      </c>
      <c r="D1403" t="s">
        <v>85</v>
      </c>
      <c r="E1403" t="s">
        <v>84</v>
      </c>
      <c r="F1403">
        <v>210</v>
      </c>
      <c r="G1403">
        <v>210</v>
      </c>
      <c r="H1403">
        <v>0</v>
      </c>
      <c r="I1403">
        <v>10</v>
      </c>
      <c r="J1403" s="17">
        <v>0.80769230769230771</v>
      </c>
      <c r="K1403">
        <v>37</v>
      </c>
      <c r="L1403">
        <v>36</v>
      </c>
      <c r="M1403" s="17">
        <v>0.97297297297297303</v>
      </c>
      <c r="N1403" s="25">
        <v>10122.5</v>
      </c>
      <c r="O1403" s="25">
        <v>1785</v>
      </c>
      <c r="P1403" s="25">
        <v>5735</v>
      </c>
      <c r="Q1403" s="25">
        <v>17642.5</v>
      </c>
      <c r="R1403" s="18">
        <v>84.011904761904759</v>
      </c>
    </row>
    <row r="1404" spans="1:18" x14ac:dyDescent="0.35">
      <c r="A1404" s="13">
        <v>45836</v>
      </c>
      <c r="B1404">
        <v>2025</v>
      </c>
      <c r="C1404">
        <v>6</v>
      </c>
      <c r="D1404" t="s">
        <v>85</v>
      </c>
      <c r="E1404" t="s">
        <v>84</v>
      </c>
      <c r="F1404">
        <v>216</v>
      </c>
      <c r="G1404">
        <v>216</v>
      </c>
      <c r="H1404">
        <v>0</v>
      </c>
      <c r="I1404">
        <v>12</v>
      </c>
      <c r="J1404" s="17">
        <v>0.69230769230769229</v>
      </c>
      <c r="K1404">
        <v>37</v>
      </c>
      <c r="L1404">
        <v>36</v>
      </c>
      <c r="M1404" s="17">
        <v>0.97297297297297303</v>
      </c>
      <c r="N1404" s="25">
        <v>12147</v>
      </c>
      <c r="O1404" s="25">
        <v>1836</v>
      </c>
      <c r="P1404" s="25">
        <v>5735</v>
      </c>
      <c r="Q1404" s="25">
        <v>19718</v>
      </c>
      <c r="R1404" s="18">
        <v>91.287037037037038</v>
      </c>
    </row>
    <row r="1405" spans="1:18" x14ac:dyDescent="0.35">
      <c r="A1405" s="13">
        <v>45843</v>
      </c>
      <c r="B1405">
        <v>2025</v>
      </c>
      <c r="C1405">
        <v>7</v>
      </c>
      <c r="D1405" t="s">
        <v>85</v>
      </c>
      <c r="E1405" t="s">
        <v>84</v>
      </c>
      <c r="F1405">
        <v>213</v>
      </c>
      <c r="G1405">
        <v>213</v>
      </c>
      <c r="H1405">
        <v>0</v>
      </c>
      <c r="I1405">
        <v>12</v>
      </c>
      <c r="J1405" s="17">
        <v>0.68269230769230771</v>
      </c>
      <c r="K1405">
        <v>37</v>
      </c>
      <c r="L1405">
        <v>36</v>
      </c>
      <c r="M1405" s="17">
        <v>0.97297297297297303</v>
      </c>
      <c r="N1405" s="25">
        <v>12147</v>
      </c>
      <c r="O1405" s="25">
        <v>1810.5</v>
      </c>
      <c r="P1405" s="25">
        <v>5735</v>
      </c>
      <c r="Q1405" s="25">
        <v>19692.5</v>
      </c>
      <c r="R1405" s="18">
        <v>92.453051643192495</v>
      </c>
    </row>
    <row r="1406" spans="1:18" x14ac:dyDescent="0.35">
      <c r="A1406" s="13">
        <v>45850</v>
      </c>
      <c r="B1406">
        <v>2025</v>
      </c>
      <c r="C1406">
        <v>7</v>
      </c>
      <c r="D1406" t="s">
        <v>85</v>
      </c>
      <c r="E1406" t="s">
        <v>84</v>
      </c>
      <c r="F1406">
        <v>207</v>
      </c>
      <c r="G1406">
        <v>207</v>
      </c>
      <c r="H1406">
        <v>0</v>
      </c>
      <c r="I1406">
        <v>11</v>
      </c>
      <c r="J1406" s="17">
        <v>0.72377622377622375</v>
      </c>
      <c r="K1406">
        <v>37</v>
      </c>
      <c r="L1406">
        <v>35</v>
      </c>
      <c r="M1406" s="17">
        <v>0.94594594594594594</v>
      </c>
      <c r="N1406" s="25">
        <v>11134.75</v>
      </c>
      <c r="O1406" s="25">
        <v>1759.5</v>
      </c>
      <c r="P1406" s="25">
        <v>5735</v>
      </c>
      <c r="Q1406" s="25">
        <v>18629.25</v>
      </c>
      <c r="R1406" s="18">
        <v>89.996376811594203</v>
      </c>
    </row>
    <row r="1407" spans="1:18" x14ac:dyDescent="0.35">
      <c r="A1407" s="13">
        <v>45857</v>
      </c>
      <c r="B1407">
        <v>2025</v>
      </c>
      <c r="C1407">
        <v>7</v>
      </c>
      <c r="D1407" t="s">
        <v>85</v>
      </c>
      <c r="E1407" t="s">
        <v>84</v>
      </c>
      <c r="F1407">
        <v>216</v>
      </c>
      <c r="G1407">
        <v>216</v>
      </c>
      <c r="H1407">
        <v>0</v>
      </c>
      <c r="I1407">
        <v>12</v>
      </c>
      <c r="J1407" s="17">
        <v>0.69230769230769229</v>
      </c>
      <c r="K1407">
        <v>37</v>
      </c>
      <c r="L1407">
        <v>35</v>
      </c>
      <c r="M1407" s="17">
        <v>0.94594594594594594</v>
      </c>
      <c r="N1407" s="25">
        <v>12147</v>
      </c>
      <c r="O1407" s="25">
        <v>1836</v>
      </c>
      <c r="P1407" s="25">
        <v>5735</v>
      </c>
      <c r="Q1407" s="25">
        <v>19718</v>
      </c>
      <c r="R1407" s="18">
        <v>91.287037037037038</v>
      </c>
    </row>
    <row r="1408" spans="1:18" x14ac:dyDescent="0.35">
      <c r="A1408" s="13">
        <v>45864</v>
      </c>
      <c r="B1408">
        <v>2025</v>
      </c>
      <c r="C1408">
        <v>7</v>
      </c>
      <c r="D1408" t="s">
        <v>85</v>
      </c>
      <c r="E1408" t="s">
        <v>84</v>
      </c>
      <c r="F1408">
        <v>210</v>
      </c>
      <c r="G1408">
        <v>210</v>
      </c>
      <c r="H1408">
        <v>0</v>
      </c>
      <c r="I1408">
        <v>11</v>
      </c>
      <c r="J1408" s="17">
        <v>0.73426573426573427</v>
      </c>
      <c r="K1408">
        <v>37</v>
      </c>
      <c r="L1408">
        <v>35</v>
      </c>
      <c r="M1408" s="17">
        <v>0.94594594594594594</v>
      </c>
      <c r="N1408" s="25">
        <v>11134.75</v>
      </c>
      <c r="O1408" s="25">
        <v>1785</v>
      </c>
      <c r="P1408" s="25">
        <v>5735</v>
      </c>
      <c r="Q1408" s="25">
        <v>18654.75</v>
      </c>
      <c r="R1408" s="18">
        <v>88.832142857142856</v>
      </c>
    </row>
    <row r="1409" spans="1:18" x14ac:dyDescent="0.35">
      <c r="A1409" s="13">
        <v>45871</v>
      </c>
      <c r="B1409">
        <v>2025</v>
      </c>
      <c r="C1409">
        <v>8</v>
      </c>
      <c r="D1409" t="s">
        <v>85</v>
      </c>
      <c r="E1409" t="s">
        <v>84</v>
      </c>
      <c r="F1409">
        <v>218</v>
      </c>
      <c r="G1409">
        <v>218</v>
      </c>
      <c r="H1409">
        <v>0</v>
      </c>
      <c r="I1409">
        <v>12</v>
      </c>
      <c r="J1409" s="17">
        <v>0.69871794871794868</v>
      </c>
      <c r="K1409">
        <v>37</v>
      </c>
      <c r="L1409">
        <v>37</v>
      </c>
      <c r="M1409" s="17">
        <v>1</v>
      </c>
      <c r="N1409" s="25">
        <v>12147</v>
      </c>
      <c r="O1409" s="25">
        <v>1853</v>
      </c>
      <c r="P1409" s="25">
        <v>5735</v>
      </c>
      <c r="Q1409" s="25">
        <v>19735</v>
      </c>
      <c r="R1409" s="18">
        <v>90.527522935779814</v>
      </c>
    </row>
    <row r="1410" spans="1:18" x14ac:dyDescent="0.35">
      <c r="A1410" s="13">
        <v>45878</v>
      </c>
      <c r="B1410">
        <v>2025</v>
      </c>
      <c r="C1410">
        <v>8</v>
      </c>
      <c r="D1410" t="s">
        <v>85</v>
      </c>
      <c r="E1410" t="s">
        <v>84</v>
      </c>
      <c r="F1410">
        <v>234</v>
      </c>
      <c r="G1410">
        <v>234</v>
      </c>
      <c r="H1410">
        <v>0</v>
      </c>
      <c r="I1410">
        <v>12</v>
      </c>
      <c r="J1410" s="17">
        <v>0.75</v>
      </c>
      <c r="K1410">
        <v>37</v>
      </c>
      <c r="L1410">
        <v>34</v>
      </c>
      <c r="M1410" s="17">
        <v>0.91891891891891897</v>
      </c>
      <c r="N1410" s="25">
        <v>12147</v>
      </c>
      <c r="O1410" s="25">
        <v>1989</v>
      </c>
      <c r="P1410" s="25">
        <v>5735</v>
      </c>
      <c r="Q1410" s="25">
        <v>19871</v>
      </c>
      <c r="R1410" s="18">
        <v>84.918803418803421</v>
      </c>
    </row>
    <row r="1411" spans="1:18" x14ac:dyDescent="0.35">
      <c r="A1411" s="13">
        <v>45885</v>
      </c>
      <c r="B1411">
        <v>2025</v>
      </c>
      <c r="C1411">
        <v>8</v>
      </c>
      <c r="D1411" t="s">
        <v>85</v>
      </c>
      <c r="E1411" t="s">
        <v>84</v>
      </c>
      <c r="F1411">
        <v>226</v>
      </c>
      <c r="G1411">
        <v>226</v>
      </c>
      <c r="H1411">
        <v>0</v>
      </c>
      <c r="I1411">
        <v>11</v>
      </c>
      <c r="J1411" s="17">
        <v>0.79020979020979021</v>
      </c>
      <c r="K1411">
        <v>37</v>
      </c>
      <c r="L1411">
        <v>32</v>
      </c>
      <c r="M1411" s="17">
        <v>0.86486486486486491</v>
      </c>
      <c r="N1411" s="25">
        <v>11134.75</v>
      </c>
      <c r="O1411" s="25">
        <v>1921</v>
      </c>
      <c r="P1411" s="25">
        <v>5735</v>
      </c>
      <c r="Q1411" s="25">
        <v>18790.75</v>
      </c>
      <c r="R1411" s="18">
        <v>83.144911504424783</v>
      </c>
    </row>
    <row r="1412" spans="1:18" x14ac:dyDescent="0.35">
      <c r="A1412" s="13">
        <v>45892</v>
      </c>
      <c r="B1412">
        <v>2025</v>
      </c>
      <c r="C1412">
        <v>8</v>
      </c>
      <c r="D1412" t="s">
        <v>85</v>
      </c>
      <c r="E1412" t="s">
        <v>84</v>
      </c>
      <c r="F1412">
        <v>219</v>
      </c>
      <c r="G1412">
        <v>219</v>
      </c>
      <c r="H1412">
        <v>0</v>
      </c>
      <c r="I1412">
        <v>11</v>
      </c>
      <c r="J1412" s="17">
        <v>0.76573426573426573</v>
      </c>
      <c r="K1412">
        <v>37</v>
      </c>
      <c r="L1412">
        <v>34</v>
      </c>
      <c r="M1412" s="17">
        <v>0.91891891891891897</v>
      </c>
      <c r="N1412" s="25">
        <v>11134.75</v>
      </c>
      <c r="O1412" s="25">
        <v>1861.5</v>
      </c>
      <c r="P1412" s="25">
        <v>5735</v>
      </c>
      <c r="Q1412" s="25">
        <v>18731.25</v>
      </c>
      <c r="R1412" s="18">
        <v>85.530821917808225</v>
      </c>
    </row>
    <row r="1413" spans="1:18" x14ac:dyDescent="0.35">
      <c r="A1413" s="13">
        <v>45899</v>
      </c>
      <c r="B1413">
        <v>2025</v>
      </c>
      <c r="C1413">
        <v>8</v>
      </c>
      <c r="D1413" t="s">
        <v>85</v>
      </c>
      <c r="E1413" t="s">
        <v>84</v>
      </c>
      <c r="F1413">
        <v>213</v>
      </c>
      <c r="G1413">
        <v>213</v>
      </c>
      <c r="H1413">
        <v>0</v>
      </c>
      <c r="I1413">
        <v>11</v>
      </c>
      <c r="J1413" s="17">
        <v>0.74475524475524479</v>
      </c>
      <c r="K1413">
        <v>37</v>
      </c>
      <c r="L1413">
        <v>35</v>
      </c>
      <c r="M1413" s="17">
        <v>0.94594594594594594</v>
      </c>
      <c r="N1413" s="25">
        <v>11134.75</v>
      </c>
      <c r="O1413" s="25">
        <v>1810.5</v>
      </c>
      <c r="P1413" s="25">
        <v>5735</v>
      </c>
      <c r="Q1413" s="25">
        <v>18680.25</v>
      </c>
      <c r="R1413" s="18">
        <v>87.700704225352112</v>
      </c>
    </row>
    <row r="1414" spans="1:18" x14ac:dyDescent="0.35">
      <c r="A1414" s="13">
        <v>45906</v>
      </c>
      <c r="B1414">
        <v>2025</v>
      </c>
      <c r="C1414">
        <v>9</v>
      </c>
      <c r="D1414" t="s">
        <v>85</v>
      </c>
      <c r="E1414" t="s">
        <v>84</v>
      </c>
      <c r="F1414">
        <v>203</v>
      </c>
      <c r="G1414">
        <v>203</v>
      </c>
      <c r="H1414">
        <v>0</v>
      </c>
      <c r="I1414">
        <v>11</v>
      </c>
      <c r="J1414" s="17">
        <v>0.70979020979020979</v>
      </c>
      <c r="K1414">
        <v>37</v>
      </c>
      <c r="L1414">
        <v>36</v>
      </c>
      <c r="M1414" s="17">
        <v>0.97297297297297303</v>
      </c>
      <c r="N1414" s="25">
        <v>11134.75</v>
      </c>
      <c r="O1414" s="25">
        <v>1725.5</v>
      </c>
      <c r="P1414" s="25">
        <v>5735</v>
      </c>
      <c r="Q1414" s="25">
        <v>18595.25</v>
      </c>
      <c r="R1414" s="18">
        <v>91.60221674876847</v>
      </c>
    </row>
    <row r="1415" spans="1:18" x14ac:dyDescent="0.35">
      <c r="A1415" s="13">
        <v>45913</v>
      </c>
      <c r="B1415">
        <v>2025</v>
      </c>
      <c r="C1415">
        <v>9</v>
      </c>
      <c r="D1415" t="s">
        <v>85</v>
      </c>
      <c r="E1415" t="s">
        <v>84</v>
      </c>
      <c r="F1415">
        <v>203</v>
      </c>
      <c r="G1415">
        <v>203</v>
      </c>
      <c r="H1415">
        <v>0</v>
      </c>
      <c r="I1415">
        <v>12</v>
      </c>
      <c r="J1415" s="17">
        <v>0.65064102564102566</v>
      </c>
      <c r="K1415">
        <v>37</v>
      </c>
      <c r="L1415">
        <v>35</v>
      </c>
      <c r="M1415" s="17">
        <v>0.94594594594594594</v>
      </c>
      <c r="N1415" s="25">
        <v>12147</v>
      </c>
      <c r="O1415" s="25">
        <v>1725.5</v>
      </c>
      <c r="P1415" s="25">
        <v>5735</v>
      </c>
      <c r="Q1415" s="25">
        <v>19607.5</v>
      </c>
      <c r="R1415" s="18">
        <v>96.588669950738918</v>
      </c>
    </row>
    <row r="1416" spans="1:18" x14ac:dyDescent="0.35">
      <c r="A1416" s="13">
        <v>45920</v>
      </c>
      <c r="B1416">
        <v>2025</v>
      </c>
      <c r="C1416">
        <v>9</v>
      </c>
      <c r="D1416" t="s">
        <v>85</v>
      </c>
      <c r="E1416" t="s">
        <v>84</v>
      </c>
      <c r="F1416">
        <v>201</v>
      </c>
      <c r="G1416">
        <v>201</v>
      </c>
      <c r="H1416">
        <v>0</v>
      </c>
      <c r="I1416">
        <v>10</v>
      </c>
      <c r="J1416" s="17">
        <v>0.77307692307692311</v>
      </c>
      <c r="K1416">
        <v>37</v>
      </c>
      <c r="L1416">
        <v>37</v>
      </c>
      <c r="M1416" s="17">
        <v>1</v>
      </c>
      <c r="N1416" s="25">
        <v>10122.5</v>
      </c>
      <c r="O1416" s="25">
        <v>1708.5</v>
      </c>
      <c r="P1416" s="25">
        <v>5735</v>
      </c>
      <c r="Q1416" s="25">
        <v>17566</v>
      </c>
      <c r="R1416" s="18">
        <v>87.393034825870643</v>
      </c>
    </row>
    <row r="1417" spans="1:18" x14ac:dyDescent="0.35">
      <c r="A1417" s="13">
        <v>45927</v>
      </c>
      <c r="B1417">
        <v>2025</v>
      </c>
      <c r="C1417">
        <v>9</v>
      </c>
      <c r="D1417" t="s">
        <v>85</v>
      </c>
      <c r="E1417" t="s">
        <v>84</v>
      </c>
      <c r="F1417">
        <v>208</v>
      </c>
      <c r="G1417">
        <v>208</v>
      </c>
      <c r="H1417">
        <v>0</v>
      </c>
      <c r="I1417">
        <v>10</v>
      </c>
      <c r="J1417" s="17">
        <v>0.8</v>
      </c>
      <c r="K1417">
        <v>37</v>
      </c>
      <c r="L1417">
        <v>35</v>
      </c>
      <c r="M1417" s="17">
        <v>0.94594594594594594</v>
      </c>
      <c r="N1417" s="25">
        <v>10122.5</v>
      </c>
      <c r="O1417" s="25">
        <v>1768</v>
      </c>
      <c r="P1417" s="25">
        <v>5735</v>
      </c>
      <c r="Q1417" s="25">
        <v>17625.5</v>
      </c>
      <c r="R1417" s="18">
        <v>84.737980769230774</v>
      </c>
    </row>
    <row r="1418" spans="1:18" x14ac:dyDescent="0.35">
      <c r="A1418" s="13">
        <v>45934</v>
      </c>
      <c r="B1418">
        <v>2025</v>
      </c>
      <c r="C1418">
        <v>10</v>
      </c>
      <c r="D1418" t="s">
        <v>85</v>
      </c>
      <c r="E1418" t="s">
        <v>84</v>
      </c>
      <c r="F1418">
        <v>208</v>
      </c>
      <c r="G1418">
        <v>208</v>
      </c>
      <c r="H1418">
        <v>0</v>
      </c>
      <c r="I1418">
        <v>11</v>
      </c>
      <c r="J1418" s="17">
        <v>0.72727272727272729</v>
      </c>
      <c r="K1418">
        <v>37</v>
      </c>
      <c r="L1418">
        <v>36</v>
      </c>
      <c r="M1418" s="17">
        <v>0.97297297297297303</v>
      </c>
      <c r="N1418" s="25">
        <v>11134.75</v>
      </c>
      <c r="O1418" s="25">
        <v>1768</v>
      </c>
      <c r="P1418" s="25">
        <v>5735</v>
      </c>
      <c r="Q1418" s="25">
        <v>18637.75</v>
      </c>
      <c r="R1418" s="18">
        <v>89.604567307692307</v>
      </c>
    </row>
    <row r="1419" spans="1:18" x14ac:dyDescent="0.35">
      <c r="A1419" s="13">
        <v>45941</v>
      </c>
      <c r="B1419">
        <v>2025</v>
      </c>
      <c r="C1419">
        <v>10</v>
      </c>
      <c r="D1419" t="s">
        <v>85</v>
      </c>
      <c r="E1419" t="s">
        <v>84</v>
      </c>
      <c r="F1419">
        <v>223</v>
      </c>
      <c r="G1419">
        <v>223</v>
      </c>
      <c r="H1419">
        <v>0</v>
      </c>
      <c r="I1419">
        <v>12</v>
      </c>
      <c r="J1419" s="17">
        <v>0.71474358974358976</v>
      </c>
      <c r="K1419">
        <v>37</v>
      </c>
      <c r="L1419">
        <v>33</v>
      </c>
      <c r="M1419" s="17">
        <v>0.89189189189189189</v>
      </c>
      <c r="N1419" s="25">
        <v>12147</v>
      </c>
      <c r="O1419" s="25">
        <v>1895.5</v>
      </c>
      <c r="P1419" s="25">
        <v>5735</v>
      </c>
      <c r="Q1419" s="25">
        <v>19777.5</v>
      </c>
      <c r="R1419" s="18">
        <v>88.688340807174882</v>
      </c>
    </row>
    <row r="1420" spans="1:18" x14ac:dyDescent="0.35">
      <c r="A1420" s="13">
        <v>45948</v>
      </c>
      <c r="B1420">
        <v>2025</v>
      </c>
      <c r="C1420">
        <v>10</v>
      </c>
      <c r="D1420" t="s">
        <v>85</v>
      </c>
      <c r="E1420" t="s">
        <v>84</v>
      </c>
      <c r="F1420">
        <v>219</v>
      </c>
      <c r="G1420">
        <v>219</v>
      </c>
      <c r="H1420">
        <v>0</v>
      </c>
      <c r="I1420">
        <v>10</v>
      </c>
      <c r="J1420" s="17">
        <v>0.84230769230769231</v>
      </c>
      <c r="K1420">
        <v>37</v>
      </c>
      <c r="L1420">
        <v>37</v>
      </c>
      <c r="M1420" s="17">
        <v>1</v>
      </c>
      <c r="N1420" s="25">
        <v>10122.5</v>
      </c>
      <c r="O1420" s="25">
        <v>1861.5</v>
      </c>
      <c r="P1420" s="25">
        <v>5735</v>
      </c>
      <c r="Q1420" s="25">
        <v>17719</v>
      </c>
      <c r="R1420" s="18">
        <v>80.908675799086751</v>
      </c>
    </row>
    <row r="1421" spans="1:18" x14ac:dyDescent="0.35">
      <c r="A1421" s="13">
        <v>45955</v>
      </c>
      <c r="B1421">
        <v>2025</v>
      </c>
      <c r="C1421">
        <v>10</v>
      </c>
      <c r="D1421" t="s">
        <v>85</v>
      </c>
      <c r="E1421" t="s">
        <v>84</v>
      </c>
      <c r="F1421">
        <v>229</v>
      </c>
      <c r="G1421">
        <v>229</v>
      </c>
      <c r="H1421">
        <v>0</v>
      </c>
      <c r="I1421">
        <v>12</v>
      </c>
      <c r="J1421" s="17">
        <v>0.73397435897435892</v>
      </c>
      <c r="K1421">
        <v>37</v>
      </c>
      <c r="L1421">
        <v>36</v>
      </c>
      <c r="M1421" s="17">
        <v>0.97297297297297303</v>
      </c>
      <c r="N1421" s="25">
        <v>12147</v>
      </c>
      <c r="O1421" s="25">
        <v>1946.5</v>
      </c>
      <c r="P1421" s="25">
        <v>5735</v>
      </c>
      <c r="Q1421" s="25">
        <v>19828.5</v>
      </c>
      <c r="R1421" s="18">
        <v>86.58733624454149</v>
      </c>
    </row>
    <row r="1422" spans="1:18" x14ac:dyDescent="0.35">
      <c r="A1422" s="13">
        <v>45962</v>
      </c>
      <c r="B1422">
        <v>2025</v>
      </c>
      <c r="C1422">
        <v>11</v>
      </c>
      <c r="D1422" t="s">
        <v>85</v>
      </c>
      <c r="E1422" t="s">
        <v>84</v>
      </c>
      <c r="F1422">
        <v>237</v>
      </c>
      <c r="G1422">
        <v>237</v>
      </c>
      <c r="H1422">
        <v>0</v>
      </c>
      <c r="I1422">
        <v>11</v>
      </c>
      <c r="J1422" s="17">
        <v>0.82867132867132864</v>
      </c>
      <c r="K1422">
        <v>37</v>
      </c>
      <c r="L1422">
        <v>37</v>
      </c>
      <c r="M1422" s="17">
        <v>1</v>
      </c>
      <c r="N1422" s="25">
        <v>11134.75</v>
      </c>
      <c r="O1422" s="25">
        <v>2014.5</v>
      </c>
      <c r="P1422" s="25">
        <v>5735</v>
      </c>
      <c r="Q1422" s="25">
        <v>18884.25</v>
      </c>
      <c r="R1422" s="18">
        <v>79.680379746835442</v>
      </c>
    </row>
    <row r="1423" spans="1:18" x14ac:dyDescent="0.35">
      <c r="A1423" s="13">
        <v>45969</v>
      </c>
      <c r="B1423">
        <v>2025</v>
      </c>
      <c r="C1423">
        <v>11</v>
      </c>
      <c r="D1423" t="s">
        <v>85</v>
      </c>
      <c r="E1423" t="s">
        <v>84</v>
      </c>
      <c r="F1423">
        <v>245</v>
      </c>
      <c r="G1423">
        <v>245</v>
      </c>
      <c r="H1423">
        <v>0</v>
      </c>
      <c r="I1423">
        <v>13</v>
      </c>
      <c r="J1423" s="17">
        <v>0.7248520710059172</v>
      </c>
      <c r="K1423">
        <v>37</v>
      </c>
      <c r="L1423">
        <v>36</v>
      </c>
      <c r="M1423" s="17">
        <v>0.97297297297297303</v>
      </c>
      <c r="N1423" s="25">
        <v>13159.25</v>
      </c>
      <c r="O1423" s="25">
        <v>2082.5</v>
      </c>
      <c r="P1423" s="25">
        <v>5735</v>
      </c>
      <c r="Q1423" s="25">
        <v>20976.75</v>
      </c>
      <c r="R1423" s="18">
        <v>85.619387755102039</v>
      </c>
    </row>
    <row r="1424" spans="1:18" x14ac:dyDescent="0.35">
      <c r="A1424" s="13">
        <v>45976</v>
      </c>
      <c r="B1424">
        <v>2025</v>
      </c>
      <c r="C1424">
        <v>11</v>
      </c>
      <c r="D1424" t="s">
        <v>85</v>
      </c>
      <c r="E1424" t="s">
        <v>84</v>
      </c>
      <c r="F1424">
        <v>267</v>
      </c>
      <c r="G1424">
        <v>264</v>
      </c>
      <c r="H1424">
        <v>3</v>
      </c>
      <c r="I1424">
        <v>13</v>
      </c>
      <c r="J1424" s="17">
        <v>0.78106508875739644</v>
      </c>
      <c r="K1424">
        <v>37</v>
      </c>
      <c r="L1424">
        <v>32</v>
      </c>
      <c r="M1424" s="17">
        <v>0.86486486486486491</v>
      </c>
      <c r="N1424" s="25">
        <v>13159.25</v>
      </c>
      <c r="O1424" s="25">
        <v>2244</v>
      </c>
      <c r="P1424" s="25">
        <v>5735</v>
      </c>
      <c r="Q1424" s="25">
        <v>21138.25</v>
      </c>
      <c r="R1424" s="18">
        <v>80.069128787878782</v>
      </c>
    </row>
    <row r="1425" spans="1:18" x14ac:dyDescent="0.35">
      <c r="A1425" s="13">
        <v>45983</v>
      </c>
      <c r="B1425">
        <v>2025</v>
      </c>
      <c r="C1425">
        <v>11</v>
      </c>
      <c r="D1425" t="s">
        <v>85</v>
      </c>
      <c r="E1425" t="s">
        <v>84</v>
      </c>
      <c r="F1425">
        <v>288</v>
      </c>
      <c r="G1425">
        <v>278</v>
      </c>
      <c r="H1425">
        <v>13</v>
      </c>
      <c r="I1425">
        <v>15</v>
      </c>
      <c r="J1425" s="17">
        <v>0.71282051282051284</v>
      </c>
      <c r="K1425">
        <v>37</v>
      </c>
      <c r="L1425">
        <v>36</v>
      </c>
      <c r="M1425" s="17">
        <v>0.97297297297297303</v>
      </c>
      <c r="N1425" s="25">
        <v>15183.75</v>
      </c>
      <c r="O1425" s="25">
        <v>2363</v>
      </c>
      <c r="P1425" s="25">
        <v>5735</v>
      </c>
      <c r="Q1425" s="25">
        <v>23281.75</v>
      </c>
      <c r="R1425" s="18">
        <v>83.747302158273385</v>
      </c>
    </row>
    <row r="1426" spans="1:18" x14ac:dyDescent="0.35">
      <c r="A1426" s="13">
        <v>45990</v>
      </c>
      <c r="B1426">
        <v>2025</v>
      </c>
      <c r="C1426">
        <v>11</v>
      </c>
      <c r="D1426" t="s">
        <v>85</v>
      </c>
      <c r="E1426" t="s">
        <v>84</v>
      </c>
      <c r="F1426">
        <v>301</v>
      </c>
      <c r="G1426">
        <v>286</v>
      </c>
      <c r="H1426">
        <v>28</v>
      </c>
      <c r="I1426">
        <v>13</v>
      </c>
      <c r="J1426" s="17">
        <v>0.84615384615384615</v>
      </c>
      <c r="K1426">
        <v>37</v>
      </c>
      <c r="L1426">
        <v>35</v>
      </c>
      <c r="M1426" s="17">
        <v>0.94594594594594594</v>
      </c>
      <c r="N1426" s="25">
        <v>13159.25</v>
      </c>
      <c r="O1426" s="25">
        <v>2431</v>
      </c>
      <c r="P1426" s="25">
        <v>5735</v>
      </c>
      <c r="Q1426" s="25">
        <v>21325.25</v>
      </c>
      <c r="R1426" s="18">
        <v>74.563811188811187</v>
      </c>
    </row>
    <row r="1427" spans="1:18" x14ac:dyDescent="0.35">
      <c r="A1427" s="13">
        <v>45997</v>
      </c>
      <c r="B1427">
        <v>2025</v>
      </c>
      <c r="C1427">
        <v>12</v>
      </c>
      <c r="D1427" t="s">
        <v>85</v>
      </c>
      <c r="E1427" t="s">
        <v>84</v>
      </c>
      <c r="F1427">
        <v>309</v>
      </c>
      <c r="G1427">
        <v>291</v>
      </c>
      <c r="H1427">
        <v>46</v>
      </c>
      <c r="I1427">
        <v>16</v>
      </c>
      <c r="J1427" s="17">
        <v>0.69951923076923073</v>
      </c>
      <c r="K1427">
        <v>37</v>
      </c>
      <c r="L1427">
        <v>31</v>
      </c>
      <c r="M1427" s="17">
        <v>0.83783783783783783</v>
      </c>
      <c r="N1427" s="25">
        <v>16196</v>
      </c>
      <c r="O1427" s="25">
        <v>2473.5</v>
      </c>
      <c r="P1427" s="25">
        <v>5735</v>
      </c>
      <c r="Q1427" s="25">
        <v>24404.5</v>
      </c>
      <c r="R1427" s="18">
        <v>83.864261168384886</v>
      </c>
    </row>
    <row r="1428" spans="1:18" x14ac:dyDescent="0.35">
      <c r="A1428" s="13">
        <v>46004</v>
      </c>
      <c r="B1428">
        <v>2025</v>
      </c>
      <c r="C1428">
        <v>12</v>
      </c>
      <c r="D1428" t="s">
        <v>85</v>
      </c>
      <c r="E1428" t="s">
        <v>84</v>
      </c>
      <c r="F1428">
        <v>333</v>
      </c>
      <c r="G1428">
        <v>294</v>
      </c>
      <c r="H1428">
        <v>85</v>
      </c>
      <c r="I1428">
        <v>14</v>
      </c>
      <c r="J1428" s="17">
        <v>0.80769230769230771</v>
      </c>
      <c r="K1428">
        <v>37</v>
      </c>
      <c r="L1428">
        <v>32</v>
      </c>
      <c r="M1428" s="17">
        <v>0.86486486486486491</v>
      </c>
      <c r="N1428" s="25">
        <v>14171.5</v>
      </c>
      <c r="O1428" s="25">
        <v>2499</v>
      </c>
      <c r="P1428" s="25">
        <v>5735</v>
      </c>
      <c r="Q1428" s="25">
        <v>22405.5</v>
      </c>
      <c r="R1428" s="18">
        <v>76.209183673469383</v>
      </c>
    </row>
    <row r="1429" spans="1:18" x14ac:dyDescent="0.35">
      <c r="A1429" s="13">
        <v>46011</v>
      </c>
      <c r="B1429">
        <v>2025</v>
      </c>
      <c r="C1429">
        <v>12</v>
      </c>
      <c r="D1429" t="s">
        <v>85</v>
      </c>
      <c r="E1429" t="s">
        <v>84</v>
      </c>
      <c r="F1429">
        <v>301</v>
      </c>
      <c r="G1429">
        <v>292</v>
      </c>
      <c r="H1429">
        <v>94</v>
      </c>
      <c r="I1429">
        <v>16</v>
      </c>
      <c r="J1429" s="17">
        <v>0.70192307692307687</v>
      </c>
      <c r="K1429">
        <v>37</v>
      </c>
      <c r="L1429">
        <v>37</v>
      </c>
      <c r="M1429" s="17">
        <v>1</v>
      </c>
      <c r="N1429" s="25">
        <v>16196</v>
      </c>
      <c r="O1429" s="25">
        <v>2482</v>
      </c>
      <c r="P1429" s="25">
        <v>5735</v>
      </c>
      <c r="Q1429" s="25">
        <v>24413</v>
      </c>
      <c r="R1429" s="18">
        <v>83.606164383561648</v>
      </c>
    </row>
    <row r="1430" spans="1:18" x14ac:dyDescent="0.35">
      <c r="A1430" s="13">
        <v>46018</v>
      </c>
      <c r="B1430">
        <v>2025</v>
      </c>
      <c r="C1430">
        <v>12</v>
      </c>
      <c r="D1430" t="s">
        <v>85</v>
      </c>
      <c r="E1430" t="s">
        <v>84</v>
      </c>
      <c r="F1430">
        <v>264</v>
      </c>
      <c r="G1430">
        <v>286</v>
      </c>
      <c r="H1430">
        <v>72</v>
      </c>
      <c r="I1430">
        <v>14</v>
      </c>
      <c r="J1430" s="17">
        <v>0.7857142857142857</v>
      </c>
      <c r="K1430">
        <v>37</v>
      </c>
      <c r="L1430">
        <v>31</v>
      </c>
      <c r="M1430" s="17">
        <v>0.83783783783783783</v>
      </c>
      <c r="N1430" s="25">
        <v>14171.5</v>
      </c>
      <c r="O1430" s="25">
        <v>2431</v>
      </c>
      <c r="P1430" s="25">
        <v>5735</v>
      </c>
      <c r="Q1430" s="25">
        <v>22337.5</v>
      </c>
      <c r="R1430" s="18">
        <v>78.103146853146853</v>
      </c>
    </row>
    <row r="1431" spans="1:18" x14ac:dyDescent="0.35">
      <c r="A1431" s="13">
        <v>46025</v>
      </c>
      <c r="B1431">
        <v>2026</v>
      </c>
      <c r="C1431">
        <v>1</v>
      </c>
      <c r="D1431" t="s">
        <v>85</v>
      </c>
      <c r="E1431" t="s">
        <v>84</v>
      </c>
      <c r="F1431">
        <v>211</v>
      </c>
      <c r="G1431">
        <v>264</v>
      </c>
      <c r="H1431">
        <v>19</v>
      </c>
      <c r="I1431">
        <v>13</v>
      </c>
      <c r="J1431" s="17">
        <v>0.78106508875739644</v>
      </c>
      <c r="K1431">
        <v>37</v>
      </c>
      <c r="L1431">
        <v>36</v>
      </c>
      <c r="M1431" s="17">
        <v>0.97297297297297303</v>
      </c>
      <c r="N1431" s="25">
        <v>13159.25</v>
      </c>
      <c r="O1431" s="25">
        <v>2244</v>
      </c>
      <c r="P1431" s="25">
        <v>5735</v>
      </c>
      <c r="Q1431" s="25">
        <v>21138.25</v>
      </c>
      <c r="R1431" s="18">
        <v>80.069128787878782</v>
      </c>
    </row>
    <row r="1432" spans="1:18" x14ac:dyDescent="0.35">
      <c r="A1432" s="13">
        <v>46032</v>
      </c>
      <c r="B1432">
        <v>2026</v>
      </c>
      <c r="C1432">
        <v>1</v>
      </c>
      <c r="D1432" t="s">
        <v>85</v>
      </c>
      <c r="E1432" t="s">
        <v>84</v>
      </c>
      <c r="F1432">
        <v>178</v>
      </c>
      <c r="G1432">
        <v>197</v>
      </c>
      <c r="H1432">
        <v>0</v>
      </c>
      <c r="I1432">
        <v>9</v>
      </c>
      <c r="J1432" s="17">
        <v>0.84188034188034189</v>
      </c>
      <c r="K1432">
        <v>37</v>
      </c>
      <c r="L1432">
        <v>34</v>
      </c>
      <c r="M1432" s="17">
        <v>0.91891891891891897</v>
      </c>
      <c r="N1432" s="25">
        <v>9110.25</v>
      </c>
      <c r="O1432" s="25">
        <v>1674.5</v>
      </c>
      <c r="P1432" s="25">
        <v>5735</v>
      </c>
      <c r="Q1432" s="25">
        <v>16519.75</v>
      </c>
      <c r="R1432" s="18">
        <v>83.85659898477158</v>
      </c>
    </row>
    <row r="1433" spans="1:18" x14ac:dyDescent="0.35">
      <c r="A1433" s="13">
        <v>46039</v>
      </c>
      <c r="B1433">
        <v>2026</v>
      </c>
      <c r="C1433">
        <v>1</v>
      </c>
      <c r="D1433" t="s">
        <v>85</v>
      </c>
      <c r="E1433" t="s">
        <v>84</v>
      </c>
      <c r="F1433">
        <v>166</v>
      </c>
      <c r="G1433">
        <v>166</v>
      </c>
      <c r="H1433">
        <v>0</v>
      </c>
      <c r="I1433">
        <v>8</v>
      </c>
      <c r="J1433" s="17">
        <v>0.79807692307692313</v>
      </c>
      <c r="K1433">
        <v>37</v>
      </c>
      <c r="L1433">
        <v>37</v>
      </c>
      <c r="M1433" s="17">
        <v>1</v>
      </c>
      <c r="N1433" s="25">
        <v>8098</v>
      </c>
      <c r="O1433" s="25">
        <v>1411</v>
      </c>
      <c r="P1433" s="25">
        <v>5735</v>
      </c>
      <c r="Q1433" s="25">
        <v>15244</v>
      </c>
      <c r="R1433" s="18">
        <v>91.831325301204814</v>
      </c>
    </row>
    <row r="1434" spans="1:18" x14ac:dyDescent="0.35">
      <c r="A1434" s="13">
        <v>46046</v>
      </c>
      <c r="B1434">
        <v>2026</v>
      </c>
      <c r="C1434">
        <v>1</v>
      </c>
      <c r="D1434" t="s">
        <v>85</v>
      </c>
      <c r="E1434" t="s">
        <v>84</v>
      </c>
      <c r="F1434">
        <v>181</v>
      </c>
      <c r="G1434">
        <v>181</v>
      </c>
      <c r="H1434">
        <v>0</v>
      </c>
      <c r="I1434">
        <v>9</v>
      </c>
      <c r="J1434" s="17">
        <v>0.77350427350427353</v>
      </c>
      <c r="K1434">
        <v>37</v>
      </c>
      <c r="L1434">
        <v>35</v>
      </c>
      <c r="M1434" s="17">
        <v>0.94594594594594594</v>
      </c>
      <c r="N1434" s="25">
        <v>9110.25</v>
      </c>
      <c r="O1434" s="25">
        <v>1538.5</v>
      </c>
      <c r="P1434" s="25">
        <v>5735</v>
      </c>
      <c r="Q1434" s="25">
        <v>16383.75</v>
      </c>
      <c r="R1434" s="18">
        <v>90.517955801104975</v>
      </c>
    </row>
    <row r="1435" spans="1:18" x14ac:dyDescent="0.35">
      <c r="A1435" s="13">
        <v>46053</v>
      </c>
      <c r="B1435">
        <v>2026</v>
      </c>
      <c r="C1435">
        <v>1</v>
      </c>
      <c r="D1435" t="s">
        <v>85</v>
      </c>
      <c r="E1435" t="s">
        <v>84</v>
      </c>
      <c r="F1435">
        <v>193</v>
      </c>
      <c r="G1435">
        <v>193</v>
      </c>
      <c r="H1435">
        <v>0</v>
      </c>
      <c r="I1435">
        <v>9</v>
      </c>
      <c r="J1435" s="17">
        <v>0.82478632478632474</v>
      </c>
      <c r="K1435">
        <v>37</v>
      </c>
      <c r="L1435">
        <v>35</v>
      </c>
      <c r="M1435" s="17">
        <v>0.94594594594594594</v>
      </c>
      <c r="N1435" s="25">
        <v>9110.25</v>
      </c>
      <c r="O1435" s="25">
        <v>1640.5</v>
      </c>
      <c r="P1435" s="25">
        <v>5735</v>
      </c>
      <c r="Q1435" s="25">
        <v>16485.75</v>
      </c>
      <c r="R1435" s="18">
        <v>85.418393782383419</v>
      </c>
    </row>
    <row r="1436" spans="1:18" x14ac:dyDescent="0.35">
      <c r="A1436" s="13">
        <v>46060</v>
      </c>
      <c r="B1436">
        <v>2026</v>
      </c>
      <c r="C1436">
        <v>2</v>
      </c>
      <c r="D1436" t="s">
        <v>85</v>
      </c>
      <c r="E1436" t="s">
        <v>84</v>
      </c>
      <c r="F1436">
        <v>195</v>
      </c>
      <c r="G1436">
        <v>195</v>
      </c>
      <c r="H1436">
        <v>0</v>
      </c>
      <c r="I1436">
        <v>9</v>
      </c>
      <c r="J1436" s="17">
        <v>0.83333333333333337</v>
      </c>
      <c r="K1436">
        <v>37</v>
      </c>
      <c r="L1436">
        <v>36</v>
      </c>
      <c r="M1436" s="17">
        <v>0.97297297297297303</v>
      </c>
      <c r="N1436" s="25">
        <v>9110.25</v>
      </c>
      <c r="O1436" s="25">
        <v>1657.5</v>
      </c>
      <c r="P1436" s="25">
        <v>5735</v>
      </c>
      <c r="Q1436" s="25">
        <v>16502.75</v>
      </c>
      <c r="R1436" s="18">
        <v>84.629487179487185</v>
      </c>
    </row>
    <row r="1437" spans="1:18" x14ac:dyDescent="0.35">
      <c r="A1437" s="13">
        <v>46067</v>
      </c>
      <c r="B1437">
        <v>2026</v>
      </c>
      <c r="C1437">
        <v>2</v>
      </c>
      <c r="D1437" t="s">
        <v>85</v>
      </c>
      <c r="E1437" t="s">
        <v>84</v>
      </c>
      <c r="F1437">
        <v>206</v>
      </c>
      <c r="G1437">
        <v>206</v>
      </c>
      <c r="H1437">
        <v>0</v>
      </c>
      <c r="I1437">
        <v>10</v>
      </c>
      <c r="J1437" s="17">
        <v>0.79230769230769227</v>
      </c>
      <c r="K1437">
        <v>37</v>
      </c>
      <c r="L1437">
        <v>34</v>
      </c>
      <c r="M1437" s="17">
        <v>0.91891891891891897</v>
      </c>
      <c r="N1437" s="25">
        <v>10122.5</v>
      </c>
      <c r="O1437" s="25">
        <v>1751</v>
      </c>
      <c r="P1437" s="25">
        <v>5735</v>
      </c>
      <c r="Q1437" s="25">
        <v>17608.5</v>
      </c>
      <c r="R1437" s="18">
        <v>85.478155339805824</v>
      </c>
    </row>
    <row r="1438" spans="1:18" x14ac:dyDescent="0.35">
      <c r="A1438" s="13">
        <v>46074</v>
      </c>
      <c r="B1438">
        <v>2026</v>
      </c>
      <c r="C1438">
        <v>2</v>
      </c>
      <c r="D1438" t="s">
        <v>85</v>
      </c>
      <c r="E1438" t="s">
        <v>84</v>
      </c>
      <c r="F1438">
        <v>205</v>
      </c>
      <c r="G1438">
        <v>205</v>
      </c>
      <c r="H1438">
        <v>0</v>
      </c>
      <c r="I1438">
        <v>11</v>
      </c>
      <c r="J1438" s="17">
        <v>0.71678321678321677</v>
      </c>
      <c r="K1438">
        <v>37</v>
      </c>
      <c r="L1438">
        <v>37</v>
      </c>
      <c r="M1438" s="17">
        <v>1</v>
      </c>
      <c r="N1438" s="25">
        <v>11134.75</v>
      </c>
      <c r="O1438" s="25">
        <v>1742.5</v>
      </c>
      <c r="P1438" s="25">
        <v>5735</v>
      </c>
      <c r="Q1438" s="25">
        <v>18612.25</v>
      </c>
      <c r="R1438" s="18">
        <v>90.791463414634151</v>
      </c>
    </row>
    <row r="1439" spans="1:18" x14ac:dyDescent="0.35">
      <c r="A1439" s="13">
        <v>46081</v>
      </c>
      <c r="B1439">
        <v>2026</v>
      </c>
      <c r="C1439">
        <v>2</v>
      </c>
      <c r="D1439" t="s">
        <v>85</v>
      </c>
      <c r="E1439" t="s">
        <v>84</v>
      </c>
      <c r="F1439">
        <v>207</v>
      </c>
      <c r="G1439">
        <v>207</v>
      </c>
      <c r="H1439">
        <v>0</v>
      </c>
      <c r="I1439">
        <v>10</v>
      </c>
      <c r="J1439" s="17">
        <v>0.7961538461538461</v>
      </c>
      <c r="K1439">
        <v>37</v>
      </c>
      <c r="L1439">
        <v>36</v>
      </c>
      <c r="M1439" s="17">
        <v>0.97297297297297303</v>
      </c>
      <c r="N1439" s="25">
        <v>10122.5</v>
      </c>
      <c r="O1439" s="25">
        <v>1759.5</v>
      </c>
      <c r="P1439" s="25">
        <v>5735</v>
      </c>
      <c r="Q1439" s="25">
        <v>17617</v>
      </c>
      <c r="R1439" s="18">
        <v>85.106280193236714</v>
      </c>
    </row>
    <row r="1440" spans="1:18" x14ac:dyDescent="0.35">
      <c r="A1440" s="13">
        <v>46088</v>
      </c>
      <c r="B1440">
        <v>2026</v>
      </c>
      <c r="C1440">
        <v>3</v>
      </c>
      <c r="D1440" t="s">
        <v>85</v>
      </c>
      <c r="E1440" t="s">
        <v>84</v>
      </c>
      <c r="F1440">
        <v>221</v>
      </c>
      <c r="G1440">
        <v>221</v>
      </c>
      <c r="H1440">
        <v>0</v>
      </c>
      <c r="I1440">
        <v>10</v>
      </c>
      <c r="J1440" s="17">
        <v>0.85</v>
      </c>
      <c r="K1440">
        <v>37</v>
      </c>
      <c r="L1440">
        <v>36</v>
      </c>
      <c r="M1440" s="17">
        <v>0.97297297297297303</v>
      </c>
      <c r="N1440" s="25">
        <v>10122.5</v>
      </c>
      <c r="O1440" s="25">
        <v>1878.5</v>
      </c>
      <c r="P1440" s="25">
        <v>5735</v>
      </c>
      <c r="Q1440" s="25">
        <v>17736</v>
      </c>
      <c r="R1440" s="18">
        <v>80.25339366515837</v>
      </c>
    </row>
    <row r="1441" spans="1:18" x14ac:dyDescent="0.35">
      <c r="A1441" s="13">
        <v>46095</v>
      </c>
      <c r="B1441">
        <v>2026</v>
      </c>
      <c r="C1441">
        <v>3</v>
      </c>
      <c r="D1441" t="s">
        <v>85</v>
      </c>
      <c r="E1441" t="s">
        <v>84</v>
      </c>
      <c r="F1441">
        <v>220</v>
      </c>
      <c r="G1441">
        <v>220</v>
      </c>
      <c r="H1441">
        <v>0</v>
      </c>
      <c r="I1441">
        <v>12</v>
      </c>
      <c r="J1441" s="17">
        <v>0.70512820512820518</v>
      </c>
      <c r="K1441">
        <v>37</v>
      </c>
      <c r="L1441">
        <v>36</v>
      </c>
      <c r="M1441" s="17">
        <v>0.97297297297297303</v>
      </c>
      <c r="N1441" s="25">
        <v>12147</v>
      </c>
      <c r="O1441" s="25">
        <v>1870</v>
      </c>
      <c r="P1441" s="25">
        <v>5735</v>
      </c>
      <c r="Q1441" s="25">
        <v>19752</v>
      </c>
      <c r="R1441" s="18">
        <v>89.781818181818181</v>
      </c>
    </row>
    <row r="1442" spans="1:18" x14ac:dyDescent="0.35">
      <c r="A1442" s="13">
        <v>46102</v>
      </c>
      <c r="B1442">
        <v>2026</v>
      </c>
      <c r="C1442">
        <v>3</v>
      </c>
      <c r="D1442" t="s">
        <v>85</v>
      </c>
      <c r="E1442" t="s">
        <v>84</v>
      </c>
      <c r="F1442">
        <v>216</v>
      </c>
      <c r="G1442">
        <v>216</v>
      </c>
      <c r="H1442">
        <v>0</v>
      </c>
      <c r="I1442">
        <v>12</v>
      </c>
      <c r="J1442" s="17">
        <v>0.69230769230769229</v>
      </c>
      <c r="K1442">
        <v>37</v>
      </c>
      <c r="L1442">
        <v>34</v>
      </c>
      <c r="M1442" s="17">
        <v>0.91891891891891897</v>
      </c>
      <c r="N1442" s="25">
        <v>12147</v>
      </c>
      <c r="O1442" s="25">
        <v>1836</v>
      </c>
      <c r="P1442" s="25">
        <v>5735</v>
      </c>
      <c r="Q1442" s="25">
        <v>19718</v>
      </c>
      <c r="R1442" s="18">
        <v>91.287037037037038</v>
      </c>
    </row>
    <row r="1443" spans="1:18" x14ac:dyDescent="0.35">
      <c r="A1443" s="13">
        <v>46109</v>
      </c>
      <c r="B1443">
        <v>2026</v>
      </c>
      <c r="C1443">
        <v>3</v>
      </c>
      <c r="D1443" t="s">
        <v>85</v>
      </c>
      <c r="E1443" t="s">
        <v>84</v>
      </c>
      <c r="F1443">
        <v>214</v>
      </c>
      <c r="G1443">
        <v>214</v>
      </c>
      <c r="H1443">
        <v>0</v>
      </c>
      <c r="I1443">
        <v>10</v>
      </c>
      <c r="J1443" s="17">
        <v>0.82307692307692304</v>
      </c>
      <c r="K1443">
        <v>37</v>
      </c>
      <c r="L1443">
        <v>33</v>
      </c>
      <c r="M1443" s="17">
        <v>0.89189189189189189</v>
      </c>
      <c r="N1443" s="25">
        <v>10122.5</v>
      </c>
      <c r="O1443" s="25">
        <v>1819</v>
      </c>
      <c r="P1443" s="25">
        <v>5735</v>
      </c>
      <c r="Q1443" s="25">
        <v>17676.5</v>
      </c>
      <c r="R1443" s="18">
        <v>82.600467289719631</v>
      </c>
    </row>
    <row r="1444" spans="1:18" x14ac:dyDescent="0.35">
      <c r="A1444" s="13">
        <v>46116</v>
      </c>
      <c r="B1444">
        <v>2026</v>
      </c>
      <c r="C1444">
        <v>4</v>
      </c>
      <c r="D1444" t="s">
        <v>85</v>
      </c>
      <c r="E1444" t="s">
        <v>84</v>
      </c>
      <c r="F1444">
        <v>221</v>
      </c>
      <c r="G1444">
        <v>221</v>
      </c>
      <c r="H1444">
        <v>0</v>
      </c>
      <c r="I1444">
        <v>11</v>
      </c>
      <c r="J1444" s="17">
        <v>0.77272727272727271</v>
      </c>
      <c r="K1444">
        <v>37</v>
      </c>
      <c r="L1444">
        <v>34</v>
      </c>
      <c r="M1444" s="17">
        <v>0.91891891891891897</v>
      </c>
      <c r="N1444" s="25">
        <v>11134.75</v>
      </c>
      <c r="O1444" s="25">
        <v>1878.5</v>
      </c>
      <c r="P1444" s="25">
        <v>5735</v>
      </c>
      <c r="Q1444" s="25">
        <v>18748.25</v>
      </c>
      <c r="R1444" s="18">
        <v>84.83371040723982</v>
      </c>
    </row>
    <row r="1445" spans="1:18" x14ac:dyDescent="0.35">
      <c r="A1445" s="13">
        <v>46123</v>
      </c>
      <c r="B1445">
        <v>2026</v>
      </c>
      <c r="C1445">
        <v>4</v>
      </c>
      <c r="D1445" t="s">
        <v>85</v>
      </c>
      <c r="E1445" t="s">
        <v>84</v>
      </c>
      <c r="F1445">
        <v>211</v>
      </c>
      <c r="G1445">
        <v>211</v>
      </c>
      <c r="H1445">
        <v>0</v>
      </c>
      <c r="I1445">
        <v>11</v>
      </c>
      <c r="J1445" s="17">
        <v>0.73776223776223782</v>
      </c>
      <c r="K1445">
        <v>37</v>
      </c>
      <c r="L1445">
        <v>34</v>
      </c>
      <c r="M1445" s="17">
        <v>0.91891891891891897</v>
      </c>
      <c r="N1445" s="25">
        <v>11134.75</v>
      </c>
      <c r="O1445" s="25">
        <v>1793.5</v>
      </c>
      <c r="P1445" s="25">
        <v>5735</v>
      </c>
      <c r="Q1445" s="25">
        <v>18663.25</v>
      </c>
      <c r="R1445" s="18">
        <v>88.45142180094787</v>
      </c>
    </row>
    <row r="1446" spans="1:18" x14ac:dyDescent="0.35">
      <c r="A1446" s="13">
        <v>46130</v>
      </c>
      <c r="B1446">
        <v>2026</v>
      </c>
      <c r="C1446">
        <v>4</v>
      </c>
      <c r="D1446" t="s">
        <v>85</v>
      </c>
      <c r="E1446" t="s">
        <v>84</v>
      </c>
      <c r="F1446">
        <v>226</v>
      </c>
      <c r="G1446">
        <v>226</v>
      </c>
      <c r="H1446">
        <v>0</v>
      </c>
      <c r="I1446">
        <v>12</v>
      </c>
      <c r="J1446" s="17">
        <v>0.72435897435897434</v>
      </c>
      <c r="K1446">
        <v>37</v>
      </c>
      <c r="L1446">
        <v>36</v>
      </c>
      <c r="M1446" s="17">
        <v>0.97297297297297303</v>
      </c>
      <c r="N1446" s="25">
        <v>12147</v>
      </c>
      <c r="O1446" s="25">
        <v>1921</v>
      </c>
      <c r="P1446" s="25">
        <v>5735</v>
      </c>
      <c r="Q1446" s="25">
        <v>19803</v>
      </c>
      <c r="R1446" s="18">
        <v>87.623893805309734</v>
      </c>
    </row>
    <row r="1447" spans="1:18" x14ac:dyDescent="0.35">
      <c r="A1447" s="13">
        <v>46137</v>
      </c>
      <c r="B1447">
        <v>2026</v>
      </c>
      <c r="C1447">
        <v>4</v>
      </c>
      <c r="D1447" t="s">
        <v>85</v>
      </c>
      <c r="E1447" t="s">
        <v>84</v>
      </c>
      <c r="F1447">
        <v>238</v>
      </c>
      <c r="G1447">
        <v>238</v>
      </c>
      <c r="H1447">
        <v>0</v>
      </c>
      <c r="I1447">
        <v>12</v>
      </c>
      <c r="J1447" s="17">
        <v>0.76282051282051277</v>
      </c>
      <c r="K1447">
        <v>37</v>
      </c>
      <c r="L1447">
        <v>35</v>
      </c>
      <c r="M1447" s="17">
        <v>0.94594594594594594</v>
      </c>
      <c r="N1447" s="25">
        <v>12147</v>
      </c>
      <c r="O1447" s="25">
        <v>2023</v>
      </c>
      <c r="P1447" s="25">
        <v>5735</v>
      </c>
      <c r="Q1447" s="25">
        <v>19905</v>
      </c>
      <c r="R1447" s="18">
        <v>83.634453781512605</v>
      </c>
    </row>
    <row r="1448" spans="1:18" x14ac:dyDescent="0.35">
      <c r="A1448" s="13">
        <v>46144</v>
      </c>
      <c r="B1448">
        <v>2026</v>
      </c>
      <c r="C1448">
        <v>5</v>
      </c>
      <c r="D1448" t="s">
        <v>85</v>
      </c>
      <c r="E1448" t="s">
        <v>84</v>
      </c>
      <c r="F1448">
        <v>228</v>
      </c>
      <c r="G1448">
        <v>228</v>
      </c>
      <c r="H1448">
        <v>0</v>
      </c>
      <c r="I1448">
        <v>12</v>
      </c>
      <c r="J1448" s="17">
        <v>0.73076923076923073</v>
      </c>
      <c r="K1448">
        <v>37</v>
      </c>
      <c r="L1448">
        <v>36</v>
      </c>
      <c r="M1448" s="17">
        <v>0.97297297297297303</v>
      </c>
      <c r="N1448" s="25">
        <v>12147</v>
      </c>
      <c r="O1448" s="25">
        <v>1938</v>
      </c>
      <c r="P1448" s="25">
        <v>5735</v>
      </c>
      <c r="Q1448" s="25">
        <v>19820</v>
      </c>
      <c r="R1448" s="18">
        <v>86.929824561403507</v>
      </c>
    </row>
    <row r="1449" spans="1:18" x14ac:dyDescent="0.35">
      <c r="A1449" s="13">
        <v>46151</v>
      </c>
      <c r="B1449">
        <v>2026</v>
      </c>
      <c r="C1449">
        <v>5</v>
      </c>
      <c r="D1449" t="s">
        <v>85</v>
      </c>
      <c r="E1449" t="s">
        <v>84</v>
      </c>
      <c r="F1449">
        <v>228</v>
      </c>
      <c r="G1449">
        <v>227</v>
      </c>
      <c r="H1449">
        <v>1</v>
      </c>
      <c r="I1449">
        <v>12</v>
      </c>
      <c r="J1449" s="17">
        <v>0.72756410256410253</v>
      </c>
      <c r="K1449">
        <v>37</v>
      </c>
      <c r="L1449">
        <v>37</v>
      </c>
      <c r="M1449" s="17">
        <v>1</v>
      </c>
      <c r="N1449" s="25">
        <v>12147</v>
      </c>
      <c r="O1449" s="25">
        <v>1929.5</v>
      </c>
      <c r="P1449" s="25">
        <v>5735</v>
      </c>
      <c r="Q1449" s="25">
        <v>19811.5</v>
      </c>
      <c r="R1449" s="18">
        <v>87.275330396475766</v>
      </c>
    </row>
    <row r="1450" spans="1:18" x14ac:dyDescent="0.35">
      <c r="A1450" s="13">
        <v>46158</v>
      </c>
      <c r="B1450">
        <v>2026</v>
      </c>
      <c r="C1450">
        <v>5</v>
      </c>
      <c r="D1450" t="s">
        <v>85</v>
      </c>
      <c r="E1450" t="s">
        <v>84</v>
      </c>
      <c r="F1450">
        <v>234</v>
      </c>
      <c r="G1450">
        <v>235</v>
      </c>
      <c r="H1450">
        <v>0</v>
      </c>
      <c r="I1450">
        <v>11</v>
      </c>
      <c r="J1450" s="17">
        <v>0.82167832167832167</v>
      </c>
      <c r="K1450">
        <v>37</v>
      </c>
      <c r="L1450">
        <v>37</v>
      </c>
      <c r="M1450" s="17">
        <v>1</v>
      </c>
      <c r="N1450" s="25">
        <v>11134.75</v>
      </c>
      <c r="O1450" s="25">
        <v>1997.5</v>
      </c>
      <c r="P1450" s="25">
        <v>5735</v>
      </c>
      <c r="Q1450" s="25">
        <v>18867.25</v>
      </c>
      <c r="R1450" s="18">
        <v>80.286170212765953</v>
      </c>
    </row>
    <row r="1451" spans="1:18" x14ac:dyDescent="0.35">
      <c r="A1451" s="13">
        <v>46165</v>
      </c>
      <c r="B1451">
        <v>2026</v>
      </c>
      <c r="C1451">
        <v>5</v>
      </c>
      <c r="D1451" t="s">
        <v>85</v>
      </c>
      <c r="E1451" t="s">
        <v>84</v>
      </c>
      <c r="F1451">
        <v>229</v>
      </c>
      <c r="G1451">
        <v>229</v>
      </c>
      <c r="H1451">
        <v>0</v>
      </c>
      <c r="I1451">
        <v>12</v>
      </c>
      <c r="J1451" s="17">
        <v>0.73397435897435892</v>
      </c>
      <c r="K1451">
        <v>37</v>
      </c>
      <c r="L1451">
        <v>35</v>
      </c>
      <c r="M1451" s="17">
        <v>0.94594594594594594</v>
      </c>
      <c r="N1451" s="25">
        <v>12147</v>
      </c>
      <c r="O1451" s="25">
        <v>1946.5</v>
      </c>
      <c r="P1451" s="25">
        <v>5735</v>
      </c>
      <c r="Q1451" s="25">
        <v>19828.5</v>
      </c>
      <c r="R1451" s="18">
        <v>86.58733624454149</v>
      </c>
    </row>
    <row r="1452" spans="1:18" x14ac:dyDescent="0.35">
      <c r="A1452" s="13">
        <v>46172</v>
      </c>
      <c r="B1452">
        <v>2026</v>
      </c>
      <c r="C1452">
        <v>5</v>
      </c>
      <c r="D1452" t="s">
        <v>85</v>
      </c>
      <c r="E1452" t="s">
        <v>84</v>
      </c>
      <c r="F1452">
        <v>227</v>
      </c>
      <c r="G1452">
        <v>227</v>
      </c>
      <c r="H1452">
        <v>0</v>
      </c>
      <c r="I1452">
        <v>12</v>
      </c>
      <c r="J1452" s="17">
        <v>0.72756410256410253</v>
      </c>
      <c r="K1452">
        <v>37</v>
      </c>
      <c r="L1452">
        <v>36</v>
      </c>
      <c r="M1452" s="17">
        <v>0.97297297297297303</v>
      </c>
      <c r="N1452" s="25">
        <v>12147</v>
      </c>
      <c r="O1452" s="25">
        <v>1929.5</v>
      </c>
      <c r="P1452" s="25">
        <v>5735</v>
      </c>
      <c r="Q1452" s="25">
        <v>19811.5</v>
      </c>
      <c r="R1452" s="18">
        <v>87.275330396475766</v>
      </c>
    </row>
    <row r="1453" spans="1:18" x14ac:dyDescent="0.35">
      <c r="A1453" s="13">
        <v>46179</v>
      </c>
      <c r="B1453">
        <v>2026</v>
      </c>
      <c r="C1453">
        <v>6</v>
      </c>
      <c r="D1453" t="s">
        <v>85</v>
      </c>
      <c r="E1453" t="s">
        <v>84</v>
      </c>
      <c r="F1453">
        <v>225</v>
      </c>
      <c r="G1453">
        <v>223</v>
      </c>
      <c r="H1453">
        <v>2</v>
      </c>
      <c r="I1453">
        <v>12</v>
      </c>
      <c r="J1453" s="17">
        <v>0.71474358974358976</v>
      </c>
      <c r="K1453">
        <v>37</v>
      </c>
      <c r="L1453">
        <v>35</v>
      </c>
      <c r="M1453" s="17">
        <v>0.94594594594594594</v>
      </c>
      <c r="N1453" s="25">
        <v>12147</v>
      </c>
      <c r="O1453" s="25">
        <v>1895.5</v>
      </c>
      <c r="P1453" s="25">
        <v>5735</v>
      </c>
      <c r="Q1453" s="25">
        <v>19777.5</v>
      </c>
      <c r="R1453" s="18">
        <v>88.688340807174882</v>
      </c>
    </row>
    <row r="1454" spans="1:18" x14ac:dyDescent="0.35">
      <c r="A1454" s="13">
        <v>46186</v>
      </c>
      <c r="B1454">
        <v>2026</v>
      </c>
      <c r="C1454">
        <v>6</v>
      </c>
      <c r="D1454" t="s">
        <v>85</v>
      </c>
      <c r="E1454" t="s">
        <v>84</v>
      </c>
      <c r="F1454">
        <v>227</v>
      </c>
      <c r="G1454">
        <v>229</v>
      </c>
      <c r="H1454">
        <v>0</v>
      </c>
      <c r="I1454">
        <v>12</v>
      </c>
      <c r="J1454" s="17">
        <v>0.73397435897435892</v>
      </c>
      <c r="K1454">
        <v>37</v>
      </c>
      <c r="L1454">
        <v>35</v>
      </c>
      <c r="M1454" s="17">
        <v>0.94594594594594594</v>
      </c>
      <c r="N1454" s="25">
        <v>12147</v>
      </c>
      <c r="O1454" s="25">
        <v>1946.5</v>
      </c>
      <c r="P1454" s="25">
        <v>5735</v>
      </c>
      <c r="Q1454" s="25">
        <v>19828.5</v>
      </c>
      <c r="R1454" s="18">
        <v>86.58733624454149</v>
      </c>
    </row>
    <row r="1455" spans="1:18" x14ac:dyDescent="0.35">
      <c r="A1455" s="13">
        <v>46193</v>
      </c>
      <c r="B1455">
        <v>2026</v>
      </c>
      <c r="C1455">
        <v>6</v>
      </c>
      <c r="D1455" t="s">
        <v>85</v>
      </c>
      <c r="E1455" t="s">
        <v>84</v>
      </c>
      <c r="F1455">
        <v>212</v>
      </c>
      <c r="G1455">
        <v>212</v>
      </c>
      <c r="H1455">
        <v>0</v>
      </c>
      <c r="I1455">
        <v>10</v>
      </c>
      <c r="J1455" s="17">
        <v>0.81538461538461537</v>
      </c>
      <c r="K1455">
        <v>37</v>
      </c>
      <c r="L1455">
        <v>37</v>
      </c>
      <c r="M1455" s="17">
        <v>1</v>
      </c>
      <c r="N1455" s="25">
        <v>10122.5</v>
      </c>
      <c r="O1455" s="25">
        <v>1802</v>
      </c>
      <c r="P1455" s="25">
        <v>5735</v>
      </c>
      <c r="Q1455" s="25">
        <v>17659.5</v>
      </c>
      <c r="R1455" s="18">
        <v>83.299528301886795</v>
      </c>
    </row>
    <row r="1456" spans="1:18" x14ac:dyDescent="0.35">
      <c r="A1456" s="13">
        <v>46200</v>
      </c>
      <c r="B1456">
        <v>2026</v>
      </c>
      <c r="C1456">
        <v>6</v>
      </c>
      <c r="D1456" t="s">
        <v>85</v>
      </c>
      <c r="E1456" t="s">
        <v>84</v>
      </c>
      <c r="F1456">
        <v>228</v>
      </c>
      <c r="G1456">
        <v>228</v>
      </c>
      <c r="H1456">
        <v>0</v>
      </c>
      <c r="I1456">
        <v>12</v>
      </c>
      <c r="J1456" s="17">
        <v>0.73076923076923073</v>
      </c>
      <c r="K1456">
        <v>37</v>
      </c>
      <c r="L1456">
        <v>35</v>
      </c>
      <c r="M1456" s="17">
        <v>0.94594594594594594</v>
      </c>
      <c r="N1456" s="25">
        <v>12147</v>
      </c>
      <c r="O1456" s="25">
        <v>1938</v>
      </c>
      <c r="P1456" s="25">
        <v>5735</v>
      </c>
      <c r="Q1456" s="25">
        <v>19820</v>
      </c>
      <c r="R1456" s="18">
        <v>86.929824561403507</v>
      </c>
    </row>
    <row r="1457" spans="1:18" x14ac:dyDescent="0.35">
      <c r="A1457" s="13">
        <v>46207</v>
      </c>
      <c r="B1457">
        <v>2026</v>
      </c>
      <c r="C1457">
        <v>7</v>
      </c>
      <c r="D1457" t="s">
        <v>85</v>
      </c>
      <c r="E1457" t="s">
        <v>84</v>
      </c>
      <c r="F1457">
        <v>229</v>
      </c>
      <c r="G1457">
        <v>229</v>
      </c>
      <c r="H1457">
        <v>0</v>
      </c>
      <c r="I1457">
        <v>12</v>
      </c>
      <c r="J1457" s="17">
        <v>0.73397435897435892</v>
      </c>
      <c r="K1457">
        <v>37</v>
      </c>
      <c r="L1457">
        <v>36</v>
      </c>
      <c r="M1457" s="17">
        <v>0.97297297297297303</v>
      </c>
      <c r="N1457" s="25">
        <v>12147</v>
      </c>
      <c r="O1457" s="25">
        <v>1946.5</v>
      </c>
      <c r="P1457" s="25">
        <v>5735</v>
      </c>
      <c r="Q1457" s="25">
        <v>19828.5</v>
      </c>
      <c r="R1457" s="18">
        <v>86.58733624454149</v>
      </c>
    </row>
    <row r="1458" spans="1:18" x14ac:dyDescent="0.35">
      <c r="A1458" s="13">
        <v>46214</v>
      </c>
      <c r="B1458">
        <v>2026</v>
      </c>
      <c r="C1458">
        <v>7</v>
      </c>
      <c r="D1458" t="s">
        <v>85</v>
      </c>
      <c r="E1458" t="s">
        <v>84</v>
      </c>
      <c r="F1458">
        <v>225</v>
      </c>
      <c r="G1458">
        <v>225</v>
      </c>
      <c r="H1458">
        <v>0</v>
      </c>
      <c r="I1458">
        <v>12</v>
      </c>
      <c r="J1458" s="17">
        <v>0.72115384615384615</v>
      </c>
      <c r="K1458">
        <v>37</v>
      </c>
      <c r="L1458">
        <v>33</v>
      </c>
      <c r="M1458" s="17">
        <v>0.89189189189189189</v>
      </c>
      <c r="N1458" s="25">
        <v>12147</v>
      </c>
      <c r="O1458" s="25">
        <v>1912.5</v>
      </c>
      <c r="P1458" s="25">
        <v>5735</v>
      </c>
      <c r="Q1458" s="25">
        <v>19794.5</v>
      </c>
      <c r="R1458" s="18">
        <v>87.975555555555559</v>
      </c>
    </row>
    <row r="1459" spans="1:18" x14ac:dyDescent="0.35">
      <c r="A1459" s="13">
        <v>46221</v>
      </c>
      <c r="B1459">
        <v>2026</v>
      </c>
      <c r="C1459">
        <v>7</v>
      </c>
      <c r="D1459" t="s">
        <v>85</v>
      </c>
      <c r="E1459" t="s">
        <v>84</v>
      </c>
      <c r="F1459">
        <v>246</v>
      </c>
      <c r="G1459">
        <v>245</v>
      </c>
      <c r="H1459">
        <v>1</v>
      </c>
      <c r="I1459">
        <v>12</v>
      </c>
      <c r="J1459" s="17">
        <v>0.78525641025641024</v>
      </c>
      <c r="K1459">
        <v>37</v>
      </c>
      <c r="L1459">
        <v>36</v>
      </c>
      <c r="M1459" s="17">
        <v>0.97297297297297303</v>
      </c>
      <c r="N1459" s="25">
        <v>12147</v>
      </c>
      <c r="O1459" s="25">
        <v>2082.5</v>
      </c>
      <c r="P1459" s="25">
        <v>5735</v>
      </c>
      <c r="Q1459" s="25">
        <v>19964.5</v>
      </c>
      <c r="R1459" s="18">
        <v>81.487755102040822</v>
      </c>
    </row>
    <row r="1460" spans="1:18" x14ac:dyDescent="0.35">
      <c r="A1460" s="13">
        <v>46228</v>
      </c>
      <c r="B1460">
        <v>2026</v>
      </c>
      <c r="C1460">
        <v>7</v>
      </c>
      <c r="D1460" t="s">
        <v>85</v>
      </c>
      <c r="E1460" t="s">
        <v>84</v>
      </c>
      <c r="F1460">
        <v>227</v>
      </c>
      <c r="G1460">
        <v>228</v>
      </c>
      <c r="H1460">
        <v>0</v>
      </c>
      <c r="I1460">
        <v>12</v>
      </c>
      <c r="J1460" s="17">
        <v>0.73076923076923073</v>
      </c>
      <c r="K1460">
        <v>37</v>
      </c>
      <c r="L1460">
        <v>33</v>
      </c>
      <c r="M1460" s="17">
        <v>0.89189189189189189</v>
      </c>
      <c r="N1460" s="25">
        <v>12147</v>
      </c>
      <c r="O1460" s="25">
        <v>1938</v>
      </c>
      <c r="P1460" s="25">
        <v>5735</v>
      </c>
      <c r="Q1460" s="25">
        <v>19820</v>
      </c>
      <c r="R1460" s="18">
        <v>86.929824561403507</v>
      </c>
    </row>
    <row r="1461" spans="1:18" x14ac:dyDescent="0.35">
      <c r="A1461" s="13">
        <v>44779</v>
      </c>
      <c r="B1461">
        <v>2022</v>
      </c>
      <c r="C1461">
        <v>8</v>
      </c>
      <c r="D1461" t="s">
        <v>87</v>
      </c>
      <c r="E1461" t="s">
        <v>76</v>
      </c>
      <c r="F1461">
        <v>198</v>
      </c>
      <c r="G1461">
        <v>198</v>
      </c>
      <c r="H1461">
        <v>0</v>
      </c>
      <c r="I1461">
        <v>12</v>
      </c>
      <c r="J1461" s="17">
        <v>0.63461538461538458</v>
      </c>
      <c r="K1461">
        <v>35</v>
      </c>
      <c r="L1461">
        <v>35</v>
      </c>
      <c r="M1461" s="17">
        <v>1</v>
      </c>
      <c r="N1461" s="25">
        <v>11550</v>
      </c>
      <c r="O1461" s="25">
        <v>1782</v>
      </c>
      <c r="P1461" s="25">
        <v>5600</v>
      </c>
      <c r="Q1461" s="25">
        <v>18932</v>
      </c>
      <c r="R1461" s="18">
        <v>95.616161616161619</v>
      </c>
    </row>
    <row r="1462" spans="1:18" x14ac:dyDescent="0.35">
      <c r="A1462" s="13">
        <v>44786</v>
      </c>
      <c r="B1462">
        <v>2022</v>
      </c>
      <c r="C1462">
        <v>8</v>
      </c>
      <c r="D1462" t="s">
        <v>87</v>
      </c>
      <c r="E1462" t="s">
        <v>76</v>
      </c>
      <c r="F1462">
        <v>191</v>
      </c>
      <c r="G1462">
        <v>191</v>
      </c>
      <c r="H1462">
        <v>0</v>
      </c>
      <c r="I1462">
        <v>12</v>
      </c>
      <c r="J1462" s="17">
        <v>0.61217948717948723</v>
      </c>
      <c r="K1462">
        <v>35</v>
      </c>
      <c r="L1462">
        <v>29</v>
      </c>
      <c r="M1462" s="17">
        <v>0.82857142857142863</v>
      </c>
      <c r="N1462" s="25">
        <v>11550</v>
      </c>
      <c r="O1462" s="25">
        <v>1719</v>
      </c>
      <c r="P1462" s="25">
        <v>5600</v>
      </c>
      <c r="Q1462" s="25">
        <v>18869</v>
      </c>
      <c r="R1462" s="18">
        <v>98.790575916230367</v>
      </c>
    </row>
    <row r="1463" spans="1:18" x14ac:dyDescent="0.35">
      <c r="A1463" s="13">
        <v>44793</v>
      </c>
      <c r="B1463">
        <v>2022</v>
      </c>
      <c r="C1463">
        <v>8</v>
      </c>
      <c r="D1463" t="s">
        <v>87</v>
      </c>
      <c r="E1463" t="s">
        <v>76</v>
      </c>
      <c r="F1463">
        <v>189</v>
      </c>
      <c r="G1463">
        <v>189</v>
      </c>
      <c r="H1463">
        <v>0</v>
      </c>
      <c r="I1463">
        <v>12</v>
      </c>
      <c r="J1463" s="17">
        <v>0.60576923076923073</v>
      </c>
      <c r="K1463">
        <v>35</v>
      </c>
      <c r="L1463">
        <v>33</v>
      </c>
      <c r="M1463" s="17">
        <v>0.94285714285714284</v>
      </c>
      <c r="N1463" s="25">
        <v>11550</v>
      </c>
      <c r="O1463" s="25">
        <v>1701</v>
      </c>
      <c r="P1463" s="25">
        <v>5600</v>
      </c>
      <c r="Q1463" s="25">
        <v>18851</v>
      </c>
      <c r="R1463" s="18">
        <v>99.740740740740748</v>
      </c>
    </row>
    <row r="1464" spans="1:18" x14ac:dyDescent="0.35">
      <c r="A1464" s="13">
        <v>44800</v>
      </c>
      <c r="B1464">
        <v>2022</v>
      </c>
      <c r="C1464">
        <v>8</v>
      </c>
      <c r="D1464" t="s">
        <v>87</v>
      </c>
      <c r="E1464" t="s">
        <v>76</v>
      </c>
      <c r="F1464">
        <v>189</v>
      </c>
      <c r="G1464">
        <v>189</v>
      </c>
      <c r="H1464">
        <v>0</v>
      </c>
      <c r="I1464">
        <v>12</v>
      </c>
      <c r="J1464" s="17">
        <v>0.60576923076923073</v>
      </c>
      <c r="K1464">
        <v>35</v>
      </c>
      <c r="L1464">
        <v>33</v>
      </c>
      <c r="M1464" s="17">
        <v>0.94285714285714284</v>
      </c>
      <c r="N1464" s="25">
        <v>11550</v>
      </c>
      <c r="O1464" s="25">
        <v>1701</v>
      </c>
      <c r="P1464" s="25">
        <v>5600</v>
      </c>
      <c r="Q1464" s="25">
        <v>18851</v>
      </c>
      <c r="R1464" s="18">
        <v>99.740740740740748</v>
      </c>
    </row>
    <row r="1465" spans="1:18" x14ac:dyDescent="0.35">
      <c r="A1465" s="13">
        <v>44807</v>
      </c>
      <c r="B1465">
        <v>2022</v>
      </c>
      <c r="C1465">
        <v>9</v>
      </c>
      <c r="D1465" t="s">
        <v>87</v>
      </c>
      <c r="E1465" t="s">
        <v>76</v>
      </c>
      <c r="F1465">
        <v>186</v>
      </c>
      <c r="G1465">
        <v>186</v>
      </c>
      <c r="H1465">
        <v>0</v>
      </c>
      <c r="I1465">
        <v>11</v>
      </c>
      <c r="J1465" s="17">
        <v>0.65034965034965031</v>
      </c>
      <c r="K1465">
        <v>35</v>
      </c>
      <c r="L1465">
        <v>32</v>
      </c>
      <c r="M1465" s="17">
        <v>0.91428571428571426</v>
      </c>
      <c r="N1465" s="25">
        <v>10587.5</v>
      </c>
      <c r="O1465" s="25">
        <v>1674</v>
      </c>
      <c r="P1465" s="25">
        <v>5600</v>
      </c>
      <c r="Q1465" s="25">
        <v>17861.5</v>
      </c>
      <c r="R1465" s="18">
        <v>96.02956989247312</v>
      </c>
    </row>
    <row r="1466" spans="1:18" x14ac:dyDescent="0.35">
      <c r="A1466" s="13">
        <v>44814</v>
      </c>
      <c r="B1466">
        <v>2022</v>
      </c>
      <c r="C1466">
        <v>9</v>
      </c>
      <c r="D1466" t="s">
        <v>87</v>
      </c>
      <c r="E1466" t="s">
        <v>76</v>
      </c>
      <c r="F1466">
        <v>178</v>
      </c>
      <c r="G1466">
        <v>178</v>
      </c>
      <c r="H1466">
        <v>0</v>
      </c>
      <c r="I1466">
        <v>11</v>
      </c>
      <c r="J1466" s="17">
        <v>0.6223776223776224</v>
      </c>
      <c r="K1466">
        <v>35</v>
      </c>
      <c r="L1466">
        <v>33</v>
      </c>
      <c r="M1466" s="17">
        <v>0.94285714285714284</v>
      </c>
      <c r="N1466" s="25">
        <v>10587.5</v>
      </c>
      <c r="O1466" s="25">
        <v>1602</v>
      </c>
      <c r="P1466" s="25">
        <v>5600</v>
      </c>
      <c r="Q1466" s="25">
        <v>17789.5</v>
      </c>
      <c r="R1466" s="18">
        <v>99.94101123595506</v>
      </c>
    </row>
    <row r="1467" spans="1:18" x14ac:dyDescent="0.35">
      <c r="A1467" s="13">
        <v>44821</v>
      </c>
      <c r="B1467">
        <v>2022</v>
      </c>
      <c r="C1467">
        <v>9</v>
      </c>
      <c r="D1467" t="s">
        <v>87</v>
      </c>
      <c r="E1467" t="s">
        <v>76</v>
      </c>
      <c r="F1467">
        <v>179</v>
      </c>
      <c r="G1467">
        <v>179</v>
      </c>
      <c r="H1467">
        <v>0</v>
      </c>
      <c r="I1467">
        <v>11</v>
      </c>
      <c r="J1467" s="17">
        <v>0.62587412587412583</v>
      </c>
      <c r="K1467">
        <v>35</v>
      </c>
      <c r="L1467">
        <v>28</v>
      </c>
      <c r="M1467" s="17">
        <v>0.8</v>
      </c>
      <c r="N1467" s="25">
        <v>10587.5</v>
      </c>
      <c r="O1467" s="25">
        <v>1611</v>
      </c>
      <c r="P1467" s="25">
        <v>5600</v>
      </c>
      <c r="Q1467" s="25">
        <v>17798.5</v>
      </c>
      <c r="R1467" s="18">
        <v>99.432960893854755</v>
      </c>
    </row>
    <row r="1468" spans="1:18" x14ac:dyDescent="0.35">
      <c r="A1468" s="13">
        <v>44828</v>
      </c>
      <c r="B1468">
        <v>2022</v>
      </c>
      <c r="C1468">
        <v>9</v>
      </c>
      <c r="D1468" t="s">
        <v>87</v>
      </c>
      <c r="E1468" t="s">
        <v>76</v>
      </c>
      <c r="F1468">
        <v>180</v>
      </c>
      <c r="G1468">
        <v>180</v>
      </c>
      <c r="H1468">
        <v>0</v>
      </c>
      <c r="I1468">
        <v>12</v>
      </c>
      <c r="J1468" s="17">
        <v>0.57692307692307687</v>
      </c>
      <c r="K1468">
        <v>35</v>
      </c>
      <c r="L1468">
        <v>30</v>
      </c>
      <c r="M1468" s="17">
        <v>0.8571428571428571</v>
      </c>
      <c r="N1468" s="25">
        <v>11550</v>
      </c>
      <c r="O1468" s="25">
        <v>1620</v>
      </c>
      <c r="P1468" s="25">
        <v>5600</v>
      </c>
      <c r="Q1468" s="25">
        <v>18770</v>
      </c>
      <c r="R1468" s="18">
        <v>104.2777777777778</v>
      </c>
    </row>
    <row r="1469" spans="1:18" x14ac:dyDescent="0.35">
      <c r="A1469" s="13">
        <v>44835</v>
      </c>
      <c r="B1469">
        <v>2022</v>
      </c>
      <c r="C1469">
        <v>10</v>
      </c>
      <c r="D1469" t="s">
        <v>87</v>
      </c>
      <c r="E1469" t="s">
        <v>76</v>
      </c>
      <c r="F1469">
        <v>179</v>
      </c>
      <c r="G1469">
        <v>179</v>
      </c>
      <c r="H1469">
        <v>0</v>
      </c>
      <c r="I1469">
        <v>11</v>
      </c>
      <c r="J1469" s="17">
        <v>0.62587412587412583</v>
      </c>
      <c r="K1469">
        <v>35</v>
      </c>
      <c r="L1469">
        <v>34</v>
      </c>
      <c r="M1469" s="17">
        <v>0.97142857142857142</v>
      </c>
      <c r="N1469" s="25">
        <v>10587.5</v>
      </c>
      <c r="O1469" s="25">
        <v>1611</v>
      </c>
      <c r="P1469" s="25">
        <v>5600</v>
      </c>
      <c r="Q1469" s="25">
        <v>17798.5</v>
      </c>
      <c r="R1469" s="18">
        <v>99.432960893854755</v>
      </c>
    </row>
    <row r="1470" spans="1:18" x14ac:dyDescent="0.35">
      <c r="A1470" s="13">
        <v>44842</v>
      </c>
      <c r="B1470">
        <v>2022</v>
      </c>
      <c r="C1470">
        <v>10</v>
      </c>
      <c r="D1470" t="s">
        <v>87</v>
      </c>
      <c r="E1470" t="s">
        <v>76</v>
      </c>
      <c r="F1470">
        <v>181</v>
      </c>
      <c r="G1470">
        <v>181</v>
      </c>
      <c r="H1470">
        <v>0</v>
      </c>
      <c r="I1470">
        <v>11</v>
      </c>
      <c r="J1470" s="17">
        <v>0.63286713286713292</v>
      </c>
      <c r="K1470">
        <v>35</v>
      </c>
      <c r="L1470">
        <v>32</v>
      </c>
      <c r="M1470" s="17">
        <v>0.91428571428571426</v>
      </c>
      <c r="N1470" s="25">
        <v>10587.5</v>
      </c>
      <c r="O1470" s="25">
        <v>1629</v>
      </c>
      <c r="P1470" s="25">
        <v>5600</v>
      </c>
      <c r="Q1470" s="25">
        <v>17816.5</v>
      </c>
      <c r="R1470" s="18">
        <v>98.43370165745857</v>
      </c>
    </row>
    <row r="1471" spans="1:18" x14ac:dyDescent="0.35">
      <c r="A1471" s="13">
        <v>44849</v>
      </c>
      <c r="B1471">
        <v>2022</v>
      </c>
      <c r="C1471">
        <v>10</v>
      </c>
      <c r="D1471" t="s">
        <v>87</v>
      </c>
      <c r="E1471" t="s">
        <v>76</v>
      </c>
      <c r="F1471">
        <v>173</v>
      </c>
      <c r="G1471">
        <v>173</v>
      </c>
      <c r="H1471">
        <v>0</v>
      </c>
      <c r="I1471">
        <v>11</v>
      </c>
      <c r="J1471" s="17">
        <v>0.6048951048951049</v>
      </c>
      <c r="K1471">
        <v>35</v>
      </c>
      <c r="L1471">
        <v>28</v>
      </c>
      <c r="M1471" s="17">
        <v>0.8</v>
      </c>
      <c r="N1471" s="25">
        <v>10587.5</v>
      </c>
      <c r="O1471" s="25">
        <v>1557</v>
      </c>
      <c r="P1471" s="25">
        <v>5600</v>
      </c>
      <c r="Q1471" s="25">
        <v>17744.5</v>
      </c>
      <c r="R1471" s="18">
        <v>102.56936416184971</v>
      </c>
    </row>
    <row r="1472" spans="1:18" x14ac:dyDescent="0.35">
      <c r="A1472" s="13">
        <v>44856</v>
      </c>
      <c r="B1472">
        <v>2022</v>
      </c>
      <c r="C1472">
        <v>10</v>
      </c>
      <c r="D1472" t="s">
        <v>87</v>
      </c>
      <c r="E1472" t="s">
        <v>76</v>
      </c>
      <c r="F1472">
        <v>195</v>
      </c>
      <c r="G1472">
        <v>195</v>
      </c>
      <c r="H1472">
        <v>0</v>
      </c>
      <c r="I1472">
        <v>11</v>
      </c>
      <c r="J1472" s="17">
        <v>0.68181818181818177</v>
      </c>
      <c r="K1472">
        <v>35</v>
      </c>
      <c r="L1472">
        <v>32</v>
      </c>
      <c r="M1472" s="17">
        <v>0.91428571428571426</v>
      </c>
      <c r="N1472" s="25">
        <v>10587.5</v>
      </c>
      <c r="O1472" s="25">
        <v>1755</v>
      </c>
      <c r="P1472" s="25">
        <v>5600</v>
      </c>
      <c r="Q1472" s="25">
        <v>17942.5</v>
      </c>
      <c r="R1472" s="18">
        <v>92.012820512820511</v>
      </c>
    </row>
    <row r="1473" spans="1:18" x14ac:dyDescent="0.35">
      <c r="A1473" s="13">
        <v>44863</v>
      </c>
      <c r="B1473">
        <v>2022</v>
      </c>
      <c r="C1473">
        <v>10</v>
      </c>
      <c r="D1473" t="s">
        <v>87</v>
      </c>
      <c r="E1473" t="s">
        <v>76</v>
      </c>
      <c r="F1473">
        <v>200</v>
      </c>
      <c r="G1473">
        <v>200</v>
      </c>
      <c r="H1473">
        <v>0</v>
      </c>
      <c r="I1473">
        <v>12</v>
      </c>
      <c r="J1473" s="17">
        <v>0.64102564102564108</v>
      </c>
      <c r="K1473">
        <v>35</v>
      </c>
      <c r="L1473">
        <v>34</v>
      </c>
      <c r="M1473" s="17">
        <v>0.97142857142857142</v>
      </c>
      <c r="N1473" s="25">
        <v>11550</v>
      </c>
      <c r="O1473" s="25">
        <v>1800</v>
      </c>
      <c r="P1473" s="25">
        <v>5600</v>
      </c>
      <c r="Q1473" s="25">
        <v>18950</v>
      </c>
      <c r="R1473" s="18">
        <v>94.75</v>
      </c>
    </row>
    <row r="1474" spans="1:18" x14ac:dyDescent="0.35">
      <c r="A1474" s="13">
        <v>44870</v>
      </c>
      <c r="B1474">
        <v>2022</v>
      </c>
      <c r="C1474">
        <v>11</v>
      </c>
      <c r="D1474" t="s">
        <v>87</v>
      </c>
      <c r="E1474" t="s">
        <v>76</v>
      </c>
      <c r="F1474">
        <v>194</v>
      </c>
      <c r="G1474">
        <v>194</v>
      </c>
      <c r="H1474">
        <v>0</v>
      </c>
      <c r="I1474">
        <v>11</v>
      </c>
      <c r="J1474" s="17">
        <v>0.67832167832167833</v>
      </c>
      <c r="K1474">
        <v>35</v>
      </c>
      <c r="L1474">
        <v>30</v>
      </c>
      <c r="M1474" s="17">
        <v>0.8571428571428571</v>
      </c>
      <c r="N1474" s="25">
        <v>10587.5</v>
      </c>
      <c r="O1474" s="25">
        <v>1746</v>
      </c>
      <c r="P1474" s="25">
        <v>5600</v>
      </c>
      <c r="Q1474" s="25">
        <v>17933.5</v>
      </c>
      <c r="R1474" s="18">
        <v>92.44072164948453</v>
      </c>
    </row>
    <row r="1475" spans="1:18" x14ac:dyDescent="0.35">
      <c r="A1475" s="13">
        <v>44877</v>
      </c>
      <c r="B1475">
        <v>2022</v>
      </c>
      <c r="C1475">
        <v>11</v>
      </c>
      <c r="D1475" t="s">
        <v>87</v>
      </c>
      <c r="E1475" t="s">
        <v>76</v>
      </c>
      <c r="F1475">
        <v>218</v>
      </c>
      <c r="G1475">
        <v>218</v>
      </c>
      <c r="H1475">
        <v>0</v>
      </c>
      <c r="I1475">
        <v>12</v>
      </c>
      <c r="J1475" s="17">
        <v>0.69871794871794868</v>
      </c>
      <c r="K1475">
        <v>35</v>
      </c>
      <c r="L1475">
        <v>35</v>
      </c>
      <c r="M1475" s="17">
        <v>1</v>
      </c>
      <c r="N1475" s="25">
        <v>11550</v>
      </c>
      <c r="O1475" s="25">
        <v>1962</v>
      </c>
      <c r="P1475" s="25">
        <v>5600</v>
      </c>
      <c r="Q1475" s="25">
        <v>19112</v>
      </c>
      <c r="R1475" s="18">
        <v>87.669724770642205</v>
      </c>
    </row>
    <row r="1476" spans="1:18" x14ac:dyDescent="0.35">
      <c r="A1476" s="13">
        <v>44884</v>
      </c>
      <c r="B1476">
        <v>2022</v>
      </c>
      <c r="C1476">
        <v>11</v>
      </c>
      <c r="D1476" t="s">
        <v>87</v>
      </c>
      <c r="E1476" t="s">
        <v>76</v>
      </c>
      <c r="F1476">
        <v>239</v>
      </c>
      <c r="G1476">
        <v>238</v>
      </c>
      <c r="H1476">
        <v>1</v>
      </c>
      <c r="I1476">
        <v>12</v>
      </c>
      <c r="J1476" s="17">
        <v>0.76282051282051277</v>
      </c>
      <c r="K1476">
        <v>35</v>
      </c>
      <c r="L1476">
        <v>32</v>
      </c>
      <c r="M1476" s="17">
        <v>0.91428571428571426</v>
      </c>
      <c r="N1476" s="25">
        <v>11550</v>
      </c>
      <c r="O1476" s="25">
        <v>2142</v>
      </c>
      <c r="P1476" s="25">
        <v>5600</v>
      </c>
      <c r="Q1476" s="25">
        <v>19292</v>
      </c>
      <c r="R1476" s="18">
        <v>81.058823529411768</v>
      </c>
    </row>
    <row r="1477" spans="1:18" x14ac:dyDescent="0.35">
      <c r="A1477" s="13">
        <v>44891</v>
      </c>
      <c r="B1477">
        <v>2022</v>
      </c>
      <c r="C1477">
        <v>11</v>
      </c>
      <c r="D1477" t="s">
        <v>87</v>
      </c>
      <c r="E1477" t="s">
        <v>76</v>
      </c>
      <c r="F1477">
        <v>252</v>
      </c>
      <c r="G1477">
        <v>253</v>
      </c>
      <c r="H1477">
        <v>0</v>
      </c>
      <c r="I1477">
        <v>12</v>
      </c>
      <c r="J1477" s="17">
        <v>0.8108974358974359</v>
      </c>
      <c r="K1477">
        <v>35</v>
      </c>
      <c r="L1477">
        <v>32</v>
      </c>
      <c r="M1477" s="17">
        <v>0.91428571428571426</v>
      </c>
      <c r="N1477" s="25">
        <v>11550</v>
      </c>
      <c r="O1477" s="25">
        <v>2277</v>
      </c>
      <c r="P1477" s="25">
        <v>5600</v>
      </c>
      <c r="Q1477" s="25">
        <v>19427</v>
      </c>
      <c r="R1477" s="18">
        <v>76.78656126482214</v>
      </c>
    </row>
    <row r="1478" spans="1:18" x14ac:dyDescent="0.35">
      <c r="A1478" s="13">
        <v>44898</v>
      </c>
      <c r="B1478">
        <v>2022</v>
      </c>
      <c r="C1478">
        <v>12</v>
      </c>
      <c r="D1478" t="s">
        <v>87</v>
      </c>
      <c r="E1478" t="s">
        <v>76</v>
      </c>
      <c r="F1478">
        <v>280</v>
      </c>
      <c r="G1478">
        <v>265</v>
      </c>
      <c r="H1478">
        <v>15</v>
      </c>
      <c r="I1478">
        <v>12</v>
      </c>
      <c r="J1478" s="17">
        <v>0.84935897435897434</v>
      </c>
      <c r="K1478">
        <v>35</v>
      </c>
      <c r="L1478">
        <v>33</v>
      </c>
      <c r="M1478" s="17">
        <v>0.94285714285714284</v>
      </c>
      <c r="N1478" s="25">
        <v>11550</v>
      </c>
      <c r="O1478" s="25">
        <v>2385</v>
      </c>
      <c r="P1478" s="25">
        <v>5600</v>
      </c>
      <c r="Q1478" s="25">
        <v>19535</v>
      </c>
      <c r="R1478" s="18">
        <v>73.716981132075475</v>
      </c>
    </row>
    <row r="1479" spans="1:18" x14ac:dyDescent="0.35">
      <c r="A1479" s="13">
        <v>44905</v>
      </c>
      <c r="B1479">
        <v>2022</v>
      </c>
      <c r="C1479">
        <v>12</v>
      </c>
      <c r="D1479" t="s">
        <v>87</v>
      </c>
      <c r="E1479" t="s">
        <v>76</v>
      </c>
      <c r="F1479">
        <v>290</v>
      </c>
      <c r="G1479">
        <v>275</v>
      </c>
      <c r="H1479">
        <v>30</v>
      </c>
      <c r="I1479">
        <v>12</v>
      </c>
      <c r="J1479" s="17">
        <v>0.88141025641025639</v>
      </c>
      <c r="K1479">
        <v>35</v>
      </c>
      <c r="L1479">
        <v>32</v>
      </c>
      <c r="M1479" s="17">
        <v>0.91428571428571426</v>
      </c>
      <c r="N1479" s="25">
        <v>11550</v>
      </c>
      <c r="O1479" s="25">
        <v>2475</v>
      </c>
      <c r="P1479" s="25">
        <v>5600</v>
      </c>
      <c r="Q1479" s="25">
        <v>19625</v>
      </c>
      <c r="R1479" s="18">
        <v>71.36363636363636</v>
      </c>
    </row>
    <row r="1480" spans="1:18" x14ac:dyDescent="0.35">
      <c r="A1480" s="13">
        <v>44912</v>
      </c>
      <c r="B1480">
        <v>2022</v>
      </c>
      <c r="C1480">
        <v>12</v>
      </c>
      <c r="D1480" t="s">
        <v>87</v>
      </c>
      <c r="E1480" t="s">
        <v>76</v>
      </c>
      <c r="F1480">
        <v>268</v>
      </c>
      <c r="G1480">
        <v>272</v>
      </c>
      <c r="H1480">
        <v>26</v>
      </c>
      <c r="I1480">
        <v>13</v>
      </c>
      <c r="J1480" s="17">
        <v>0.80473372781065089</v>
      </c>
      <c r="K1480">
        <v>35</v>
      </c>
      <c r="L1480">
        <v>32</v>
      </c>
      <c r="M1480" s="17">
        <v>0.91428571428571426</v>
      </c>
      <c r="N1480" s="25">
        <v>12512.5</v>
      </c>
      <c r="O1480" s="25">
        <v>2448</v>
      </c>
      <c r="P1480" s="25">
        <v>5600</v>
      </c>
      <c r="Q1480" s="25">
        <v>20560.5</v>
      </c>
      <c r="R1480" s="18">
        <v>75.590073529411768</v>
      </c>
    </row>
    <row r="1481" spans="1:18" x14ac:dyDescent="0.35">
      <c r="A1481" s="13">
        <v>44919</v>
      </c>
      <c r="B1481">
        <v>2022</v>
      </c>
      <c r="C1481">
        <v>12</v>
      </c>
      <c r="D1481" t="s">
        <v>87</v>
      </c>
      <c r="E1481" t="s">
        <v>76</v>
      </c>
      <c r="F1481">
        <v>245</v>
      </c>
      <c r="G1481">
        <v>258</v>
      </c>
      <c r="H1481">
        <v>13</v>
      </c>
      <c r="I1481">
        <v>12</v>
      </c>
      <c r="J1481" s="17">
        <v>0.82692307692307687</v>
      </c>
      <c r="K1481">
        <v>35</v>
      </c>
      <c r="L1481">
        <v>33</v>
      </c>
      <c r="M1481" s="17">
        <v>0.94285714285714284</v>
      </c>
      <c r="N1481" s="25">
        <v>11550</v>
      </c>
      <c r="O1481" s="25">
        <v>2322</v>
      </c>
      <c r="P1481" s="25">
        <v>5600</v>
      </c>
      <c r="Q1481" s="25">
        <v>19472</v>
      </c>
      <c r="R1481" s="18">
        <v>75.47286821705427</v>
      </c>
    </row>
    <row r="1482" spans="1:18" x14ac:dyDescent="0.35">
      <c r="A1482" s="13">
        <v>44926</v>
      </c>
      <c r="B1482">
        <v>2022</v>
      </c>
      <c r="C1482">
        <v>12</v>
      </c>
      <c r="D1482" t="s">
        <v>87</v>
      </c>
      <c r="E1482" t="s">
        <v>76</v>
      </c>
      <c r="F1482">
        <v>207</v>
      </c>
      <c r="G1482">
        <v>220</v>
      </c>
      <c r="H1482">
        <v>0</v>
      </c>
      <c r="I1482">
        <v>12</v>
      </c>
      <c r="J1482" s="17">
        <v>0.70512820512820518</v>
      </c>
      <c r="K1482">
        <v>35</v>
      </c>
      <c r="L1482">
        <v>31</v>
      </c>
      <c r="M1482" s="17">
        <v>0.88571428571428568</v>
      </c>
      <c r="N1482" s="25">
        <v>11550</v>
      </c>
      <c r="O1482" s="25">
        <v>1980</v>
      </c>
      <c r="P1482" s="25">
        <v>5600</v>
      </c>
      <c r="Q1482" s="25">
        <v>19130</v>
      </c>
      <c r="R1482" s="18">
        <v>86.954545454545453</v>
      </c>
    </row>
    <row r="1483" spans="1:18" x14ac:dyDescent="0.35">
      <c r="A1483" s="13">
        <v>44933</v>
      </c>
      <c r="B1483">
        <v>2023</v>
      </c>
      <c r="C1483">
        <v>1</v>
      </c>
      <c r="D1483" t="s">
        <v>87</v>
      </c>
      <c r="E1483" t="s">
        <v>76</v>
      </c>
      <c r="F1483">
        <v>160</v>
      </c>
      <c r="G1483">
        <v>160</v>
      </c>
      <c r="H1483">
        <v>0</v>
      </c>
      <c r="I1483">
        <v>10</v>
      </c>
      <c r="J1483" s="17">
        <v>0.61538461538461542</v>
      </c>
      <c r="K1483">
        <v>35</v>
      </c>
      <c r="L1483">
        <v>33</v>
      </c>
      <c r="M1483" s="17">
        <v>0.94285714285714284</v>
      </c>
      <c r="N1483" s="25">
        <v>9625</v>
      </c>
      <c r="O1483" s="25">
        <v>1440</v>
      </c>
      <c r="P1483" s="25">
        <v>5600</v>
      </c>
      <c r="Q1483" s="25">
        <v>16665</v>
      </c>
      <c r="R1483" s="18">
        <v>104.15625</v>
      </c>
    </row>
    <row r="1484" spans="1:18" x14ac:dyDescent="0.35">
      <c r="A1484" s="13">
        <v>44940</v>
      </c>
      <c r="B1484">
        <v>2023</v>
      </c>
      <c r="C1484">
        <v>1</v>
      </c>
      <c r="D1484" t="s">
        <v>87</v>
      </c>
      <c r="E1484" t="s">
        <v>76</v>
      </c>
      <c r="F1484">
        <v>144</v>
      </c>
      <c r="G1484">
        <v>144</v>
      </c>
      <c r="H1484">
        <v>0</v>
      </c>
      <c r="I1484">
        <v>9</v>
      </c>
      <c r="J1484" s="17">
        <v>0.61538461538461542</v>
      </c>
      <c r="K1484">
        <v>35</v>
      </c>
      <c r="L1484">
        <v>29</v>
      </c>
      <c r="M1484" s="17">
        <v>0.82857142857142863</v>
      </c>
      <c r="N1484" s="25">
        <v>8662.5</v>
      </c>
      <c r="O1484" s="25">
        <v>1296</v>
      </c>
      <c r="P1484" s="25">
        <v>5600</v>
      </c>
      <c r="Q1484" s="25">
        <v>15558.5</v>
      </c>
      <c r="R1484" s="18">
        <v>108.0451388888889</v>
      </c>
    </row>
    <row r="1485" spans="1:18" x14ac:dyDescent="0.35">
      <c r="A1485" s="13">
        <v>44947</v>
      </c>
      <c r="B1485">
        <v>2023</v>
      </c>
      <c r="C1485">
        <v>1</v>
      </c>
      <c r="D1485" t="s">
        <v>87</v>
      </c>
      <c r="E1485" t="s">
        <v>76</v>
      </c>
      <c r="F1485">
        <v>161</v>
      </c>
      <c r="G1485">
        <v>161</v>
      </c>
      <c r="H1485">
        <v>0</v>
      </c>
      <c r="I1485">
        <v>10</v>
      </c>
      <c r="J1485" s="17">
        <v>0.61923076923076925</v>
      </c>
      <c r="K1485">
        <v>35</v>
      </c>
      <c r="L1485">
        <v>33</v>
      </c>
      <c r="M1485" s="17">
        <v>0.94285714285714284</v>
      </c>
      <c r="N1485" s="25">
        <v>9625</v>
      </c>
      <c r="O1485" s="25">
        <v>1449</v>
      </c>
      <c r="P1485" s="25">
        <v>5600</v>
      </c>
      <c r="Q1485" s="25">
        <v>16674</v>
      </c>
      <c r="R1485" s="18">
        <v>103.5652173913043</v>
      </c>
    </row>
    <row r="1486" spans="1:18" x14ac:dyDescent="0.35">
      <c r="A1486" s="13">
        <v>44954</v>
      </c>
      <c r="B1486">
        <v>2023</v>
      </c>
      <c r="C1486">
        <v>1</v>
      </c>
      <c r="D1486" t="s">
        <v>87</v>
      </c>
      <c r="E1486" t="s">
        <v>76</v>
      </c>
      <c r="F1486">
        <v>163</v>
      </c>
      <c r="G1486">
        <v>163</v>
      </c>
      <c r="H1486">
        <v>0</v>
      </c>
      <c r="I1486">
        <v>10</v>
      </c>
      <c r="J1486" s="17">
        <v>0.62692307692307692</v>
      </c>
      <c r="K1486">
        <v>35</v>
      </c>
      <c r="L1486">
        <v>27</v>
      </c>
      <c r="M1486" s="17">
        <v>0.77142857142857146</v>
      </c>
      <c r="N1486" s="25">
        <v>9625</v>
      </c>
      <c r="O1486" s="25">
        <v>1467</v>
      </c>
      <c r="P1486" s="25">
        <v>5600</v>
      </c>
      <c r="Q1486" s="25">
        <v>16692</v>
      </c>
      <c r="R1486" s="18">
        <v>102.40490797546011</v>
      </c>
    </row>
    <row r="1487" spans="1:18" x14ac:dyDescent="0.35">
      <c r="A1487" s="13">
        <v>44961</v>
      </c>
      <c r="B1487">
        <v>2023</v>
      </c>
      <c r="C1487">
        <v>2</v>
      </c>
      <c r="D1487" t="s">
        <v>87</v>
      </c>
      <c r="E1487" t="s">
        <v>76</v>
      </c>
      <c r="F1487">
        <v>162</v>
      </c>
      <c r="G1487">
        <v>162</v>
      </c>
      <c r="H1487">
        <v>0</v>
      </c>
      <c r="I1487">
        <v>10</v>
      </c>
      <c r="J1487" s="17">
        <v>0.62307692307692308</v>
      </c>
      <c r="K1487">
        <v>35</v>
      </c>
      <c r="L1487">
        <v>32</v>
      </c>
      <c r="M1487" s="17">
        <v>0.91428571428571426</v>
      </c>
      <c r="N1487" s="25">
        <v>9625</v>
      </c>
      <c r="O1487" s="25">
        <v>1458</v>
      </c>
      <c r="P1487" s="25">
        <v>5600</v>
      </c>
      <c r="Q1487" s="25">
        <v>16683</v>
      </c>
      <c r="R1487" s="18">
        <v>102.9814814814815</v>
      </c>
    </row>
    <row r="1488" spans="1:18" x14ac:dyDescent="0.35">
      <c r="A1488" s="13">
        <v>44968</v>
      </c>
      <c r="B1488">
        <v>2023</v>
      </c>
      <c r="C1488">
        <v>2</v>
      </c>
      <c r="D1488" t="s">
        <v>87</v>
      </c>
      <c r="E1488" t="s">
        <v>76</v>
      </c>
      <c r="F1488">
        <v>175</v>
      </c>
      <c r="G1488">
        <v>175</v>
      </c>
      <c r="H1488">
        <v>0</v>
      </c>
      <c r="I1488">
        <v>10</v>
      </c>
      <c r="J1488" s="17">
        <v>0.67307692307692313</v>
      </c>
      <c r="K1488">
        <v>35</v>
      </c>
      <c r="L1488">
        <v>30</v>
      </c>
      <c r="M1488" s="17">
        <v>0.8571428571428571</v>
      </c>
      <c r="N1488" s="25">
        <v>9625</v>
      </c>
      <c r="O1488" s="25">
        <v>1575</v>
      </c>
      <c r="P1488" s="25">
        <v>5600</v>
      </c>
      <c r="Q1488" s="25">
        <v>16800</v>
      </c>
      <c r="R1488" s="18">
        <v>96</v>
      </c>
    </row>
    <row r="1489" spans="1:18" x14ac:dyDescent="0.35">
      <c r="A1489" s="13">
        <v>44975</v>
      </c>
      <c r="B1489">
        <v>2023</v>
      </c>
      <c r="C1489">
        <v>2</v>
      </c>
      <c r="D1489" t="s">
        <v>87</v>
      </c>
      <c r="E1489" t="s">
        <v>76</v>
      </c>
      <c r="F1489">
        <v>179</v>
      </c>
      <c r="G1489">
        <v>179</v>
      </c>
      <c r="H1489">
        <v>0</v>
      </c>
      <c r="I1489">
        <v>11</v>
      </c>
      <c r="J1489" s="17">
        <v>0.62587412587412583</v>
      </c>
      <c r="K1489">
        <v>35</v>
      </c>
      <c r="L1489">
        <v>30</v>
      </c>
      <c r="M1489" s="17">
        <v>0.8571428571428571</v>
      </c>
      <c r="N1489" s="25">
        <v>10587.5</v>
      </c>
      <c r="O1489" s="25">
        <v>1611</v>
      </c>
      <c r="P1489" s="25">
        <v>5600</v>
      </c>
      <c r="Q1489" s="25">
        <v>17798.5</v>
      </c>
      <c r="R1489" s="18">
        <v>99.432960893854755</v>
      </c>
    </row>
    <row r="1490" spans="1:18" x14ac:dyDescent="0.35">
      <c r="A1490" s="13">
        <v>44982</v>
      </c>
      <c r="B1490">
        <v>2023</v>
      </c>
      <c r="C1490">
        <v>2</v>
      </c>
      <c r="D1490" t="s">
        <v>87</v>
      </c>
      <c r="E1490" t="s">
        <v>76</v>
      </c>
      <c r="F1490">
        <v>169</v>
      </c>
      <c r="G1490">
        <v>169</v>
      </c>
      <c r="H1490">
        <v>0</v>
      </c>
      <c r="I1490">
        <v>11</v>
      </c>
      <c r="J1490" s="17">
        <v>0.59090909090909094</v>
      </c>
      <c r="K1490">
        <v>35</v>
      </c>
      <c r="L1490">
        <v>31</v>
      </c>
      <c r="M1490" s="17">
        <v>0.88571428571428568</v>
      </c>
      <c r="N1490" s="25">
        <v>10587.5</v>
      </c>
      <c r="O1490" s="25">
        <v>1521</v>
      </c>
      <c r="P1490" s="25">
        <v>5600</v>
      </c>
      <c r="Q1490" s="25">
        <v>17708.5</v>
      </c>
      <c r="R1490" s="18">
        <v>104.78402366863909</v>
      </c>
    </row>
    <row r="1491" spans="1:18" x14ac:dyDescent="0.35">
      <c r="A1491" s="13">
        <v>44989</v>
      </c>
      <c r="B1491">
        <v>2023</v>
      </c>
      <c r="C1491">
        <v>3</v>
      </c>
      <c r="D1491" t="s">
        <v>87</v>
      </c>
      <c r="E1491" t="s">
        <v>76</v>
      </c>
      <c r="F1491">
        <v>178</v>
      </c>
      <c r="G1491">
        <v>178</v>
      </c>
      <c r="H1491">
        <v>0</v>
      </c>
      <c r="I1491">
        <v>11</v>
      </c>
      <c r="J1491" s="17">
        <v>0.6223776223776224</v>
      </c>
      <c r="K1491">
        <v>35</v>
      </c>
      <c r="L1491">
        <v>34</v>
      </c>
      <c r="M1491" s="17">
        <v>0.97142857142857142</v>
      </c>
      <c r="N1491" s="25">
        <v>10587.5</v>
      </c>
      <c r="O1491" s="25">
        <v>1602</v>
      </c>
      <c r="P1491" s="25">
        <v>5600</v>
      </c>
      <c r="Q1491" s="25">
        <v>17789.5</v>
      </c>
      <c r="R1491" s="18">
        <v>99.94101123595506</v>
      </c>
    </row>
    <row r="1492" spans="1:18" x14ac:dyDescent="0.35">
      <c r="A1492" s="13">
        <v>44996</v>
      </c>
      <c r="B1492">
        <v>2023</v>
      </c>
      <c r="C1492">
        <v>3</v>
      </c>
      <c r="D1492" t="s">
        <v>87</v>
      </c>
      <c r="E1492" t="s">
        <v>76</v>
      </c>
      <c r="F1492">
        <v>189</v>
      </c>
      <c r="G1492">
        <v>189</v>
      </c>
      <c r="H1492">
        <v>0</v>
      </c>
      <c r="I1492">
        <v>12</v>
      </c>
      <c r="J1492" s="17">
        <v>0.60576923076923073</v>
      </c>
      <c r="K1492">
        <v>35</v>
      </c>
      <c r="L1492">
        <v>31</v>
      </c>
      <c r="M1492" s="17">
        <v>0.88571428571428568</v>
      </c>
      <c r="N1492" s="25">
        <v>11550</v>
      </c>
      <c r="O1492" s="25">
        <v>1701</v>
      </c>
      <c r="P1492" s="25">
        <v>5600</v>
      </c>
      <c r="Q1492" s="25">
        <v>18851</v>
      </c>
      <c r="R1492" s="18">
        <v>99.740740740740748</v>
      </c>
    </row>
    <row r="1493" spans="1:18" x14ac:dyDescent="0.35">
      <c r="A1493" s="13">
        <v>45003</v>
      </c>
      <c r="B1493">
        <v>2023</v>
      </c>
      <c r="C1493">
        <v>3</v>
      </c>
      <c r="D1493" t="s">
        <v>87</v>
      </c>
      <c r="E1493" t="s">
        <v>76</v>
      </c>
      <c r="F1493">
        <v>178</v>
      </c>
      <c r="G1493">
        <v>178</v>
      </c>
      <c r="H1493">
        <v>0</v>
      </c>
      <c r="I1493">
        <v>11</v>
      </c>
      <c r="J1493" s="17">
        <v>0.6223776223776224</v>
      </c>
      <c r="K1493">
        <v>35</v>
      </c>
      <c r="L1493">
        <v>35</v>
      </c>
      <c r="M1493" s="17">
        <v>1</v>
      </c>
      <c r="N1493" s="25">
        <v>10587.5</v>
      </c>
      <c r="O1493" s="25">
        <v>1602</v>
      </c>
      <c r="P1493" s="25">
        <v>5600</v>
      </c>
      <c r="Q1493" s="25">
        <v>17789.5</v>
      </c>
      <c r="R1493" s="18">
        <v>99.94101123595506</v>
      </c>
    </row>
    <row r="1494" spans="1:18" x14ac:dyDescent="0.35">
      <c r="A1494" s="13">
        <v>45010</v>
      </c>
      <c r="B1494">
        <v>2023</v>
      </c>
      <c r="C1494">
        <v>3</v>
      </c>
      <c r="D1494" t="s">
        <v>87</v>
      </c>
      <c r="E1494" t="s">
        <v>76</v>
      </c>
      <c r="F1494">
        <v>187</v>
      </c>
      <c r="G1494">
        <v>187</v>
      </c>
      <c r="H1494">
        <v>0</v>
      </c>
      <c r="I1494">
        <v>11</v>
      </c>
      <c r="J1494" s="17">
        <v>0.65384615384615385</v>
      </c>
      <c r="K1494">
        <v>35</v>
      </c>
      <c r="L1494">
        <v>34</v>
      </c>
      <c r="M1494" s="17">
        <v>0.97142857142857142</v>
      </c>
      <c r="N1494" s="25">
        <v>10587.5</v>
      </c>
      <c r="O1494" s="25">
        <v>1683</v>
      </c>
      <c r="P1494" s="25">
        <v>5600</v>
      </c>
      <c r="Q1494" s="25">
        <v>17870.5</v>
      </c>
      <c r="R1494" s="18">
        <v>95.564171122994651</v>
      </c>
    </row>
    <row r="1495" spans="1:18" x14ac:dyDescent="0.35">
      <c r="A1495" s="13">
        <v>45017</v>
      </c>
      <c r="B1495">
        <v>2023</v>
      </c>
      <c r="C1495">
        <v>4</v>
      </c>
      <c r="D1495" t="s">
        <v>87</v>
      </c>
      <c r="E1495" t="s">
        <v>76</v>
      </c>
      <c r="F1495">
        <v>189</v>
      </c>
      <c r="G1495">
        <v>189</v>
      </c>
      <c r="H1495">
        <v>0</v>
      </c>
      <c r="I1495">
        <v>11</v>
      </c>
      <c r="J1495" s="17">
        <v>0.66083916083916083</v>
      </c>
      <c r="K1495">
        <v>35</v>
      </c>
      <c r="L1495">
        <v>31</v>
      </c>
      <c r="M1495" s="17">
        <v>0.88571428571428568</v>
      </c>
      <c r="N1495" s="25">
        <v>10587.5</v>
      </c>
      <c r="O1495" s="25">
        <v>1701</v>
      </c>
      <c r="P1495" s="25">
        <v>5600</v>
      </c>
      <c r="Q1495" s="25">
        <v>17888.5</v>
      </c>
      <c r="R1495" s="18">
        <v>94.648148148148152</v>
      </c>
    </row>
    <row r="1496" spans="1:18" x14ac:dyDescent="0.35">
      <c r="A1496" s="13">
        <v>45024</v>
      </c>
      <c r="B1496">
        <v>2023</v>
      </c>
      <c r="C1496">
        <v>4</v>
      </c>
      <c r="D1496" t="s">
        <v>87</v>
      </c>
      <c r="E1496" t="s">
        <v>76</v>
      </c>
      <c r="F1496">
        <v>185</v>
      </c>
      <c r="G1496">
        <v>185</v>
      </c>
      <c r="H1496">
        <v>0</v>
      </c>
      <c r="I1496">
        <v>12</v>
      </c>
      <c r="J1496" s="17">
        <v>0.59294871794871795</v>
      </c>
      <c r="K1496">
        <v>35</v>
      </c>
      <c r="L1496">
        <v>33</v>
      </c>
      <c r="M1496" s="17">
        <v>0.94285714285714284</v>
      </c>
      <c r="N1496" s="25">
        <v>11550</v>
      </c>
      <c r="O1496" s="25">
        <v>1665</v>
      </c>
      <c r="P1496" s="25">
        <v>5600</v>
      </c>
      <c r="Q1496" s="25">
        <v>18815</v>
      </c>
      <c r="R1496" s="18">
        <v>101.70270270270269</v>
      </c>
    </row>
    <row r="1497" spans="1:18" x14ac:dyDescent="0.35">
      <c r="A1497" s="13">
        <v>45031</v>
      </c>
      <c r="B1497">
        <v>2023</v>
      </c>
      <c r="C1497">
        <v>4</v>
      </c>
      <c r="D1497" t="s">
        <v>87</v>
      </c>
      <c r="E1497" t="s">
        <v>76</v>
      </c>
      <c r="F1497">
        <v>191</v>
      </c>
      <c r="G1497">
        <v>191</v>
      </c>
      <c r="H1497">
        <v>0</v>
      </c>
      <c r="I1497">
        <v>12</v>
      </c>
      <c r="J1497" s="17">
        <v>0.61217948717948723</v>
      </c>
      <c r="K1497">
        <v>35</v>
      </c>
      <c r="L1497">
        <v>33</v>
      </c>
      <c r="M1497" s="17">
        <v>0.94285714285714284</v>
      </c>
      <c r="N1497" s="25">
        <v>11550</v>
      </c>
      <c r="O1497" s="25">
        <v>1719</v>
      </c>
      <c r="P1497" s="25">
        <v>5600</v>
      </c>
      <c r="Q1497" s="25">
        <v>18869</v>
      </c>
      <c r="R1497" s="18">
        <v>98.790575916230367</v>
      </c>
    </row>
    <row r="1498" spans="1:18" x14ac:dyDescent="0.35">
      <c r="A1498" s="13">
        <v>45038</v>
      </c>
      <c r="B1498">
        <v>2023</v>
      </c>
      <c r="C1498">
        <v>4</v>
      </c>
      <c r="D1498" t="s">
        <v>87</v>
      </c>
      <c r="E1498" t="s">
        <v>76</v>
      </c>
      <c r="F1498">
        <v>189</v>
      </c>
      <c r="G1498">
        <v>189</v>
      </c>
      <c r="H1498">
        <v>0</v>
      </c>
      <c r="I1498">
        <v>12</v>
      </c>
      <c r="J1498" s="17">
        <v>0.60576923076923073</v>
      </c>
      <c r="K1498">
        <v>35</v>
      </c>
      <c r="L1498">
        <v>34</v>
      </c>
      <c r="M1498" s="17">
        <v>0.97142857142857142</v>
      </c>
      <c r="N1498" s="25">
        <v>11550</v>
      </c>
      <c r="O1498" s="25">
        <v>1701</v>
      </c>
      <c r="P1498" s="25">
        <v>5600</v>
      </c>
      <c r="Q1498" s="25">
        <v>18851</v>
      </c>
      <c r="R1498" s="18">
        <v>99.740740740740748</v>
      </c>
    </row>
    <row r="1499" spans="1:18" x14ac:dyDescent="0.35">
      <c r="A1499" s="13">
        <v>45045</v>
      </c>
      <c r="B1499">
        <v>2023</v>
      </c>
      <c r="C1499">
        <v>4</v>
      </c>
      <c r="D1499" t="s">
        <v>87</v>
      </c>
      <c r="E1499" t="s">
        <v>76</v>
      </c>
      <c r="F1499">
        <v>194</v>
      </c>
      <c r="G1499">
        <v>194</v>
      </c>
      <c r="H1499">
        <v>0</v>
      </c>
      <c r="I1499">
        <v>12</v>
      </c>
      <c r="J1499" s="17">
        <v>0.62179487179487181</v>
      </c>
      <c r="K1499">
        <v>35</v>
      </c>
      <c r="L1499">
        <v>33</v>
      </c>
      <c r="M1499" s="17">
        <v>0.94285714285714284</v>
      </c>
      <c r="N1499" s="25">
        <v>11550</v>
      </c>
      <c r="O1499" s="25">
        <v>1746</v>
      </c>
      <c r="P1499" s="25">
        <v>5600</v>
      </c>
      <c r="Q1499" s="25">
        <v>18896</v>
      </c>
      <c r="R1499" s="18">
        <v>97.402061855670098</v>
      </c>
    </row>
    <row r="1500" spans="1:18" x14ac:dyDescent="0.35">
      <c r="A1500" s="13">
        <v>45052</v>
      </c>
      <c r="B1500">
        <v>2023</v>
      </c>
      <c r="C1500">
        <v>5</v>
      </c>
      <c r="D1500" t="s">
        <v>87</v>
      </c>
      <c r="E1500" t="s">
        <v>76</v>
      </c>
      <c r="F1500">
        <v>198</v>
      </c>
      <c r="G1500">
        <v>198</v>
      </c>
      <c r="H1500">
        <v>0</v>
      </c>
      <c r="I1500">
        <v>12</v>
      </c>
      <c r="J1500" s="17">
        <v>0.63461538461538458</v>
      </c>
      <c r="K1500">
        <v>35</v>
      </c>
      <c r="L1500">
        <v>32</v>
      </c>
      <c r="M1500" s="17">
        <v>0.91428571428571426</v>
      </c>
      <c r="N1500" s="25">
        <v>11550</v>
      </c>
      <c r="O1500" s="25">
        <v>1782</v>
      </c>
      <c r="P1500" s="25">
        <v>5600</v>
      </c>
      <c r="Q1500" s="25">
        <v>18932</v>
      </c>
      <c r="R1500" s="18">
        <v>95.616161616161619</v>
      </c>
    </row>
    <row r="1501" spans="1:18" x14ac:dyDescent="0.35">
      <c r="A1501" s="13">
        <v>45059</v>
      </c>
      <c r="B1501">
        <v>2023</v>
      </c>
      <c r="C1501">
        <v>5</v>
      </c>
      <c r="D1501" t="s">
        <v>87</v>
      </c>
      <c r="E1501" t="s">
        <v>76</v>
      </c>
      <c r="F1501">
        <v>195</v>
      </c>
      <c r="G1501">
        <v>195</v>
      </c>
      <c r="H1501">
        <v>0</v>
      </c>
      <c r="I1501">
        <v>12</v>
      </c>
      <c r="J1501" s="17">
        <v>0.625</v>
      </c>
      <c r="K1501">
        <v>35</v>
      </c>
      <c r="L1501">
        <v>31</v>
      </c>
      <c r="M1501" s="17">
        <v>0.88571428571428568</v>
      </c>
      <c r="N1501" s="25">
        <v>11550</v>
      </c>
      <c r="O1501" s="25">
        <v>1755</v>
      </c>
      <c r="P1501" s="25">
        <v>5600</v>
      </c>
      <c r="Q1501" s="25">
        <v>18905</v>
      </c>
      <c r="R1501" s="18">
        <v>96.948717948717942</v>
      </c>
    </row>
    <row r="1502" spans="1:18" x14ac:dyDescent="0.35">
      <c r="A1502" s="13">
        <v>45066</v>
      </c>
      <c r="B1502">
        <v>2023</v>
      </c>
      <c r="C1502">
        <v>5</v>
      </c>
      <c r="D1502" t="s">
        <v>87</v>
      </c>
      <c r="E1502" t="s">
        <v>76</v>
      </c>
      <c r="F1502">
        <v>203</v>
      </c>
      <c r="G1502">
        <v>203</v>
      </c>
      <c r="H1502">
        <v>0</v>
      </c>
      <c r="I1502">
        <v>12</v>
      </c>
      <c r="J1502" s="17">
        <v>0.65064102564102566</v>
      </c>
      <c r="K1502">
        <v>35</v>
      </c>
      <c r="L1502">
        <v>35</v>
      </c>
      <c r="M1502" s="17">
        <v>1</v>
      </c>
      <c r="N1502" s="25">
        <v>11550</v>
      </c>
      <c r="O1502" s="25">
        <v>1827</v>
      </c>
      <c r="P1502" s="25">
        <v>5600</v>
      </c>
      <c r="Q1502" s="25">
        <v>18977</v>
      </c>
      <c r="R1502" s="18">
        <v>93.482758620689651</v>
      </c>
    </row>
    <row r="1503" spans="1:18" x14ac:dyDescent="0.35">
      <c r="A1503" s="13">
        <v>45073</v>
      </c>
      <c r="B1503">
        <v>2023</v>
      </c>
      <c r="C1503">
        <v>5</v>
      </c>
      <c r="D1503" t="s">
        <v>87</v>
      </c>
      <c r="E1503" t="s">
        <v>76</v>
      </c>
      <c r="F1503">
        <v>186</v>
      </c>
      <c r="G1503">
        <v>186</v>
      </c>
      <c r="H1503">
        <v>0</v>
      </c>
      <c r="I1503">
        <v>12</v>
      </c>
      <c r="J1503" s="17">
        <v>0.59615384615384615</v>
      </c>
      <c r="K1503">
        <v>35</v>
      </c>
      <c r="L1503">
        <v>33</v>
      </c>
      <c r="M1503" s="17">
        <v>0.94285714285714284</v>
      </c>
      <c r="N1503" s="25">
        <v>11550</v>
      </c>
      <c r="O1503" s="25">
        <v>1674</v>
      </c>
      <c r="P1503" s="25">
        <v>5600</v>
      </c>
      <c r="Q1503" s="25">
        <v>18824</v>
      </c>
      <c r="R1503" s="18">
        <v>101.2043010752688</v>
      </c>
    </row>
    <row r="1504" spans="1:18" x14ac:dyDescent="0.35">
      <c r="A1504" s="13">
        <v>45080</v>
      </c>
      <c r="B1504">
        <v>2023</v>
      </c>
      <c r="C1504">
        <v>6</v>
      </c>
      <c r="D1504" t="s">
        <v>87</v>
      </c>
      <c r="E1504" t="s">
        <v>76</v>
      </c>
      <c r="F1504">
        <v>186</v>
      </c>
      <c r="G1504">
        <v>186</v>
      </c>
      <c r="H1504">
        <v>0</v>
      </c>
      <c r="I1504">
        <v>12</v>
      </c>
      <c r="J1504" s="17">
        <v>0.59615384615384615</v>
      </c>
      <c r="K1504">
        <v>35</v>
      </c>
      <c r="L1504">
        <v>35</v>
      </c>
      <c r="M1504" s="17">
        <v>1</v>
      </c>
      <c r="N1504" s="25">
        <v>11550</v>
      </c>
      <c r="O1504" s="25">
        <v>1674</v>
      </c>
      <c r="P1504" s="25">
        <v>5600</v>
      </c>
      <c r="Q1504" s="25">
        <v>18824</v>
      </c>
      <c r="R1504" s="18">
        <v>101.2043010752688</v>
      </c>
    </row>
    <row r="1505" spans="1:18" x14ac:dyDescent="0.35">
      <c r="A1505" s="13">
        <v>45087</v>
      </c>
      <c r="B1505">
        <v>2023</v>
      </c>
      <c r="C1505">
        <v>6</v>
      </c>
      <c r="D1505" t="s">
        <v>87</v>
      </c>
      <c r="E1505" t="s">
        <v>76</v>
      </c>
      <c r="F1505">
        <v>183</v>
      </c>
      <c r="G1505">
        <v>183</v>
      </c>
      <c r="H1505">
        <v>0</v>
      </c>
      <c r="I1505">
        <v>12</v>
      </c>
      <c r="J1505" s="17">
        <v>0.58653846153846156</v>
      </c>
      <c r="K1505">
        <v>35</v>
      </c>
      <c r="L1505">
        <v>34</v>
      </c>
      <c r="M1505" s="17">
        <v>0.97142857142857142</v>
      </c>
      <c r="N1505" s="25">
        <v>11550</v>
      </c>
      <c r="O1505" s="25">
        <v>1647</v>
      </c>
      <c r="P1505" s="25">
        <v>5600</v>
      </c>
      <c r="Q1505" s="25">
        <v>18797</v>
      </c>
      <c r="R1505" s="18">
        <v>102.7158469945355</v>
      </c>
    </row>
    <row r="1506" spans="1:18" x14ac:dyDescent="0.35">
      <c r="A1506" s="13">
        <v>45094</v>
      </c>
      <c r="B1506">
        <v>2023</v>
      </c>
      <c r="C1506">
        <v>6</v>
      </c>
      <c r="D1506" t="s">
        <v>87</v>
      </c>
      <c r="E1506" t="s">
        <v>76</v>
      </c>
      <c r="F1506">
        <v>186</v>
      </c>
      <c r="G1506">
        <v>186</v>
      </c>
      <c r="H1506">
        <v>0</v>
      </c>
      <c r="I1506">
        <v>11</v>
      </c>
      <c r="J1506" s="17">
        <v>0.65034965034965031</v>
      </c>
      <c r="K1506">
        <v>35</v>
      </c>
      <c r="L1506">
        <v>35</v>
      </c>
      <c r="M1506" s="17">
        <v>1</v>
      </c>
      <c r="N1506" s="25">
        <v>10587.5</v>
      </c>
      <c r="O1506" s="25">
        <v>1674</v>
      </c>
      <c r="P1506" s="25">
        <v>5600</v>
      </c>
      <c r="Q1506" s="25">
        <v>17861.5</v>
      </c>
      <c r="R1506" s="18">
        <v>96.02956989247312</v>
      </c>
    </row>
    <row r="1507" spans="1:18" x14ac:dyDescent="0.35">
      <c r="A1507" s="13">
        <v>45101</v>
      </c>
      <c r="B1507">
        <v>2023</v>
      </c>
      <c r="C1507">
        <v>6</v>
      </c>
      <c r="D1507" t="s">
        <v>87</v>
      </c>
      <c r="E1507" t="s">
        <v>76</v>
      </c>
      <c r="F1507">
        <v>183</v>
      </c>
      <c r="G1507">
        <v>183</v>
      </c>
      <c r="H1507">
        <v>0</v>
      </c>
      <c r="I1507">
        <v>12</v>
      </c>
      <c r="J1507" s="17">
        <v>0.58653846153846156</v>
      </c>
      <c r="K1507">
        <v>35</v>
      </c>
      <c r="L1507">
        <v>30</v>
      </c>
      <c r="M1507" s="17">
        <v>0.8571428571428571</v>
      </c>
      <c r="N1507" s="25">
        <v>11550</v>
      </c>
      <c r="O1507" s="25">
        <v>1647</v>
      </c>
      <c r="P1507" s="25">
        <v>5600</v>
      </c>
      <c r="Q1507" s="25">
        <v>18797</v>
      </c>
      <c r="R1507" s="18">
        <v>102.7158469945355</v>
      </c>
    </row>
    <row r="1508" spans="1:18" x14ac:dyDescent="0.35">
      <c r="A1508" s="13">
        <v>45108</v>
      </c>
      <c r="B1508">
        <v>2023</v>
      </c>
      <c r="C1508">
        <v>7</v>
      </c>
      <c r="D1508" t="s">
        <v>87</v>
      </c>
      <c r="E1508" t="s">
        <v>76</v>
      </c>
      <c r="F1508">
        <v>181</v>
      </c>
      <c r="G1508">
        <v>181</v>
      </c>
      <c r="H1508">
        <v>0</v>
      </c>
      <c r="I1508">
        <v>11</v>
      </c>
      <c r="J1508" s="17">
        <v>0.63286713286713292</v>
      </c>
      <c r="K1508">
        <v>35</v>
      </c>
      <c r="L1508">
        <v>31</v>
      </c>
      <c r="M1508" s="17">
        <v>0.88571428571428568</v>
      </c>
      <c r="N1508" s="25">
        <v>10587.5</v>
      </c>
      <c r="O1508" s="25">
        <v>1629</v>
      </c>
      <c r="P1508" s="25">
        <v>5600</v>
      </c>
      <c r="Q1508" s="25">
        <v>17816.5</v>
      </c>
      <c r="R1508" s="18">
        <v>98.43370165745857</v>
      </c>
    </row>
    <row r="1509" spans="1:18" x14ac:dyDescent="0.35">
      <c r="A1509" s="13">
        <v>45115</v>
      </c>
      <c r="B1509">
        <v>2023</v>
      </c>
      <c r="C1509">
        <v>7</v>
      </c>
      <c r="D1509" t="s">
        <v>87</v>
      </c>
      <c r="E1509" t="s">
        <v>76</v>
      </c>
      <c r="F1509">
        <v>187</v>
      </c>
      <c r="G1509">
        <v>187</v>
      </c>
      <c r="H1509">
        <v>0</v>
      </c>
      <c r="I1509">
        <v>12</v>
      </c>
      <c r="J1509" s="17">
        <v>0.59935897435897434</v>
      </c>
      <c r="K1509">
        <v>35</v>
      </c>
      <c r="L1509">
        <v>34</v>
      </c>
      <c r="M1509" s="17">
        <v>0.97142857142857142</v>
      </c>
      <c r="N1509" s="25">
        <v>11550</v>
      </c>
      <c r="O1509" s="25">
        <v>1683</v>
      </c>
      <c r="P1509" s="25">
        <v>5600</v>
      </c>
      <c r="Q1509" s="25">
        <v>18833</v>
      </c>
      <c r="R1509" s="18">
        <v>100.7112299465241</v>
      </c>
    </row>
    <row r="1510" spans="1:18" x14ac:dyDescent="0.35">
      <c r="A1510" s="13">
        <v>45122</v>
      </c>
      <c r="B1510">
        <v>2023</v>
      </c>
      <c r="C1510">
        <v>7</v>
      </c>
      <c r="D1510" t="s">
        <v>87</v>
      </c>
      <c r="E1510" t="s">
        <v>76</v>
      </c>
      <c r="F1510">
        <v>196</v>
      </c>
      <c r="G1510">
        <v>196</v>
      </c>
      <c r="H1510">
        <v>0</v>
      </c>
      <c r="I1510">
        <v>12</v>
      </c>
      <c r="J1510" s="17">
        <v>0.62820512820512819</v>
      </c>
      <c r="K1510">
        <v>35</v>
      </c>
      <c r="L1510">
        <v>34</v>
      </c>
      <c r="M1510" s="17">
        <v>0.97142857142857142</v>
      </c>
      <c r="N1510" s="25">
        <v>11550</v>
      </c>
      <c r="O1510" s="25">
        <v>1764</v>
      </c>
      <c r="P1510" s="25">
        <v>5600</v>
      </c>
      <c r="Q1510" s="25">
        <v>18914</v>
      </c>
      <c r="R1510" s="18">
        <v>96.5</v>
      </c>
    </row>
    <row r="1511" spans="1:18" x14ac:dyDescent="0.35">
      <c r="A1511" s="13">
        <v>45129</v>
      </c>
      <c r="B1511">
        <v>2023</v>
      </c>
      <c r="C1511">
        <v>7</v>
      </c>
      <c r="D1511" t="s">
        <v>87</v>
      </c>
      <c r="E1511" t="s">
        <v>76</v>
      </c>
      <c r="F1511">
        <v>194</v>
      </c>
      <c r="G1511">
        <v>194</v>
      </c>
      <c r="H1511">
        <v>0</v>
      </c>
      <c r="I1511">
        <v>12</v>
      </c>
      <c r="J1511" s="17">
        <v>0.62179487179487181</v>
      </c>
      <c r="K1511">
        <v>35</v>
      </c>
      <c r="L1511">
        <v>34</v>
      </c>
      <c r="M1511" s="17">
        <v>0.97142857142857142</v>
      </c>
      <c r="N1511" s="25">
        <v>11550</v>
      </c>
      <c r="O1511" s="25">
        <v>1746</v>
      </c>
      <c r="P1511" s="25">
        <v>5600</v>
      </c>
      <c r="Q1511" s="25">
        <v>18896</v>
      </c>
      <c r="R1511" s="18">
        <v>97.402061855670098</v>
      </c>
    </row>
    <row r="1512" spans="1:18" x14ac:dyDescent="0.35">
      <c r="A1512" s="13">
        <v>45136</v>
      </c>
      <c r="B1512">
        <v>2023</v>
      </c>
      <c r="C1512">
        <v>7</v>
      </c>
      <c r="D1512" t="s">
        <v>87</v>
      </c>
      <c r="E1512" t="s">
        <v>76</v>
      </c>
      <c r="F1512">
        <v>190</v>
      </c>
      <c r="G1512">
        <v>190</v>
      </c>
      <c r="H1512">
        <v>0</v>
      </c>
      <c r="I1512">
        <v>11</v>
      </c>
      <c r="J1512" s="17">
        <v>0.66433566433566438</v>
      </c>
      <c r="K1512">
        <v>35</v>
      </c>
      <c r="L1512">
        <v>34</v>
      </c>
      <c r="M1512" s="17">
        <v>0.97142857142857142</v>
      </c>
      <c r="N1512" s="25">
        <v>10587.5</v>
      </c>
      <c r="O1512" s="25">
        <v>1710</v>
      </c>
      <c r="P1512" s="25">
        <v>5600</v>
      </c>
      <c r="Q1512" s="25">
        <v>17897.5</v>
      </c>
      <c r="R1512" s="18">
        <v>94.19736842105263</v>
      </c>
    </row>
    <row r="1513" spans="1:18" x14ac:dyDescent="0.35">
      <c r="A1513" s="13">
        <v>45143</v>
      </c>
      <c r="B1513">
        <v>2023</v>
      </c>
      <c r="C1513">
        <v>8</v>
      </c>
      <c r="D1513" t="s">
        <v>87</v>
      </c>
      <c r="E1513" t="s">
        <v>76</v>
      </c>
      <c r="F1513">
        <v>197</v>
      </c>
      <c r="G1513">
        <v>197</v>
      </c>
      <c r="H1513">
        <v>0</v>
      </c>
      <c r="I1513">
        <v>12</v>
      </c>
      <c r="J1513" s="17">
        <v>0.63141025641025639</v>
      </c>
      <c r="K1513">
        <v>35</v>
      </c>
      <c r="L1513">
        <v>31</v>
      </c>
      <c r="M1513" s="17">
        <v>0.88571428571428568</v>
      </c>
      <c r="N1513" s="25">
        <v>11550</v>
      </c>
      <c r="O1513" s="25">
        <v>1773</v>
      </c>
      <c r="P1513" s="25">
        <v>5600</v>
      </c>
      <c r="Q1513" s="25">
        <v>18923</v>
      </c>
      <c r="R1513" s="18">
        <v>96.055837563451774</v>
      </c>
    </row>
    <row r="1514" spans="1:18" x14ac:dyDescent="0.35">
      <c r="A1514" s="13">
        <v>45150</v>
      </c>
      <c r="B1514">
        <v>2023</v>
      </c>
      <c r="C1514">
        <v>8</v>
      </c>
      <c r="D1514" t="s">
        <v>87</v>
      </c>
      <c r="E1514" t="s">
        <v>76</v>
      </c>
      <c r="F1514">
        <v>202</v>
      </c>
      <c r="G1514">
        <v>202</v>
      </c>
      <c r="H1514">
        <v>0</v>
      </c>
      <c r="I1514">
        <v>12</v>
      </c>
      <c r="J1514" s="17">
        <v>0.64743589743589747</v>
      </c>
      <c r="K1514">
        <v>35</v>
      </c>
      <c r="L1514">
        <v>32</v>
      </c>
      <c r="M1514" s="17">
        <v>0.91428571428571426</v>
      </c>
      <c r="N1514" s="25">
        <v>11550</v>
      </c>
      <c r="O1514" s="25">
        <v>1818</v>
      </c>
      <c r="P1514" s="25">
        <v>5600</v>
      </c>
      <c r="Q1514" s="25">
        <v>18968</v>
      </c>
      <c r="R1514" s="18">
        <v>93.900990099009903</v>
      </c>
    </row>
    <row r="1515" spans="1:18" x14ac:dyDescent="0.35">
      <c r="A1515" s="13">
        <v>45157</v>
      </c>
      <c r="B1515">
        <v>2023</v>
      </c>
      <c r="C1515">
        <v>8</v>
      </c>
      <c r="D1515" t="s">
        <v>87</v>
      </c>
      <c r="E1515" t="s">
        <v>76</v>
      </c>
      <c r="F1515">
        <v>193</v>
      </c>
      <c r="G1515">
        <v>193</v>
      </c>
      <c r="H1515">
        <v>0</v>
      </c>
      <c r="I1515">
        <v>12</v>
      </c>
      <c r="J1515" s="17">
        <v>0.61858974358974361</v>
      </c>
      <c r="K1515">
        <v>35</v>
      </c>
      <c r="L1515">
        <v>31</v>
      </c>
      <c r="M1515" s="17">
        <v>0.88571428571428568</v>
      </c>
      <c r="N1515" s="25">
        <v>11550</v>
      </c>
      <c r="O1515" s="25">
        <v>1737</v>
      </c>
      <c r="P1515" s="25">
        <v>5600</v>
      </c>
      <c r="Q1515" s="25">
        <v>18887</v>
      </c>
      <c r="R1515" s="18">
        <v>97.860103626943001</v>
      </c>
    </row>
    <row r="1516" spans="1:18" x14ac:dyDescent="0.35">
      <c r="A1516" s="13">
        <v>45164</v>
      </c>
      <c r="B1516">
        <v>2023</v>
      </c>
      <c r="C1516">
        <v>8</v>
      </c>
      <c r="D1516" t="s">
        <v>87</v>
      </c>
      <c r="E1516" t="s">
        <v>76</v>
      </c>
      <c r="F1516">
        <v>192</v>
      </c>
      <c r="G1516">
        <v>192</v>
      </c>
      <c r="H1516">
        <v>0</v>
      </c>
      <c r="I1516">
        <v>12</v>
      </c>
      <c r="J1516" s="17">
        <v>0.61538461538461542</v>
      </c>
      <c r="K1516">
        <v>35</v>
      </c>
      <c r="L1516">
        <v>35</v>
      </c>
      <c r="M1516" s="17">
        <v>1</v>
      </c>
      <c r="N1516" s="25">
        <v>11550</v>
      </c>
      <c r="O1516" s="25">
        <v>1728</v>
      </c>
      <c r="P1516" s="25">
        <v>5600</v>
      </c>
      <c r="Q1516" s="25">
        <v>18878</v>
      </c>
      <c r="R1516" s="18">
        <v>98.322916666666671</v>
      </c>
    </row>
    <row r="1517" spans="1:18" x14ac:dyDescent="0.35">
      <c r="A1517" s="13">
        <v>45171</v>
      </c>
      <c r="B1517">
        <v>2023</v>
      </c>
      <c r="C1517">
        <v>9</v>
      </c>
      <c r="D1517" t="s">
        <v>87</v>
      </c>
      <c r="E1517" t="s">
        <v>76</v>
      </c>
      <c r="F1517">
        <v>182</v>
      </c>
      <c r="G1517">
        <v>182</v>
      </c>
      <c r="H1517">
        <v>0</v>
      </c>
      <c r="I1517">
        <v>11</v>
      </c>
      <c r="J1517" s="17">
        <v>0.63636363636363635</v>
      </c>
      <c r="K1517">
        <v>35</v>
      </c>
      <c r="L1517">
        <v>31</v>
      </c>
      <c r="M1517" s="17">
        <v>0.88571428571428568</v>
      </c>
      <c r="N1517" s="25">
        <v>10587.5</v>
      </c>
      <c r="O1517" s="25">
        <v>1638</v>
      </c>
      <c r="P1517" s="25">
        <v>5600</v>
      </c>
      <c r="Q1517" s="25">
        <v>17825.5</v>
      </c>
      <c r="R1517" s="18">
        <v>97.942307692307693</v>
      </c>
    </row>
    <row r="1518" spans="1:18" x14ac:dyDescent="0.35">
      <c r="A1518" s="13">
        <v>45178</v>
      </c>
      <c r="B1518">
        <v>2023</v>
      </c>
      <c r="C1518">
        <v>9</v>
      </c>
      <c r="D1518" t="s">
        <v>87</v>
      </c>
      <c r="E1518" t="s">
        <v>76</v>
      </c>
      <c r="F1518">
        <v>185</v>
      </c>
      <c r="G1518">
        <v>185</v>
      </c>
      <c r="H1518">
        <v>0</v>
      </c>
      <c r="I1518">
        <v>11</v>
      </c>
      <c r="J1518" s="17">
        <v>0.64685314685314688</v>
      </c>
      <c r="K1518">
        <v>35</v>
      </c>
      <c r="L1518">
        <v>27</v>
      </c>
      <c r="M1518" s="17">
        <v>0.77142857142857146</v>
      </c>
      <c r="N1518" s="25">
        <v>10587.5</v>
      </c>
      <c r="O1518" s="25">
        <v>1665</v>
      </c>
      <c r="P1518" s="25">
        <v>5600</v>
      </c>
      <c r="Q1518" s="25">
        <v>17852.5</v>
      </c>
      <c r="R1518" s="18">
        <v>96.5</v>
      </c>
    </row>
    <row r="1519" spans="1:18" x14ac:dyDescent="0.35">
      <c r="A1519" s="13">
        <v>45185</v>
      </c>
      <c r="B1519">
        <v>2023</v>
      </c>
      <c r="C1519">
        <v>9</v>
      </c>
      <c r="D1519" t="s">
        <v>87</v>
      </c>
      <c r="E1519" t="s">
        <v>76</v>
      </c>
      <c r="F1519">
        <v>182</v>
      </c>
      <c r="G1519">
        <v>182</v>
      </c>
      <c r="H1519">
        <v>0</v>
      </c>
      <c r="I1519">
        <v>12</v>
      </c>
      <c r="J1519" s="17">
        <v>0.58333333333333337</v>
      </c>
      <c r="K1519">
        <v>35</v>
      </c>
      <c r="L1519">
        <v>34</v>
      </c>
      <c r="M1519" s="17">
        <v>0.97142857142857142</v>
      </c>
      <c r="N1519" s="25">
        <v>11550</v>
      </c>
      <c r="O1519" s="25">
        <v>1638</v>
      </c>
      <c r="P1519" s="25">
        <v>5600</v>
      </c>
      <c r="Q1519" s="25">
        <v>18788</v>
      </c>
      <c r="R1519" s="18">
        <v>103.2307692307692</v>
      </c>
    </row>
    <row r="1520" spans="1:18" x14ac:dyDescent="0.35">
      <c r="A1520" s="13">
        <v>45192</v>
      </c>
      <c r="B1520">
        <v>2023</v>
      </c>
      <c r="C1520">
        <v>9</v>
      </c>
      <c r="D1520" t="s">
        <v>87</v>
      </c>
      <c r="E1520" t="s">
        <v>76</v>
      </c>
      <c r="F1520">
        <v>180</v>
      </c>
      <c r="G1520">
        <v>180</v>
      </c>
      <c r="H1520">
        <v>0</v>
      </c>
      <c r="I1520">
        <v>11</v>
      </c>
      <c r="J1520" s="17">
        <v>0.62937062937062938</v>
      </c>
      <c r="K1520">
        <v>35</v>
      </c>
      <c r="L1520">
        <v>32</v>
      </c>
      <c r="M1520" s="17">
        <v>0.91428571428571426</v>
      </c>
      <c r="N1520" s="25">
        <v>10587.5</v>
      </c>
      <c r="O1520" s="25">
        <v>1620</v>
      </c>
      <c r="P1520" s="25">
        <v>5600</v>
      </c>
      <c r="Q1520" s="25">
        <v>17807.5</v>
      </c>
      <c r="R1520" s="18">
        <v>98.930555555555557</v>
      </c>
    </row>
    <row r="1521" spans="1:18" x14ac:dyDescent="0.35">
      <c r="A1521" s="13">
        <v>45199</v>
      </c>
      <c r="B1521">
        <v>2023</v>
      </c>
      <c r="C1521">
        <v>9</v>
      </c>
      <c r="D1521" t="s">
        <v>87</v>
      </c>
      <c r="E1521" t="s">
        <v>76</v>
      </c>
      <c r="F1521">
        <v>173</v>
      </c>
      <c r="G1521">
        <v>173</v>
      </c>
      <c r="H1521">
        <v>0</v>
      </c>
      <c r="I1521">
        <v>11</v>
      </c>
      <c r="J1521" s="17">
        <v>0.6048951048951049</v>
      </c>
      <c r="K1521">
        <v>35</v>
      </c>
      <c r="L1521">
        <v>32</v>
      </c>
      <c r="M1521" s="17">
        <v>0.91428571428571426</v>
      </c>
      <c r="N1521" s="25">
        <v>10587.5</v>
      </c>
      <c r="O1521" s="25">
        <v>1557</v>
      </c>
      <c r="P1521" s="25">
        <v>5600</v>
      </c>
      <c r="Q1521" s="25">
        <v>17744.5</v>
      </c>
      <c r="R1521" s="18">
        <v>102.56936416184971</v>
      </c>
    </row>
    <row r="1522" spans="1:18" x14ac:dyDescent="0.35">
      <c r="A1522" s="13">
        <v>45206</v>
      </c>
      <c r="B1522">
        <v>2023</v>
      </c>
      <c r="C1522">
        <v>10</v>
      </c>
      <c r="D1522" t="s">
        <v>87</v>
      </c>
      <c r="E1522" t="s">
        <v>76</v>
      </c>
      <c r="F1522">
        <v>181</v>
      </c>
      <c r="G1522">
        <v>181</v>
      </c>
      <c r="H1522">
        <v>0</v>
      </c>
      <c r="I1522">
        <v>11</v>
      </c>
      <c r="J1522" s="17">
        <v>0.63286713286713292</v>
      </c>
      <c r="K1522">
        <v>35</v>
      </c>
      <c r="L1522">
        <v>29</v>
      </c>
      <c r="M1522" s="17">
        <v>0.82857142857142863</v>
      </c>
      <c r="N1522" s="25">
        <v>10587.5</v>
      </c>
      <c r="O1522" s="25">
        <v>1629</v>
      </c>
      <c r="P1522" s="25">
        <v>5600</v>
      </c>
      <c r="Q1522" s="25">
        <v>17816.5</v>
      </c>
      <c r="R1522" s="18">
        <v>98.43370165745857</v>
      </c>
    </row>
    <row r="1523" spans="1:18" x14ac:dyDescent="0.35">
      <c r="A1523" s="13">
        <v>45213</v>
      </c>
      <c r="B1523">
        <v>2023</v>
      </c>
      <c r="C1523">
        <v>10</v>
      </c>
      <c r="D1523" t="s">
        <v>87</v>
      </c>
      <c r="E1523" t="s">
        <v>76</v>
      </c>
      <c r="F1523">
        <v>192</v>
      </c>
      <c r="G1523">
        <v>192</v>
      </c>
      <c r="H1523">
        <v>0</v>
      </c>
      <c r="I1523">
        <v>11</v>
      </c>
      <c r="J1523" s="17">
        <v>0.67132867132867136</v>
      </c>
      <c r="K1523">
        <v>35</v>
      </c>
      <c r="L1523">
        <v>33</v>
      </c>
      <c r="M1523" s="17">
        <v>0.94285714285714284</v>
      </c>
      <c r="N1523" s="25">
        <v>10587.5</v>
      </c>
      <c r="O1523" s="25">
        <v>1728</v>
      </c>
      <c r="P1523" s="25">
        <v>5600</v>
      </c>
      <c r="Q1523" s="25">
        <v>17915.5</v>
      </c>
      <c r="R1523" s="18">
        <v>93.309895833333329</v>
      </c>
    </row>
    <row r="1524" spans="1:18" x14ac:dyDescent="0.35">
      <c r="A1524" s="13">
        <v>45220</v>
      </c>
      <c r="B1524">
        <v>2023</v>
      </c>
      <c r="C1524">
        <v>10</v>
      </c>
      <c r="D1524" t="s">
        <v>87</v>
      </c>
      <c r="E1524" t="s">
        <v>76</v>
      </c>
      <c r="F1524">
        <v>186</v>
      </c>
      <c r="G1524">
        <v>186</v>
      </c>
      <c r="H1524">
        <v>0</v>
      </c>
      <c r="I1524">
        <v>11</v>
      </c>
      <c r="J1524" s="17">
        <v>0.65034965034965031</v>
      </c>
      <c r="K1524">
        <v>35</v>
      </c>
      <c r="L1524">
        <v>31</v>
      </c>
      <c r="M1524" s="17">
        <v>0.88571428571428568</v>
      </c>
      <c r="N1524" s="25">
        <v>10587.5</v>
      </c>
      <c r="O1524" s="25">
        <v>1674</v>
      </c>
      <c r="P1524" s="25">
        <v>5600</v>
      </c>
      <c r="Q1524" s="25">
        <v>17861.5</v>
      </c>
      <c r="R1524" s="18">
        <v>96.02956989247312</v>
      </c>
    </row>
    <row r="1525" spans="1:18" x14ac:dyDescent="0.35">
      <c r="A1525" s="13">
        <v>45227</v>
      </c>
      <c r="B1525">
        <v>2023</v>
      </c>
      <c r="C1525">
        <v>10</v>
      </c>
      <c r="D1525" t="s">
        <v>87</v>
      </c>
      <c r="E1525" t="s">
        <v>76</v>
      </c>
      <c r="F1525">
        <v>205</v>
      </c>
      <c r="G1525">
        <v>205</v>
      </c>
      <c r="H1525">
        <v>0</v>
      </c>
      <c r="I1525">
        <v>12</v>
      </c>
      <c r="J1525" s="17">
        <v>0.65705128205128205</v>
      </c>
      <c r="K1525">
        <v>35</v>
      </c>
      <c r="L1525">
        <v>33</v>
      </c>
      <c r="M1525" s="17">
        <v>0.94285714285714284</v>
      </c>
      <c r="N1525" s="25">
        <v>11550</v>
      </c>
      <c r="O1525" s="25">
        <v>1845</v>
      </c>
      <c r="P1525" s="25">
        <v>5600</v>
      </c>
      <c r="Q1525" s="25">
        <v>18995</v>
      </c>
      <c r="R1525" s="18">
        <v>92.658536585365852</v>
      </c>
    </row>
    <row r="1526" spans="1:18" x14ac:dyDescent="0.35">
      <c r="A1526" s="13">
        <v>45234</v>
      </c>
      <c r="B1526">
        <v>2023</v>
      </c>
      <c r="C1526">
        <v>11</v>
      </c>
      <c r="D1526" t="s">
        <v>87</v>
      </c>
      <c r="E1526" t="s">
        <v>76</v>
      </c>
      <c r="F1526">
        <v>208</v>
      </c>
      <c r="G1526">
        <v>208</v>
      </c>
      <c r="H1526">
        <v>0</v>
      </c>
      <c r="I1526">
        <v>12</v>
      </c>
      <c r="J1526" s="17">
        <v>0.66666666666666663</v>
      </c>
      <c r="K1526">
        <v>35</v>
      </c>
      <c r="L1526">
        <v>31</v>
      </c>
      <c r="M1526" s="17">
        <v>0.88571428571428568</v>
      </c>
      <c r="N1526" s="25">
        <v>11550</v>
      </c>
      <c r="O1526" s="25">
        <v>1872</v>
      </c>
      <c r="P1526" s="25">
        <v>5600</v>
      </c>
      <c r="Q1526" s="25">
        <v>19022</v>
      </c>
      <c r="R1526" s="18">
        <v>91.45192307692308</v>
      </c>
    </row>
    <row r="1527" spans="1:18" x14ac:dyDescent="0.35">
      <c r="A1527" s="13">
        <v>45241</v>
      </c>
      <c r="B1527">
        <v>2023</v>
      </c>
      <c r="C1527">
        <v>11</v>
      </c>
      <c r="D1527" t="s">
        <v>87</v>
      </c>
      <c r="E1527" t="s">
        <v>76</v>
      </c>
      <c r="F1527">
        <v>218</v>
      </c>
      <c r="G1527">
        <v>218</v>
      </c>
      <c r="H1527">
        <v>0</v>
      </c>
      <c r="I1527">
        <v>12</v>
      </c>
      <c r="J1527" s="17">
        <v>0.69871794871794868</v>
      </c>
      <c r="K1527">
        <v>35</v>
      </c>
      <c r="L1527">
        <v>34</v>
      </c>
      <c r="M1527" s="17">
        <v>0.97142857142857142</v>
      </c>
      <c r="N1527" s="25">
        <v>11550</v>
      </c>
      <c r="O1527" s="25">
        <v>1962</v>
      </c>
      <c r="P1527" s="25">
        <v>5600</v>
      </c>
      <c r="Q1527" s="25">
        <v>19112</v>
      </c>
      <c r="R1527" s="18">
        <v>87.669724770642205</v>
      </c>
    </row>
    <row r="1528" spans="1:18" x14ac:dyDescent="0.35">
      <c r="A1528" s="13">
        <v>45248</v>
      </c>
      <c r="B1528">
        <v>2023</v>
      </c>
      <c r="C1528">
        <v>11</v>
      </c>
      <c r="D1528" t="s">
        <v>87</v>
      </c>
      <c r="E1528" t="s">
        <v>76</v>
      </c>
      <c r="F1528">
        <v>241</v>
      </c>
      <c r="G1528">
        <v>241</v>
      </c>
      <c r="H1528">
        <v>0</v>
      </c>
      <c r="I1528">
        <v>12</v>
      </c>
      <c r="J1528" s="17">
        <v>0.77243589743589747</v>
      </c>
      <c r="K1528">
        <v>35</v>
      </c>
      <c r="L1528">
        <v>31</v>
      </c>
      <c r="M1528" s="17">
        <v>0.88571428571428568</v>
      </c>
      <c r="N1528" s="25">
        <v>11550</v>
      </c>
      <c r="O1528" s="25">
        <v>2169</v>
      </c>
      <c r="P1528" s="25">
        <v>5600</v>
      </c>
      <c r="Q1528" s="25">
        <v>19319</v>
      </c>
      <c r="R1528" s="18">
        <v>80.161825726141075</v>
      </c>
    </row>
    <row r="1529" spans="1:18" x14ac:dyDescent="0.35">
      <c r="A1529" s="13">
        <v>45255</v>
      </c>
      <c r="B1529">
        <v>2023</v>
      </c>
      <c r="C1529">
        <v>11</v>
      </c>
      <c r="D1529" t="s">
        <v>87</v>
      </c>
      <c r="E1529" t="s">
        <v>76</v>
      </c>
      <c r="F1529">
        <v>263</v>
      </c>
      <c r="G1529">
        <v>254</v>
      </c>
      <c r="H1529">
        <v>9</v>
      </c>
      <c r="I1529">
        <v>12</v>
      </c>
      <c r="J1529" s="17">
        <v>0.8141025641025641</v>
      </c>
      <c r="K1529">
        <v>35</v>
      </c>
      <c r="L1529">
        <v>34</v>
      </c>
      <c r="M1529" s="17">
        <v>0.97142857142857142</v>
      </c>
      <c r="N1529" s="25">
        <v>11550</v>
      </c>
      <c r="O1529" s="25">
        <v>2286</v>
      </c>
      <c r="P1529" s="25">
        <v>5600</v>
      </c>
      <c r="Q1529" s="25">
        <v>19436</v>
      </c>
      <c r="R1529" s="18">
        <v>76.519685039370074</v>
      </c>
    </row>
    <row r="1530" spans="1:18" x14ac:dyDescent="0.35">
      <c r="A1530" s="13">
        <v>45262</v>
      </c>
      <c r="B1530">
        <v>2023</v>
      </c>
      <c r="C1530">
        <v>12</v>
      </c>
      <c r="D1530" t="s">
        <v>87</v>
      </c>
      <c r="E1530" t="s">
        <v>76</v>
      </c>
      <c r="F1530">
        <v>274</v>
      </c>
      <c r="G1530">
        <v>263</v>
      </c>
      <c r="H1530">
        <v>20</v>
      </c>
      <c r="I1530">
        <v>12</v>
      </c>
      <c r="J1530" s="17">
        <v>0.84294871794871795</v>
      </c>
      <c r="K1530">
        <v>35</v>
      </c>
      <c r="L1530">
        <v>30</v>
      </c>
      <c r="M1530" s="17">
        <v>0.8571428571428571</v>
      </c>
      <c r="N1530" s="25">
        <v>11550</v>
      </c>
      <c r="O1530" s="25">
        <v>2367</v>
      </c>
      <c r="P1530" s="25">
        <v>5600</v>
      </c>
      <c r="Q1530" s="25">
        <v>19517</v>
      </c>
      <c r="R1530" s="18">
        <v>74.209125475285177</v>
      </c>
    </row>
    <row r="1531" spans="1:18" x14ac:dyDescent="0.35">
      <c r="A1531" s="13">
        <v>45269</v>
      </c>
      <c r="B1531">
        <v>2023</v>
      </c>
      <c r="C1531">
        <v>12</v>
      </c>
      <c r="D1531" t="s">
        <v>87</v>
      </c>
      <c r="E1531" t="s">
        <v>76</v>
      </c>
      <c r="F1531">
        <v>305</v>
      </c>
      <c r="G1531">
        <v>272</v>
      </c>
      <c r="H1531">
        <v>53</v>
      </c>
      <c r="I1531">
        <v>13</v>
      </c>
      <c r="J1531" s="17">
        <v>0.80473372781065089</v>
      </c>
      <c r="K1531">
        <v>35</v>
      </c>
      <c r="L1531">
        <v>33</v>
      </c>
      <c r="M1531" s="17">
        <v>0.94285714285714284</v>
      </c>
      <c r="N1531" s="25">
        <v>12512.5</v>
      </c>
      <c r="O1531" s="25">
        <v>2448</v>
      </c>
      <c r="P1531" s="25">
        <v>5600</v>
      </c>
      <c r="Q1531" s="25">
        <v>20560.5</v>
      </c>
      <c r="R1531" s="18">
        <v>75.590073529411768</v>
      </c>
    </row>
    <row r="1532" spans="1:18" x14ac:dyDescent="0.35">
      <c r="A1532" s="13">
        <v>45276</v>
      </c>
      <c r="B1532">
        <v>2023</v>
      </c>
      <c r="C1532">
        <v>12</v>
      </c>
      <c r="D1532" t="s">
        <v>87</v>
      </c>
      <c r="E1532" t="s">
        <v>76</v>
      </c>
      <c r="F1532">
        <v>285</v>
      </c>
      <c r="G1532">
        <v>276</v>
      </c>
      <c r="H1532">
        <v>62</v>
      </c>
      <c r="I1532">
        <v>13</v>
      </c>
      <c r="J1532" s="17">
        <v>0.81656804733727806</v>
      </c>
      <c r="K1532">
        <v>35</v>
      </c>
      <c r="L1532">
        <v>32</v>
      </c>
      <c r="M1532" s="17">
        <v>0.91428571428571426</v>
      </c>
      <c r="N1532" s="25">
        <v>12512.5</v>
      </c>
      <c r="O1532" s="25">
        <v>2484</v>
      </c>
      <c r="P1532" s="25">
        <v>5600</v>
      </c>
      <c r="Q1532" s="25">
        <v>20596.5</v>
      </c>
      <c r="R1532" s="18">
        <v>74.625</v>
      </c>
    </row>
    <row r="1533" spans="1:18" x14ac:dyDescent="0.35">
      <c r="A1533" s="13">
        <v>45283</v>
      </c>
      <c r="B1533">
        <v>2023</v>
      </c>
      <c r="C1533">
        <v>12</v>
      </c>
      <c r="D1533" t="s">
        <v>87</v>
      </c>
      <c r="E1533" t="s">
        <v>76</v>
      </c>
      <c r="F1533">
        <v>242</v>
      </c>
      <c r="G1533">
        <v>267</v>
      </c>
      <c r="H1533">
        <v>37</v>
      </c>
      <c r="I1533">
        <v>12</v>
      </c>
      <c r="J1533" s="17">
        <v>0.85576923076923073</v>
      </c>
      <c r="K1533">
        <v>35</v>
      </c>
      <c r="L1533">
        <v>31</v>
      </c>
      <c r="M1533" s="17">
        <v>0.88571428571428568</v>
      </c>
      <c r="N1533" s="25">
        <v>11550</v>
      </c>
      <c r="O1533" s="25">
        <v>2403</v>
      </c>
      <c r="P1533" s="25">
        <v>5600</v>
      </c>
      <c r="Q1533" s="25">
        <v>19553</v>
      </c>
      <c r="R1533" s="18">
        <v>73.232209737827716</v>
      </c>
    </row>
    <row r="1534" spans="1:18" x14ac:dyDescent="0.35">
      <c r="A1534" s="13">
        <v>45290</v>
      </c>
      <c r="B1534">
        <v>2023</v>
      </c>
      <c r="C1534">
        <v>12</v>
      </c>
      <c r="D1534" t="s">
        <v>87</v>
      </c>
      <c r="E1534" t="s">
        <v>76</v>
      </c>
      <c r="F1534">
        <v>203</v>
      </c>
      <c r="G1534">
        <v>219</v>
      </c>
      <c r="H1534">
        <v>21</v>
      </c>
      <c r="I1534">
        <v>12</v>
      </c>
      <c r="J1534" s="17">
        <v>0.70192307692307687</v>
      </c>
      <c r="K1534">
        <v>35</v>
      </c>
      <c r="L1534">
        <v>29</v>
      </c>
      <c r="M1534" s="17">
        <v>0.82857142857142863</v>
      </c>
      <c r="N1534" s="25">
        <v>11550</v>
      </c>
      <c r="O1534" s="25">
        <v>1971</v>
      </c>
      <c r="P1534" s="25">
        <v>5600</v>
      </c>
      <c r="Q1534" s="25">
        <v>19121</v>
      </c>
      <c r="R1534" s="18">
        <v>87.310502283105023</v>
      </c>
    </row>
    <row r="1535" spans="1:18" x14ac:dyDescent="0.35">
      <c r="A1535" s="13">
        <v>45297</v>
      </c>
      <c r="B1535">
        <v>2024</v>
      </c>
      <c r="C1535">
        <v>1</v>
      </c>
      <c r="D1535" t="s">
        <v>87</v>
      </c>
      <c r="E1535" t="s">
        <v>76</v>
      </c>
      <c r="F1535">
        <v>168</v>
      </c>
      <c r="G1535">
        <v>183</v>
      </c>
      <c r="H1535">
        <v>6</v>
      </c>
      <c r="I1535">
        <v>11</v>
      </c>
      <c r="J1535" s="17">
        <v>0.6398601398601399</v>
      </c>
      <c r="K1535">
        <v>35</v>
      </c>
      <c r="L1535">
        <v>32</v>
      </c>
      <c r="M1535" s="17">
        <v>0.91428571428571426</v>
      </c>
      <c r="N1535" s="25">
        <v>10587.5</v>
      </c>
      <c r="O1535" s="25">
        <v>1647</v>
      </c>
      <c r="P1535" s="25">
        <v>5600</v>
      </c>
      <c r="Q1535" s="25">
        <v>17834.5</v>
      </c>
      <c r="R1535" s="18">
        <v>97.45628415300547</v>
      </c>
    </row>
    <row r="1536" spans="1:18" x14ac:dyDescent="0.35">
      <c r="A1536" s="13">
        <v>45304</v>
      </c>
      <c r="B1536">
        <v>2024</v>
      </c>
      <c r="C1536">
        <v>1</v>
      </c>
      <c r="D1536" t="s">
        <v>87</v>
      </c>
      <c r="E1536" t="s">
        <v>76</v>
      </c>
      <c r="F1536">
        <v>146</v>
      </c>
      <c r="G1536">
        <v>152</v>
      </c>
      <c r="H1536">
        <v>0</v>
      </c>
      <c r="I1536">
        <v>8</v>
      </c>
      <c r="J1536" s="17">
        <v>0.73076923076923073</v>
      </c>
      <c r="K1536">
        <v>35</v>
      </c>
      <c r="L1536">
        <v>31</v>
      </c>
      <c r="M1536" s="17">
        <v>0.88571428571428568</v>
      </c>
      <c r="N1536" s="25">
        <v>7700</v>
      </c>
      <c r="O1536" s="25">
        <v>1368</v>
      </c>
      <c r="P1536" s="25">
        <v>5600</v>
      </c>
      <c r="Q1536" s="25">
        <v>14668</v>
      </c>
      <c r="R1536" s="18">
        <v>96.5</v>
      </c>
    </row>
    <row r="1537" spans="1:18" x14ac:dyDescent="0.35">
      <c r="A1537" s="13">
        <v>45311</v>
      </c>
      <c r="B1537">
        <v>2024</v>
      </c>
      <c r="C1537">
        <v>1</v>
      </c>
      <c r="D1537" t="s">
        <v>87</v>
      </c>
      <c r="E1537" t="s">
        <v>76</v>
      </c>
      <c r="F1537">
        <v>144</v>
      </c>
      <c r="G1537">
        <v>144</v>
      </c>
      <c r="H1537">
        <v>0</v>
      </c>
      <c r="I1537">
        <v>7</v>
      </c>
      <c r="J1537" s="17">
        <v>0.79120879120879117</v>
      </c>
      <c r="K1537">
        <v>35</v>
      </c>
      <c r="L1537">
        <v>27</v>
      </c>
      <c r="M1537" s="17">
        <v>0.77142857142857146</v>
      </c>
      <c r="N1537" s="25">
        <v>6737.5</v>
      </c>
      <c r="O1537" s="25">
        <v>1296</v>
      </c>
      <c r="P1537" s="25">
        <v>5600</v>
      </c>
      <c r="Q1537" s="25">
        <v>13633.5</v>
      </c>
      <c r="R1537" s="18">
        <v>94.677083333333329</v>
      </c>
    </row>
    <row r="1538" spans="1:18" x14ac:dyDescent="0.35">
      <c r="A1538" s="13">
        <v>45318</v>
      </c>
      <c r="B1538">
        <v>2024</v>
      </c>
      <c r="C1538">
        <v>1</v>
      </c>
      <c r="D1538" t="s">
        <v>87</v>
      </c>
      <c r="E1538" t="s">
        <v>76</v>
      </c>
      <c r="F1538">
        <v>155</v>
      </c>
      <c r="G1538">
        <v>155</v>
      </c>
      <c r="H1538">
        <v>0</v>
      </c>
      <c r="I1538">
        <v>8</v>
      </c>
      <c r="J1538" s="17">
        <v>0.74519230769230771</v>
      </c>
      <c r="K1538">
        <v>35</v>
      </c>
      <c r="L1538">
        <v>28</v>
      </c>
      <c r="M1538" s="17">
        <v>0.8</v>
      </c>
      <c r="N1538" s="25">
        <v>7700</v>
      </c>
      <c r="O1538" s="25">
        <v>1395</v>
      </c>
      <c r="P1538" s="25">
        <v>5600</v>
      </c>
      <c r="Q1538" s="25">
        <v>14695</v>
      </c>
      <c r="R1538" s="18">
        <v>94.806451612903231</v>
      </c>
    </row>
    <row r="1539" spans="1:18" x14ac:dyDescent="0.35">
      <c r="A1539" s="13">
        <v>45325</v>
      </c>
      <c r="B1539">
        <v>2024</v>
      </c>
      <c r="C1539">
        <v>2</v>
      </c>
      <c r="D1539" t="s">
        <v>87</v>
      </c>
      <c r="E1539" t="s">
        <v>76</v>
      </c>
      <c r="F1539">
        <v>168</v>
      </c>
      <c r="G1539">
        <v>168</v>
      </c>
      <c r="H1539">
        <v>0</v>
      </c>
      <c r="I1539">
        <v>11</v>
      </c>
      <c r="J1539" s="17">
        <v>0.58741258741258739</v>
      </c>
      <c r="K1539">
        <v>35</v>
      </c>
      <c r="L1539">
        <v>33</v>
      </c>
      <c r="M1539" s="17">
        <v>0.94285714285714284</v>
      </c>
      <c r="N1539" s="25">
        <v>10587.5</v>
      </c>
      <c r="O1539" s="25">
        <v>1512</v>
      </c>
      <c r="P1539" s="25">
        <v>5600</v>
      </c>
      <c r="Q1539" s="25">
        <v>17699.5</v>
      </c>
      <c r="R1539" s="18">
        <v>105.3541666666667</v>
      </c>
    </row>
    <row r="1540" spans="1:18" x14ac:dyDescent="0.35">
      <c r="A1540" s="13">
        <v>45332</v>
      </c>
      <c r="B1540">
        <v>2024</v>
      </c>
      <c r="C1540">
        <v>2</v>
      </c>
      <c r="D1540" t="s">
        <v>87</v>
      </c>
      <c r="E1540" t="s">
        <v>76</v>
      </c>
      <c r="F1540">
        <v>176</v>
      </c>
      <c r="G1540">
        <v>176</v>
      </c>
      <c r="H1540">
        <v>0</v>
      </c>
      <c r="I1540">
        <v>11</v>
      </c>
      <c r="J1540" s="17">
        <v>0.61538461538461542</v>
      </c>
      <c r="K1540">
        <v>35</v>
      </c>
      <c r="L1540">
        <v>30</v>
      </c>
      <c r="M1540" s="17">
        <v>0.8571428571428571</v>
      </c>
      <c r="N1540" s="25">
        <v>10587.5</v>
      </c>
      <c r="O1540" s="25">
        <v>1584</v>
      </c>
      <c r="P1540" s="25">
        <v>5600</v>
      </c>
      <c r="Q1540" s="25">
        <v>17771.5</v>
      </c>
      <c r="R1540" s="18">
        <v>100.9744318181818</v>
      </c>
    </row>
    <row r="1541" spans="1:18" x14ac:dyDescent="0.35">
      <c r="A1541" s="13">
        <v>45339</v>
      </c>
      <c r="B1541">
        <v>2024</v>
      </c>
      <c r="C1541">
        <v>2</v>
      </c>
      <c r="D1541" t="s">
        <v>87</v>
      </c>
      <c r="E1541" t="s">
        <v>76</v>
      </c>
      <c r="F1541">
        <v>174</v>
      </c>
      <c r="G1541">
        <v>174</v>
      </c>
      <c r="H1541">
        <v>0</v>
      </c>
      <c r="I1541">
        <v>11</v>
      </c>
      <c r="J1541" s="17">
        <v>0.60839160839160844</v>
      </c>
      <c r="K1541">
        <v>35</v>
      </c>
      <c r="L1541">
        <v>32</v>
      </c>
      <c r="M1541" s="17">
        <v>0.91428571428571426</v>
      </c>
      <c r="N1541" s="25">
        <v>10587.5</v>
      </c>
      <c r="O1541" s="25">
        <v>1566</v>
      </c>
      <c r="P1541" s="25">
        <v>5600</v>
      </c>
      <c r="Q1541" s="25">
        <v>17753.5</v>
      </c>
      <c r="R1541" s="18">
        <v>102.0316091954023</v>
      </c>
    </row>
    <row r="1542" spans="1:18" x14ac:dyDescent="0.35">
      <c r="A1542" s="13">
        <v>45346</v>
      </c>
      <c r="B1542">
        <v>2024</v>
      </c>
      <c r="C1542">
        <v>2</v>
      </c>
      <c r="D1542" t="s">
        <v>87</v>
      </c>
      <c r="E1542" t="s">
        <v>76</v>
      </c>
      <c r="F1542">
        <v>168</v>
      </c>
      <c r="G1542">
        <v>168</v>
      </c>
      <c r="H1542">
        <v>0</v>
      </c>
      <c r="I1542">
        <v>10</v>
      </c>
      <c r="J1542" s="17">
        <v>0.64615384615384619</v>
      </c>
      <c r="K1542">
        <v>35</v>
      </c>
      <c r="L1542">
        <v>30</v>
      </c>
      <c r="M1542" s="17">
        <v>0.8571428571428571</v>
      </c>
      <c r="N1542" s="25">
        <v>9625</v>
      </c>
      <c r="O1542" s="25">
        <v>1512</v>
      </c>
      <c r="P1542" s="25">
        <v>5600</v>
      </c>
      <c r="Q1542" s="25">
        <v>16737</v>
      </c>
      <c r="R1542" s="18">
        <v>99.625</v>
      </c>
    </row>
    <row r="1543" spans="1:18" x14ac:dyDescent="0.35">
      <c r="A1543" s="13">
        <v>45353</v>
      </c>
      <c r="B1543">
        <v>2024</v>
      </c>
      <c r="C1543">
        <v>3</v>
      </c>
      <c r="D1543" t="s">
        <v>87</v>
      </c>
      <c r="E1543" t="s">
        <v>76</v>
      </c>
      <c r="F1543">
        <v>183</v>
      </c>
      <c r="G1543">
        <v>183</v>
      </c>
      <c r="H1543">
        <v>0</v>
      </c>
      <c r="I1543">
        <v>12</v>
      </c>
      <c r="J1543" s="17">
        <v>0.58653846153846156</v>
      </c>
      <c r="K1543">
        <v>35</v>
      </c>
      <c r="L1543">
        <v>34</v>
      </c>
      <c r="M1543" s="17">
        <v>0.97142857142857142</v>
      </c>
      <c r="N1543" s="25">
        <v>11550</v>
      </c>
      <c r="O1543" s="25">
        <v>1647</v>
      </c>
      <c r="P1543" s="25">
        <v>5600</v>
      </c>
      <c r="Q1543" s="25">
        <v>18797</v>
      </c>
      <c r="R1543" s="18">
        <v>102.7158469945355</v>
      </c>
    </row>
    <row r="1544" spans="1:18" x14ac:dyDescent="0.35">
      <c r="A1544" s="13">
        <v>45360</v>
      </c>
      <c r="B1544">
        <v>2024</v>
      </c>
      <c r="C1544">
        <v>3</v>
      </c>
      <c r="D1544" t="s">
        <v>87</v>
      </c>
      <c r="E1544" t="s">
        <v>76</v>
      </c>
      <c r="F1544">
        <v>187</v>
      </c>
      <c r="G1544">
        <v>187</v>
      </c>
      <c r="H1544">
        <v>0</v>
      </c>
      <c r="I1544">
        <v>12</v>
      </c>
      <c r="J1544" s="17">
        <v>0.59935897435897434</v>
      </c>
      <c r="K1544">
        <v>35</v>
      </c>
      <c r="L1544">
        <v>33</v>
      </c>
      <c r="M1544" s="17">
        <v>0.94285714285714284</v>
      </c>
      <c r="N1544" s="25">
        <v>11550</v>
      </c>
      <c r="O1544" s="25">
        <v>1683</v>
      </c>
      <c r="P1544" s="25">
        <v>5600</v>
      </c>
      <c r="Q1544" s="25">
        <v>18833</v>
      </c>
      <c r="R1544" s="18">
        <v>100.7112299465241</v>
      </c>
    </row>
    <row r="1545" spans="1:18" x14ac:dyDescent="0.35">
      <c r="A1545" s="13">
        <v>45367</v>
      </c>
      <c r="B1545">
        <v>2024</v>
      </c>
      <c r="C1545">
        <v>3</v>
      </c>
      <c r="D1545" t="s">
        <v>87</v>
      </c>
      <c r="E1545" t="s">
        <v>76</v>
      </c>
      <c r="F1545">
        <v>186</v>
      </c>
      <c r="G1545">
        <v>186</v>
      </c>
      <c r="H1545">
        <v>0</v>
      </c>
      <c r="I1545">
        <v>11</v>
      </c>
      <c r="J1545" s="17">
        <v>0.65034965034965031</v>
      </c>
      <c r="K1545">
        <v>35</v>
      </c>
      <c r="L1545">
        <v>31</v>
      </c>
      <c r="M1545" s="17">
        <v>0.88571428571428568</v>
      </c>
      <c r="N1545" s="25">
        <v>10587.5</v>
      </c>
      <c r="O1545" s="25">
        <v>1674</v>
      </c>
      <c r="P1545" s="25">
        <v>5600</v>
      </c>
      <c r="Q1545" s="25">
        <v>17861.5</v>
      </c>
      <c r="R1545" s="18">
        <v>96.02956989247312</v>
      </c>
    </row>
    <row r="1546" spans="1:18" x14ac:dyDescent="0.35">
      <c r="A1546" s="13">
        <v>45374</v>
      </c>
      <c r="B1546">
        <v>2024</v>
      </c>
      <c r="C1546">
        <v>3</v>
      </c>
      <c r="D1546" t="s">
        <v>87</v>
      </c>
      <c r="E1546" t="s">
        <v>76</v>
      </c>
      <c r="F1546">
        <v>186</v>
      </c>
      <c r="G1546">
        <v>186</v>
      </c>
      <c r="H1546">
        <v>0</v>
      </c>
      <c r="I1546">
        <v>12</v>
      </c>
      <c r="J1546" s="17">
        <v>0.59615384615384615</v>
      </c>
      <c r="K1546">
        <v>35</v>
      </c>
      <c r="L1546">
        <v>30</v>
      </c>
      <c r="M1546" s="17">
        <v>0.8571428571428571</v>
      </c>
      <c r="N1546" s="25">
        <v>11550</v>
      </c>
      <c r="O1546" s="25">
        <v>1674</v>
      </c>
      <c r="P1546" s="25">
        <v>5600</v>
      </c>
      <c r="Q1546" s="25">
        <v>18824</v>
      </c>
      <c r="R1546" s="18">
        <v>101.2043010752688</v>
      </c>
    </row>
    <row r="1547" spans="1:18" x14ac:dyDescent="0.35">
      <c r="A1547" s="13">
        <v>45381</v>
      </c>
      <c r="B1547">
        <v>2024</v>
      </c>
      <c r="C1547">
        <v>3</v>
      </c>
      <c r="D1547" t="s">
        <v>87</v>
      </c>
      <c r="E1547" t="s">
        <v>76</v>
      </c>
      <c r="F1547">
        <v>186</v>
      </c>
      <c r="G1547">
        <v>186</v>
      </c>
      <c r="H1547">
        <v>0</v>
      </c>
      <c r="I1547">
        <v>12</v>
      </c>
      <c r="J1547" s="17">
        <v>0.59615384615384615</v>
      </c>
      <c r="K1547">
        <v>35</v>
      </c>
      <c r="L1547">
        <v>32</v>
      </c>
      <c r="M1547" s="17">
        <v>0.91428571428571426</v>
      </c>
      <c r="N1547" s="25">
        <v>11550</v>
      </c>
      <c r="O1547" s="25">
        <v>1674</v>
      </c>
      <c r="P1547" s="25">
        <v>5600</v>
      </c>
      <c r="Q1547" s="25">
        <v>18824</v>
      </c>
      <c r="R1547" s="18">
        <v>101.2043010752688</v>
      </c>
    </row>
    <row r="1548" spans="1:18" x14ac:dyDescent="0.35">
      <c r="A1548" s="13">
        <v>45388</v>
      </c>
      <c r="B1548">
        <v>2024</v>
      </c>
      <c r="C1548">
        <v>4</v>
      </c>
      <c r="D1548" t="s">
        <v>87</v>
      </c>
      <c r="E1548" t="s">
        <v>76</v>
      </c>
      <c r="F1548">
        <v>183</v>
      </c>
      <c r="G1548">
        <v>183</v>
      </c>
      <c r="H1548">
        <v>0</v>
      </c>
      <c r="I1548">
        <v>11</v>
      </c>
      <c r="J1548" s="17">
        <v>0.6398601398601399</v>
      </c>
      <c r="K1548">
        <v>35</v>
      </c>
      <c r="L1548">
        <v>35</v>
      </c>
      <c r="M1548" s="17">
        <v>1</v>
      </c>
      <c r="N1548" s="25">
        <v>10587.5</v>
      </c>
      <c r="O1548" s="25">
        <v>1647</v>
      </c>
      <c r="P1548" s="25">
        <v>5600</v>
      </c>
      <c r="Q1548" s="25">
        <v>17834.5</v>
      </c>
      <c r="R1548" s="18">
        <v>97.45628415300547</v>
      </c>
    </row>
    <row r="1549" spans="1:18" x14ac:dyDescent="0.35">
      <c r="A1549" s="13">
        <v>45395</v>
      </c>
      <c r="B1549">
        <v>2024</v>
      </c>
      <c r="C1549">
        <v>4</v>
      </c>
      <c r="D1549" t="s">
        <v>87</v>
      </c>
      <c r="E1549" t="s">
        <v>76</v>
      </c>
      <c r="F1549">
        <v>177</v>
      </c>
      <c r="G1549">
        <v>177</v>
      </c>
      <c r="H1549">
        <v>0</v>
      </c>
      <c r="I1549">
        <v>11</v>
      </c>
      <c r="J1549" s="17">
        <v>0.61888111888111885</v>
      </c>
      <c r="K1549">
        <v>35</v>
      </c>
      <c r="L1549">
        <v>31</v>
      </c>
      <c r="M1549" s="17">
        <v>0.88571428571428568</v>
      </c>
      <c r="N1549" s="25">
        <v>10587.5</v>
      </c>
      <c r="O1549" s="25">
        <v>1593</v>
      </c>
      <c r="P1549" s="25">
        <v>5600</v>
      </c>
      <c r="Q1549" s="25">
        <v>17780.5</v>
      </c>
      <c r="R1549" s="18">
        <v>100.454802259887</v>
      </c>
    </row>
    <row r="1550" spans="1:18" x14ac:dyDescent="0.35">
      <c r="A1550" s="13">
        <v>45402</v>
      </c>
      <c r="B1550">
        <v>2024</v>
      </c>
      <c r="C1550">
        <v>4</v>
      </c>
      <c r="D1550" t="s">
        <v>87</v>
      </c>
      <c r="E1550" t="s">
        <v>76</v>
      </c>
      <c r="F1550">
        <v>190</v>
      </c>
      <c r="G1550">
        <v>190</v>
      </c>
      <c r="H1550">
        <v>0</v>
      </c>
      <c r="I1550">
        <v>11</v>
      </c>
      <c r="J1550" s="17">
        <v>0.66433566433566438</v>
      </c>
      <c r="K1550">
        <v>35</v>
      </c>
      <c r="L1550">
        <v>34</v>
      </c>
      <c r="M1550" s="17">
        <v>0.97142857142857142</v>
      </c>
      <c r="N1550" s="25">
        <v>10587.5</v>
      </c>
      <c r="O1550" s="25">
        <v>1710</v>
      </c>
      <c r="P1550" s="25">
        <v>5600</v>
      </c>
      <c r="Q1550" s="25">
        <v>17897.5</v>
      </c>
      <c r="R1550" s="18">
        <v>94.19736842105263</v>
      </c>
    </row>
    <row r="1551" spans="1:18" x14ac:dyDescent="0.35">
      <c r="A1551" s="13">
        <v>45409</v>
      </c>
      <c r="B1551">
        <v>2024</v>
      </c>
      <c r="C1551">
        <v>4</v>
      </c>
      <c r="D1551" t="s">
        <v>87</v>
      </c>
      <c r="E1551" t="s">
        <v>76</v>
      </c>
      <c r="F1551">
        <v>213</v>
      </c>
      <c r="G1551">
        <v>213</v>
      </c>
      <c r="H1551">
        <v>0</v>
      </c>
      <c r="I1551">
        <v>12</v>
      </c>
      <c r="J1551" s="17">
        <v>0.68269230769230771</v>
      </c>
      <c r="K1551">
        <v>35</v>
      </c>
      <c r="L1551">
        <v>34</v>
      </c>
      <c r="M1551" s="17">
        <v>0.97142857142857142</v>
      </c>
      <c r="N1551" s="25">
        <v>11550</v>
      </c>
      <c r="O1551" s="25">
        <v>1917</v>
      </c>
      <c r="P1551" s="25">
        <v>5600</v>
      </c>
      <c r="Q1551" s="25">
        <v>19067</v>
      </c>
      <c r="R1551" s="18">
        <v>89.516431924882625</v>
      </c>
    </row>
    <row r="1552" spans="1:18" x14ac:dyDescent="0.35">
      <c r="A1552" s="13">
        <v>45416</v>
      </c>
      <c r="B1552">
        <v>2024</v>
      </c>
      <c r="C1552">
        <v>5</v>
      </c>
      <c r="D1552" t="s">
        <v>87</v>
      </c>
      <c r="E1552" t="s">
        <v>76</v>
      </c>
      <c r="F1552">
        <v>200</v>
      </c>
      <c r="G1552">
        <v>200</v>
      </c>
      <c r="H1552">
        <v>0</v>
      </c>
      <c r="I1552">
        <v>12</v>
      </c>
      <c r="J1552" s="17">
        <v>0.64102564102564108</v>
      </c>
      <c r="K1552">
        <v>35</v>
      </c>
      <c r="L1552">
        <v>32</v>
      </c>
      <c r="M1552" s="17">
        <v>0.91428571428571426</v>
      </c>
      <c r="N1552" s="25">
        <v>11550</v>
      </c>
      <c r="O1552" s="25">
        <v>1800</v>
      </c>
      <c r="P1552" s="25">
        <v>5600</v>
      </c>
      <c r="Q1552" s="25">
        <v>18950</v>
      </c>
      <c r="R1552" s="18">
        <v>94.75</v>
      </c>
    </row>
    <row r="1553" spans="1:18" x14ac:dyDescent="0.35">
      <c r="A1553" s="13">
        <v>45423</v>
      </c>
      <c r="B1553">
        <v>2024</v>
      </c>
      <c r="C1553">
        <v>5</v>
      </c>
      <c r="D1553" t="s">
        <v>87</v>
      </c>
      <c r="E1553" t="s">
        <v>76</v>
      </c>
      <c r="F1553">
        <v>210</v>
      </c>
      <c r="G1553">
        <v>210</v>
      </c>
      <c r="H1553">
        <v>0</v>
      </c>
      <c r="I1553">
        <v>12</v>
      </c>
      <c r="J1553" s="17">
        <v>0.67307692307692313</v>
      </c>
      <c r="K1553">
        <v>35</v>
      </c>
      <c r="L1553">
        <v>33</v>
      </c>
      <c r="M1553" s="17">
        <v>0.94285714285714284</v>
      </c>
      <c r="N1553" s="25">
        <v>11550</v>
      </c>
      <c r="O1553" s="25">
        <v>1890</v>
      </c>
      <c r="P1553" s="25">
        <v>5600</v>
      </c>
      <c r="Q1553" s="25">
        <v>19040</v>
      </c>
      <c r="R1553" s="18">
        <v>90.666666666666671</v>
      </c>
    </row>
    <row r="1554" spans="1:18" x14ac:dyDescent="0.35">
      <c r="A1554" s="13">
        <v>45430</v>
      </c>
      <c r="B1554">
        <v>2024</v>
      </c>
      <c r="C1554">
        <v>5</v>
      </c>
      <c r="D1554" t="s">
        <v>87</v>
      </c>
      <c r="E1554" t="s">
        <v>76</v>
      </c>
      <c r="F1554">
        <v>208</v>
      </c>
      <c r="G1554">
        <v>208</v>
      </c>
      <c r="H1554">
        <v>0</v>
      </c>
      <c r="I1554">
        <v>12</v>
      </c>
      <c r="J1554" s="17">
        <v>0.66666666666666663</v>
      </c>
      <c r="K1554">
        <v>35</v>
      </c>
      <c r="L1554">
        <v>35</v>
      </c>
      <c r="M1554" s="17">
        <v>1</v>
      </c>
      <c r="N1554" s="25">
        <v>11550</v>
      </c>
      <c r="O1554" s="25">
        <v>1872</v>
      </c>
      <c r="P1554" s="25">
        <v>5600</v>
      </c>
      <c r="Q1554" s="25">
        <v>19022</v>
      </c>
      <c r="R1554" s="18">
        <v>91.45192307692308</v>
      </c>
    </row>
    <row r="1555" spans="1:18" x14ac:dyDescent="0.35">
      <c r="A1555" s="13">
        <v>45437</v>
      </c>
      <c r="B1555">
        <v>2024</v>
      </c>
      <c r="C1555">
        <v>5</v>
      </c>
      <c r="D1555" t="s">
        <v>87</v>
      </c>
      <c r="E1555" t="s">
        <v>76</v>
      </c>
      <c r="F1555">
        <v>211</v>
      </c>
      <c r="G1555">
        <v>211</v>
      </c>
      <c r="H1555">
        <v>0</v>
      </c>
      <c r="I1555">
        <v>12</v>
      </c>
      <c r="J1555" s="17">
        <v>0.67628205128205132</v>
      </c>
      <c r="K1555">
        <v>35</v>
      </c>
      <c r="L1555">
        <v>32</v>
      </c>
      <c r="M1555" s="17">
        <v>0.91428571428571426</v>
      </c>
      <c r="N1555" s="25">
        <v>11550</v>
      </c>
      <c r="O1555" s="25">
        <v>1899</v>
      </c>
      <c r="P1555" s="25">
        <v>5600</v>
      </c>
      <c r="Q1555" s="25">
        <v>19049</v>
      </c>
      <c r="R1555" s="18">
        <v>90.279620853080573</v>
      </c>
    </row>
    <row r="1556" spans="1:18" x14ac:dyDescent="0.35">
      <c r="A1556" s="13">
        <v>45444</v>
      </c>
      <c r="B1556">
        <v>2024</v>
      </c>
      <c r="C1556">
        <v>6</v>
      </c>
      <c r="D1556" t="s">
        <v>87</v>
      </c>
      <c r="E1556" t="s">
        <v>76</v>
      </c>
      <c r="F1556">
        <v>200</v>
      </c>
      <c r="G1556">
        <v>200</v>
      </c>
      <c r="H1556">
        <v>0</v>
      </c>
      <c r="I1556">
        <v>12</v>
      </c>
      <c r="J1556" s="17">
        <v>0.64102564102564108</v>
      </c>
      <c r="K1556">
        <v>35</v>
      </c>
      <c r="L1556">
        <v>31</v>
      </c>
      <c r="M1556" s="17">
        <v>0.88571428571428568</v>
      </c>
      <c r="N1556" s="25">
        <v>11550</v>
      </c>
      <c r="O1556" s="25">
        <v>1800</v>
      </c>
      <c r="P1556" s="25">
        <v>5600</v>
      </c>
      <c r="Q1556" s="25">
        <v>18950</v>
      </c>
      <c r="R1556" s="18">
        <v>94.75</v>
      </c>
    </row>
    <row r="1557" spans="1:18" x14ac:dyDescent="0.35">
      <c r="A1557" s="13">
        <v>45451</v>
      </c>
      <c r="B1557">
        <v>2024</v>
      </c>
      <c r="C1557">
        <v>6</v>
      </c>
      <c r="D1557" t="s">
        <v>87</v>
      </c>
      <c r="E1557" t="s">
        <v>76</v>
      </c>
      <c r="F1557">
        <v>199</v>
      </c>
      <c r="G1557">
        <v>199</v>
      </c>
      <c r="H1557">
        <v>0</v>
      </c>
      <c r="I1557">
        <v>12</v>
      </c>
      <c r="J1557" s="17">
        <v>0.63782051282051277</v>
      </c>
      <c r="K1557">
        <v>35</v>
      </c>
      <c r="L1557">
        <v>34</v>
      </c>
      <c r="M1557" s="17">
        <v>0.97142857142857142</v>
      </c>
      <c r="N1557" s="25">
        <v>11550</v>
      </c>
      <c r="O1557" s="25">
        <v>1791</v>
      </c>
      <c r="P1557" s="25">
        <v>5600</v>
      </c>
      <c r="Q1557" s="25">
        <v>18941</v>
      </c>
      <c r="R1557" s="18">
        <v>95.180904522613062</v>
      </c>
    </row>
    <row r="1558" spans="1:18" x14ac:dyDescent="0.35">
      <c r="A1558" s="13">
        <v>45458</v>
      </c>
      <c r="B1558">
        <v>2024</v>
      </c>
      <c r="C1558">
        <v>6</v>
      </c>
      <c r="D1558" t="s">
        <v>87</v>
      </c>
      <c r="E1558" t="s">
        <v>76</v>
      </c>
      <c r="F1558">
        <v>192</v>
      </c>
      <c r="G1558">
        <v>192</v>
      </c>
      <c r="H1558">
        <v>0</v>
      </c>
      <c r="I1558">
        <v>11</v>
      </c>
      <c r="J1558" s="17">
        <v>0.67132867132867136</v>
      </c>
      <c r="K1558">
        <v>35</v>
      </c>
      <c r="L1558">
        <v>34</v>
      </c>
      <c r="M1558" s="17">
        <v>0.97142857142857142</v>
      </c>
      <c r="N1558" s="25">
        <v>10587.5</v>
      </c>
      <c r="O1558" s="25">
        <v>1728</v>
      </c>
      <c r="P1558" s="25">
        <v>5600</v>
      </c>
      <c r="Q1558" s="25">
        <v>17915.5</v>
      </c>
      <c r="R1558" s="18">
        <v>93.309895833333329</v>
      </c>
    </row>
    <row r="1559" spans="1:18" x14ac:dyDescent="0.35">
      <c r="A1559" s="13">
        <v>45465</v>
      </c>
      <c r="B1559">
        <v>2024</v>
      </c>
      <c r="C1559">
        <v>6</v>
      </c>
      <c r="D1559" t="s">
        <v>87</v>
      </c>
      <c r="E1559" t="s">
        <v>76</v>
      </c>
      <c r="F1559">
        <v>185</v>
      </c>
      <c r="G1559">
        <v>185</v>
      </c>
      <c r="H1559">
        <v>0</v>
      </c>
      <c r="I1559">
        <v>11</v>
      </c>
      <c r="J1559" s="17">
        <v>0.64685314685314688</v>
      </c>
      <c r="K1559">
        <v>35</v>
      </c>
      <c r="L1559">
        <v>33</v>
      </c>
      <c r="M1559" s="17">
        <v>0.94285714285714284</v>
      </c>
      <c r="N1559" s="25">
        <v>10587.5</v>
      </c>
      <c r="O1559" s="25">
        <v>1665</v>
      </c>
      <c r="P1559" s="25">
        <v>5600</v>
      </c>
      <c r="Q1559" s="25">
        <v>17852.5</v>
      </c>
      <c r="R1559" s="18">
        <v>96.5</v>
      </c>
    </row>
    <row r="1560" spans="1:18" x14ac:dyDescent="0.35">
      <c r="A1560" s="13">
        <v>45472</v>
      </c>
      <c r="B1560">
        <v>2024</v>
      </c>
      <c r="C1560">
        <v>6</v>
      </c>
      <c r="D1560" t="s">
        <v>87</v>
      </c>
      <c r="E1560" t="s">
        <v>76</v>
      </c>
      <c r="F1560">
        <v>192</v>
      </c>
      <c r="G1560">
        <v>192</v>
      </c>
      <c r="H1560">
        <v>0</v>
      </c>
      <c r="I1560">
        <v>12</v>
      </c>
      <c r="J1560" s="17">
        <v>0.61538461538461542</v>
      </c>
      <c r="K1560">
        <v>35</v>
      </c>
      <c r="L1560">
        <v>31</v>
      </c>
      <c r="M1560" s="17">
        <v>0.88571428571428568</v>
      </c>
      <c r="N1560" s="25">
        <v>11550</v>
      </c>
      <c r="O1560" s="25">
        <v>1728</v>
      </c>
      <c r="P1560" s="25">
        <v>5600</v>
      </c>
      <c r="Q1560" s="25">
        <v>18878</v>
      </c>
      <c r="R1560" s="18">
        <v>98.322916666666671</v>
      </c>
    </row>
    <row r="1561" spans="1:18" x14ac:dyDescent="0.35">
      <c r="A1561" s="13">
        <v>45479</v>
      </c>
      <c r="B1561">
        <v>2024</v>
      </c>
      <c r="C1561">
        <v>7</v>
      </c>
      <c r="D1561" t="s">
        <v>87</v>
      </c>
      <c r="E1561" t="s">
        <v>76</v>
      </c>
      <c r="F1561">
        <v>199</v>
      </c>
      <c r="G1561">
        <v>199</v>
      </c>
      <c r="H1561">
        <v>0</v>
      </c>
      <c r="I1561">
        <v>11</v>
      </c>
      <c r="J1561" s="17">
        <v>0.69580419580419584</v>
      </c>
      <c r="K1561">
        <v>35</v>
      </c>
      <c r="L1561">
        <v>32</v>
      </c>
      <c r="M1561" s="17">
        <v>0.91428571428571426</v>
      </c>
      <c r="N1561" s="25">
        <v>10587.5</v>
      </c>
      <c r="O1561" s="25">
        <v>1791</v>
      </c>
      <c r="P1561" s="25">
        <v>5600</v>
      </c>
      <c r="Q1561" s="25">
        <v>17978.5</v>
      </c>
      <c r="R1561" s="18">
        <v>90.344221105527637</v>
      </c>
    </row>
    <row r="1562" spans="1:18" x14ac:dyDescent="0.35">
      <c r="A1562" s="13">
        <v>45486</v>
      </c>
      <c r="B1562">
        <v>2024</v>
      </c>
      <c r="C1562">
        <v>7</v>
      </c>
      <c r="D1562" t="s">
        <v>87</v>
      </c>
      <c r="E1562" t="s">
        <v>76</v>
      </c>
      <c r="F1562">
        <v>191</v>
      </c>
      <c r="G1562">
        <v>191</v>
      </c>
      <c r="H1562">
        <v>0</v>
      </c>
      <c r="I1562">
        <v>12</v>
      </c>
      <c r="J1562" s="17">
        <v>0.61217948717948723</v>
      </c>
      <c r="K1562">
        <v>35</v>
      </c>
      <c r="L1562">
        <v>30</v>
      </c>
      <c r="M1562" s="17">
        <v>0.8571428571428571</v>
      </c>
      <c r="N1562" s="25">
        <v>11550</v>
      </c>
      <c r="O1562" s="25">
        <v>1719</v>
      </c>
      <c r="P1562" s="25">
        <v>5600</v>
      </c>
      <c r="Q1562" s="25">
        <v>18869</v>
      </c>
      <c r="R1562" s="18">
        <v>98.790575916230367</v>
      </c>
    </row>
    <row r="1563" spans="1:18" x14ac:dyDescent="0.35">
      <c r="A1563" s="13">
        <v>45493</v>
      </c>
      <c r="B1563">
        <v>2024</v>
      </c>
      <c r="C1563">
        <v>7</v>
      </c>
      <c r="D1563" t="s">
        <v>87</v>
      </c>
      <c r="E1563" t="s">
        <v>76</v>
      </c>
      <c r="F1563">
        <v>182</v>
      </c>
      <c r="G1563">
        <v>182</v>
      </c>
      <c r="H1563">
        <v>0</v>
      </c>
      <c r="I1563">
        <v>12</v>
      </c>
      <c r="J1563" s="17">
        <v>0.58333333333333337</v>
      </c>
      <c r="K1563">
        <v>35</v>
      </c>
      <c r="L1563">
        <v>32</v>
      </c>
      <c r="M1563" s="17">
        <v>0.91428571428571426</v>
      </c>
      <c r="N1563" s="25">
        <v>11550</v>
      </c>
      <c r="O1563" s="25">
        <v>1638</v>
      </c>
      <c r="P1563" s="25">
        <v>5600</v>
      </c>
      <c r="Q1563" s="25">
        <v>18788</v>
      </c>
      <c r="R1563" s="18">
        <v>103.2307692307692</v>
      </c>
    </row>
    <row r="1564" spans="1:18" x14ac:dyDescent="0.35">
      <c r="A1564" s="13">
        <v>45500</v>
      </c>
      <c r="B1564">
        <v>2024</v>
      </c>
      <c r="C1564">
        <v>7</v>
      </c>
      <c r="D1564" t="s">
        <v>87</v>
      </c>
      <c r="E1564" t="s">
        <v>76</v>
      </c>
      <c r="F1564">
        <v>200</v>
      </c>
      <c r="G1564">
        <v>200</v>
      </c>
      <c r="H1564">
        <v>0</v>
      </c>
      <c r="I1564">
        <v>12</v>
      </c>
      <c r="J1564" s="17">
        <v>0.64102564102564108</v>
      </c>
      <c r="K1564">
        <v>35</v>
      </c>
      <c r="L1564">
        <v>33</v>
      </c>
      <c r="M1564" s="17">
        <v>0.94285714285714284</v>
      </c>
      <c r="N1564" s="25">
        <v>11550</v>
      </c>
      <c r="O1564" s="25">
        <v>1800</v>
      </c>
      <c r="P1564" s="25">
        <v>5600</v>
      </c>
      <c r="Q1564" s="25">
        <v>18950</v>
      </c>
      <c r="R1564" s="18">
        <v>94.75</v>
      </c>
    </row>
    <row r="1565" spans="1:18" x14ac:dyDescent="0.35">
      <c r="A1565" s="13">
        <v>45507</v>
      </c>
      <c r="B1565">
        <v>2024</v>
      </c>
      <c r="C1565">
        <v>8</v>
      </c>
      <c r="D1565" t="s">
        <v>87</v>
      </c>
      <c r="E1565" t="s">
        <v>76</v>
      </c>
      <c r="F1565">
        <v>207</v>
      </c>
      <c r="G1565">
        <v>207</v>
      </c>
      <c r="H1565">
        <v>0</v>
      </c>
      <c r="I1565">
        <v>12</v>
      </c>
      <c r="J1565" s="17">
        <v>0.66346153846153844</v>
      </c>
      <c r="K1565">
        <v>35</v>
      </c>
      <c r="L1565">
        <v>31</v>
      </c>
      <c r="M1565" s="17">
        <v>0.88571428571428568</v>
      </c>
      <c r="N1565" s="25">
        <v>11550</v>
      </c>
      <c r="O1565" s="25">
        <v>1863</v>
      </c>
      <c r="P1565" s="25">
        <v>5600</v>
      </c>
      <c r="Q1565" s="25">
        <v>19013</v>
      </c>
      <c r="R1565" s="18">
        <v>91.850241545893724</v>
      </c>
    </row>
    <row r="1566" spans="1:18" x14ac:dyDescent="0.35">
      <c r="A1566" s="13">
        <v>45514</v>
      </c>
      <c r="B1566">
        <v>2024</v>
      </c>
      <c r="C1566">
        <v>8</v>
      </c>
      <c r="D1566" t="s">
        <v>87</v>
      </c>
      <c r="E1566" t="s">
        <v>76</v>
      </c>
      <c r="F1566">
        <v>197</v>
      </c>
      <c r="G1566">
        <v>197</v>
      </c>
      <c r="H1566">
        <v>0</v>
      </c>
      <c r="I1566">
        <v>12</v>
      </c>
      <c r="J1566" s="17">
        <v>0.63141025641025639</v>
      </c>
      <c r="K1566">
        <v>35</v>
      </c>
      <c r="L1566">
        <v>34</v>
      </c>
      <c r="M1566" s="17">
        <v>0.97142857142857142</v>
      </c>
      <c r="N1566" s="25">
        <v>11550</v>
      </c>
      <c r="O1566" s="25">
        <v>1773</v>
      </c>
      <c r="P1566" s="25">
        <v>5600</v>
      </c>
      <c r="Q1566" s="25">
        <v>18923</v>
      </c>
      <c r="R1566" s="18">
        <v>96.055837563451774</v>
      </c>
    </row>
    <row r="1567" spans="1:18" x14ac:dyDescent="0.35">
      <c r="A1567" s="13">
        <v>45521</v>
      </c>
      <c r="B1567">
        <v>2024</v>
      </c>
      <c r="C1567">
        <v>8</v>
      </c>
      <c r="D1567" t="s">
        <v>87</v>
      </c>
      <c r="E1567" t="s">
        <v>76</v>
      </c>
      <c r="F1567">
        <v>193</v>
      </c>
      <c r="G1567">
        <v>193</v>
      </c>
      <c r="H1567">
        <v>0</v>
      </c>
      <c r="I1567">
        <v>12</v>
      </c>
      <c r="J1567" s="17">
        <v>0.61858974358974361</v>
      </c>
      <c r="K1567">
        <v>35</v>
      </c>
      <c r="L1567">
        <v>31</v>
      </c>
      <c r="M1567" s="17">
        <v>0.88571428571428568</v>
      </c>
      <c r="N1567" s="25">
        <v>11550</v>
      </c>
      <c r="O1567" s="25">
        <v>1737</v>
      </c>
      <c r="P1567" s="25">
        <v>5600</v>
      </c>
      <c r="Q1567" s="25">
        <v>18887</v>
      </c>
      <c r="R1567" s="18">
        <v>97.860103626943001</v>
      </c>
    </row>
    <row r="1568" spans="1:18" x14ac:dyDescent="0.35">
      <c r="A1568" s="13">
        <v>45528</v>
      </c>
      <c r="B1568">
        <v>2024</v>
      </c>
      <c r="C1568">
        <v>8</v>
      </c>
      <c r="D1568" t="s">
        <v>87</v>
      </c>
      <c r="E1568" t="s">
        <v>76</v>
      </c>
      <c r="F1568">
        <v>198</v>
      </c>
      <c r="G1568">
        <v>198</v>
      </c>
      <c r="H1568">
        <v>0</v>
      </c>
      <c r="I1568">
        <v>12</v>
      </c>
      <c r="J1568" s="17">
        <v>0.63461538461538458</v>
      </c>
      <c r="K1568">
        <v>35</v>
      </c>
      <c r="L1568">
        <v>33</v>
      </c>
      <c r="M1568" s="17">
        <v>0.94285714285714284</v>
      </c>
      <c r="N1568" s="25">
        <v>11550</v>
      </c>
      <c r="O1568" s="25">
        <v>1782</v>
      </c>
      <c r="P1568" s="25">
        <v>5600</v>
      </c>
      <c r="Q1568" s="25">
        <v>18932</v>
      </c>
      <c r="R1568" s="18">
        <v>95.616161616161619</v>
      </c>
    </row>
    <row r="1569" spans="1:18" x14ac:dyDescent="0.35">
      <c r="A1569" s="13">
        <v>45535</v>
      </c>
      <c r="B1569">
        <v>2024</v>
      </c>
      <c r="C1569">
        <v>8</v>
      </c>
      <c r="D1569" t="s">
        <v>87</v>
      </c>
      <c r="E1569" t="s">
        <v>76</v>
      </c>
      <c r="F1569">
        <v>185</v>
      </c>
      <c r="G1569">
        <v>185</v>
      </c>
      <c r="H1569">
        <v>0</v>
      </c>
      <c r="I1569">
        <v>12</v>
      </c>
      <c r="J1569" s="17">
        <v>0.59294871794871795</v>
      </c>
      <c r="K1569">
        <v>35</v>
      </c>
      <c r="L1569">
        <v>34</v>
      </c>
      <c r="M1569" s="17">
        <v>0.97142857142857142</v>
      </c>
      <c r="N1569" s="25">
        <v>11550</v>
      </c>
      <c r="O1569" s="25">
        <v>1665</v>
      </c>
      <c r="P1569" s="25">
        <v>5600</v>
      </c>
      <c r="Q1569" s="25">
        <v>18815</v>
      </c>
      <c r="R1569" s="18">
        <v>101.70270270270269</v>
      </c>
    </row>
    <row r="1570" spans="1:18" x14ac:dyDescent="0.35">
      <c r="A1570" s="13">
        <v>45542</v>
      </c>
      <c r="B1570">
        <v>2024</v>
      </c>
      <c r="C1570">
        <v>9</v>
      </c>
      <c r="D1570" t="s">
        <v>87</v>
      </c>
      <c r="E1570" t="s">
        <v>76</v>
      </c>
      <c r="F1570">
        <v>180</v>
      </c>
      <c r="G1570">
        <v>180</v>
      </c>
      <c r="H1570">
        <v>0</v>
      </c>
      <c r="I1570">
        <v>12</v>
      </c>
      <c r="J1570" s="17">
        <v>0.57692307692307687</v>
      </c>
      <c r="K1570">
        <v>35</v>
      </c>
      <c r="L1570">
        <v>34</v>
      </c>
      <c r="M1570" s="17">
        <v>0.97142857142857142</v>
      </c>
      <c r="N1570" s="25">
        <v>11550</v>
      </c>
      <c r="O1570" s="25">
        <v>1620</v>
      </c>
      <c r="P1570" s="25">
        <v>5600</v>
      </c>
      <c r="Q1570" s="25">
        <v>18770</v>
      </c>
      <c r="R1570" s="18">
        <v>104.2777777777778</v>
      </c>
    </row>
    <row r="1571" spans="1:18" x14ac:dyDescent="0.35">
      <c r="A1571" s="13">
        <v>45549</v>
      </c>
      <c r="B1571">
        <v>2024</v>
      </c>
      <c r="C1571">
        <v>9</v>
      </c>
      <c r="D1571" t="s">
        <v>87</v>
      </c>
      <c r="E1571" t="s">
        <v>76</v>
      </c>
      <c r="F1571">
        <v>174</v>
      </c>
      <c r="G1571">
        <v>174</v>
      </c>
      <c r="H1571">
        <v>0</v>
      </c>
      <c r="I1571">
        <v>11</v>
      </c>
      <c r="J1571" s="17">
        <v>0.60839160839160844</v>
      </c>
      <c r="K1571">
        <v>35</v>
      </c>
      <c r="L1571">
        <v>33</v>
      </c>
      <c r="M1571" s="17">
        <v>0.94285714285714284</v>
      </c>
      <c r="N1571" s="25">
        <v>10587.5</v>
      </c>
      <c r="O1571" s="25">
        <v>1566</v>
      </c>
      <c r="P1571" s="25">
        <v>5600</v>
      </c>
      <c r="Q1571" s="25">
        <v>17753.5</v>
      </c>
      <c r="R1571" s="18">
        <v>102.0316091954023</v>
      </c>
    </row>
    <row r="1572" spans="1:18" x14ac:dyDescent="0.35">
      <c r="A1572" s="13">
        <v>45556</v>
      </c>
      <c r="B1572">
        <v>2024</v>
      </c>
      <c r="C1572">
        <v>9</v>
      </c>
      <c r="D1572" t="s">
        <v>87</v>
      </c>
      <c r="E1572" t="s">
        <v>76</v>
      </c>
      <c r="F1572">
        <v>183</v>
      </c>
      <c r="G1572">
        <v>183</v>
      </c>
      <c r="H1572">
        <v>0</v>
      </c>
      <c r="I1572">
        <v>11</v>
      </c>
      <c r="J1572" s="17">
        <v>0.6398601398601399</v>
      </c>
      <c r="K1572">
        <v>35</v>
      </c>
      <c r="L1572">
        <v>34</v>
      </c>
      <c r="M1572" s="17">
        <v>0.97142857142857142</v>
      </c>
      <c r="N1572" s="25">
        <v>10587.5</v>
      </c>
      <c r="O1572" s="25">
        <v>1647</v>
      </c>
      <c r="P1572" s="25">
        <v>5600</v>
      </c>
      <c r="Q1572" s="25">
        <v>17834.5</v>
      </c>
      <c r="R1572" s="18">
        <v>97.45628415300547</v>
      </c>
    </row>
    <row r="1573" spans="1:18" x14ac:dyDescent="0.35">
      <c r="A1573" s="13">
        <v>45563</v>
      </c>
      <c r="B1573">
        <v>2024</v>
      </c>
      <c r="C1573">
        <v>9</v>
      </c>
      <c r="D1573" t="s">
        <v>87</v>
      </c>
      <c r="E1573" t="s">
        <v>76</v>
      </c>
      <c r="F1573">
        <v>186</v>
      </c>
      <c r="G1573">
        <v>186</v>
      </c>
      <c r="H1573">
        <v>0</v>
      </c>
      <c r="I1573">
        <v>12</v>
      </c>
      <c r="J1573" s="17">
        <v>0.59615384615384615</v>
      </c>
      <c r="K1573">
        <v>35</v>
      </c>
      <c r="L1573">
        <v>34</v>
      </c>
      <c r="M1573" s="17">
        <v>0.97142857142857142</v>
      </c>
      <c r="N1573" s="25">
        <v>11550</v>
      </c>
      <c r="O1573" s="25">
        <v>1674</v>
      </c>
      <c r="P1573" s="25">
        <v>5600</v>
      </c>
      <c r="Q1573" s="25">
        <v>18824</v>
      </c>
      <c r="R1573" s="18">
        <v>101.2043010752688</v>
      </c>
    </row>
    <row r="1574" spans="1:18" x14ac:dyDescent="0.35">
      <c r="A1574" s="13">
        <v>45570</v>
      </c>
      <c r="B1574">
        <v>2024</v>
      </c>
      <c r="C1574">
        <v>10</v>
      </c>
      <c r="D1574" t="s">
        <v>87</v>
      </c>
      <c r="E1574" t="s">
        <v>76</v>
      </c>
      <c r="F1574">
        <v>185</v>
      </c>
      <c r="G1574">
        <v>185</v>
      </c>
      <c r="H1574">
        <v>0</v>
      </c>
      <c r="I1574">
        <v>12</v>
      </c>
      <c r="J1574" s="17">
        <v>0.59294871794871795</v>
      </c>
      <c r="K1574">
        <v>35</v>
      </c>
      <c r="L1574">
        <v>33</v>
      </c>
      <c r="M1574" s="17">
        <v>0.94285714285714284</v>
      </c>
      <c r="N1574" s="25">
        <v>11550</v>
      </c>
      <c r="O1574" s="25">
        <v>1665</v>
      </c>
      <c r="P1574" s="25">
        <v>5600</v>
      </c>
      <c r="Q1574" s="25">
        <v>18815</v>
      </c>
      <c r="R1574" s="18">
        <v>101.70270270270269</v>
      </c>
    </row>
    <row r="1575" spans="1:18" x14ac:dyDescent="0.35">
      <c r="A1575" s="13">
        <v>45577</v>
      </c>
      <c r="B1575">
        <v>2024</v>
      </c>
      <c r="C1575">
        <v>10</v>
      </c>
      <c r="D1575" t="s">
        <v>87</v>
      </c>
      <c r="E1575" t="s">
        <v>76</v>
      </c>
      <c r="F1575">
        <v>181</v>
      </c>
      <c r="G1575">
        <v>181</v>
      </c>
      <c r="H1575">
        <v>0</v>
      </c>
      <c r="I1575">
        <v>11</v>
      </c>
      <c r="J1575" s="17">
        <v>0.63286713286713292</v>
      </c>
      <c r="K1575">
        <v>35</v>
      </c>
      <c r="L1575">
        <v>32</v>
      </c>
      <c r="M1575" s="17">
        <v>0.91428571428571426</v>
      </c>
      <c r="N1575" s="25">
        <v>10587.5</v>
      </c>
      <c r="O1575" s="25">
        <v>1629</v>
      </c>
      <c r="P1575" s="25">
        <v>5600</v>
      </c>
      <c r="Q1575" s="25">
        <v>17816.5</v>
      </c>
      <c r="R1575" s="18">
        <v>98.43370165745857</v>
      </c>
    </row>
    <row r="1576" spans="1:18" x14ac:dyDescent="0.35">
      <c r="A1576" s="13">
        <v>45584</v>
      </c>
      <c r="B1576">
        <v>2024</v>
      </c>
      <c r="C1576">
        <v>10</v>
      </c>
      <c r="D1576" t="s">
        <v>87</v>
      </c>
      <c r="E1576" t="s">
        <v>76</v>
      </c>
      <c r="F1576">
        <v>205</v>
      </c>
      <c r="G1576">
        <v>205</v>
      </c>
      <c r="H1576">
        <v>0</v>
      </c>
      <c r="I1576">
        <v>12</v>
      </c>
      <c r="J1576" s="17">
        <v>0.65705128205128205</v>
      </c>
      <c r="K1576">
        <v>35</v>
      </c>
      <c r="L1576">
        <v>33</v>
      </c>
      <c r="M1576" s="17">
        <v>0.94285714285714284</v>
      </c>
      <c r="N1576" s="25">
        <v>11550</v>
      </c>
      <c r="O1576" s="25">
        <v>1845</v>
      </c>
      <c r="P1576" s="25">
        <v>5600</v>
      </c>
      <c r="Q1576" s="25">
        <v>18995</v>
      </c>
      <c r="R1576" s="18">
        <v>92.658536585365852</v>
      </c>
    </row>
    <row r="1577" spans="1:18" x14ac:dyDescent="0.35">
      <c r="A1577" s="13">
        <v>45591</v>
      </c>
      <c r="B1577">
        <v>2024</v>
      </c>
      <c r="C1577">
        <v>10</v>
      </c>
      <c r="D1577" t="s">
        <v>87</v>
      </c>
      <c r="E1577" t="s">
        <v>76</v>
      </c>
      <c r="F1577">
        <v>202</v>
      </c>
      <c r="G1577">
        <v>202</v>
      </c>
      <c r="H1577">
        <v>0</v>
      </c>
      <c r="I1577">
        <v>12</v>
      </c>
      <c r="J1577" s="17">
        <v>0.64743589743589747</v>
      </c>
      <c r="K1577">
        <v>35</v>
      </c>
      <c r="L1577">
        <v>33</v>
      </c>
      <c r="M1577" s="17">
        <v>0.94285714285714284</v>
      </c>
      <c r="N1577" s="25">
        <v>11550</v>
      </c>
      <c r="O1577" s="25">
        <v>1818</v>
      </c>
      <c r="P1577" s="25">
        <v>5600</v>
      </c>
      <c r="Q1577" s="25">
        <v>18968</v>
      </c>
      <c r="R1577" s="18">
        <v>93.900990099009903</v>
      </c>
    </row>
    <row r="1578" spans="1:18" x14ac:dyDescent="0.35">
      <c r="A1578" s="13">
        <v>45598</v>
      </c>
      <c r="B1578">
        <v>2024</v>
      </c>
      <c r="C1578">
        <v>11</v>
      </c>
      <c r="D1578" t="s">
        <v>87</v>
      </c>
      <c r="E1578" t="s">
        <v>76</v>
      </c>
      <c r="F1578">
        <v>217</v>
      </c>
      <c r="G1578">
        <v>217</v>
      </c>
      <c r="H1578">
        <v>0</v>
      </c>
      <c r="I1578">
        <v>12</v>
      </c>
      <c r="J1578" s="17">
        <v>0.69551282051282048</v>
      </c>
      <c r="K1578">
        <v>35</v>
      </c>
      <c r="L1578">
        <v>34</v>
      </c>
      <c r="M1578" s="17">
        <v>0.97142857142857142</v>
      </c>
      <c r="N1578" s="25">
        <v>11550</v>
      </c>
      <c r="O1578" s="25">
        <v>1953</v>
      </c>
      <c r="P1578" s="25">
        <v>5600</v>
      </c>
      <c r="Q1578" s="25">
        <v>19103</v>
      </c>
      <c r="R1578" s="18">
        <v>88.032258064516128</v>
      </c>
    </row>
    <row r="1579" spans="1:18" x14ac:dyDescent="0.35">
      <c r="A1579" s="13">
        <v>45605</v>
      </c>
      <c r="B1579">
        <v>2024</v>
      </c>
      <c r="C1579">
        <v>11</v>
      </c>
      <c r="D1579" t="s">
        <v>87</v>
      </c>
      <c r="E1579" t="s">
        <v>76</v>
      </c>
      <c r="F1579">
        <v>230</v>
      </c>
      <c r="G1579">
        <v>230</v>
      </c>
      <c r="H1579">
        <v>0</v>
      </c>
      <c r="I1579">
        <v>12</v>
      </c>
      <c r="J1579" s="17">
        <v>0.73717948717948723</v>
      </c>
      <c r="K1579">
        <v>35</v>
      </c>
      <c r="L1579">
        <v>33</v>
      </c>
      <c r="M1579" s="17">
        <v>0.94285714285714284</v>
      </c>
      <c r="N1579" s="25">
        <v>11550</v>
      </c>
      <c r="O1579" s="25">
        <v>2070</v>
      </c>
      <c r="P1579" s="25">
        <v>5600</v>
      </c>
      <c r="Q1579" s="25">
        <v>19220</v>
      </c>
      <c r="R1579" s="18">
        <v>83.565217391304344</v>
      </c>
    </row>
    <row r="1580" spans="1:18" x14ac:dyDescent="0.35">
      <c r="A1580" s="13">
        <v>45612</v>
      </c>
      <c r="B1580">
        <v>2024</v>
      </c>
      <c r="C1580">
        <v>11</v>
      </c>
      <c r="D1580" t="s">
        <v>87</v>
      </c>
      <c r="E1580" t="s">
        <v>76</v>
      </c>
      <c r="F1580">
        <v>252</v>
      </c>
      <c r="G1580">
        <v>250</v>
      </c>
      <c r="H1580">
        <v>2</v>
      </c>
      <c r="I1580">
        <v>12</v>
      </c>
      <c r="J1580" s="17">
        <v>0.80128205128205132</v>
      </c>
      <c r="K1580">
        <v>35</v>
      </c>
      <c r="L1580">
        <v>34</v>
      </c>
      <c r="M1580" s="17">
        <v>0.97142857142857142</v>
      </c>
      <c r="N1580" s="25">
        <v>11550</v>
      </c>
      <c r="O1580" s="25">
        <v>2250</v>
      </c>
      <c r="P1580" s="25">
        <v>5600</v>
      </c>
      <c r="Q1580" s="25">
        <v>19400</v>
      </c>
      <c r="R1580" s="18">
        <v>77.599999999999994</v>
      </c>
    </row>
    <row r="1581" spans="1:18" x14ac:dyDescent="0.35">
      <c r="A1581" s="13">
        <v>45619</v>
      </c>
      <c r="B1581">
        <v>2024</v>
      </c>
      <c r="C1581">
        <v>11</v>
      </c>
      <c r="D1581" t="s">
        <v>87</v>
      </c>
      <c r="E1581" t="s">
        <v>76</v>
      </c>
      <c r="F1581">
        <v>242</v>
      </c>
      <c r="G1581">
        <v>243</v>
      </c>
      <c r="H1581">
        <v>1</v>
      </c>
      <c r="I1581">
        <v>12</v>
      </c>
      <c r="J1581" s="17">
        <v>0.77884615384615385</v>
      </c>
      <c r="K1581">
        <v>35</v>
      </c>
      <c r="L1581">
        <v>32</v>
      </c>
      <c r="M1581" s="17">
        <v>0.91428571428571426</v>
      </c>
      <c r="N1581" s="25">
        <v>11550</v>
      </c>
      <c r="O1581" s="25">
        <v>2187</v>
      </c>
      <c r="P1581" s="25">
        <v>5600</v>
      </c>
      <c r="Q1581" s="25">
        <v>19337</v>
      </c>
      <c r="R1581" s="18">
        <v>79.576131687242793</v>
      </c>
    </row>
    <row r="1582" spans="1:18" x14ac:dyDescent="0.35">
      <c r="A1582" s="13">
        <v>45626</v>
      </c>
      <c r="B1582">
        <v>2024</v>
      </c>
      <c r="C1582">
        <v>11</v>
      </c>
      <c r="D1582" t="s">
        <v>87</v>
      </c>
      <c r="E1582" t="s">
        <v>76</v>
      </c>
      <c r="F1582">
        <v>294</v>
      </c>
      <c r="G1582">
        <v>274</v>
      </c>
      <c r="H1582">
        <v>21</v>
      </c>
      <c r="I1582">
        <v>12</v>
      </c>
      <c r="J1582" s="17">
        <v>0.87820512820512819</v>
      </c>
      <c r="K1582">
        <v>35</v>
      </c>
      <c r="L1582">
        <v>33</v>
      </c>
      <c r="M1582" s="17">
        <v>0.94285714285714284</v>
      </c>
      <c r="N1582" s="25">
        <v>11550</v>
      </c>
      <c r="O1582" s="25">
        <v>2466</v>
      </c>
      <c r="P1582" s="25">
        <v>5600</v>
      </c>
      <c r="Q1582" s="25">
        <v>19616</v>
      </c>
      <c r="R1582" s="18">
        <v>71.591240875912405</v>
      </c>
    </row>
    <row r="1583" spans="1:18" x14ac:dyDescent="0.35">
      <c r="A1583" s="13">
        <v>45633</v>
      </c>
      <c r="B1583">
        <v>2024</v>
      </c>
      <c r="C1583">
        <v>12</v>
      </c>
      <c r="D1583" t="s">
        <v>87</v>
      </c>
      <c r="E1583" t="s">
        <v>76</v>
      </c>
      <c r="F1583">
        <v>304</v>
      </c>
      <c r="G1583">
        <v>278</v>
      </c>
      <c r="H1583">
        <v>47</v>
      </c>
      <c r="I1583">
        <v>12</v>
      </c>
      <c r="J1583" s="17">
        <v>0.89102564102564108</v>
      </c>
      <c r="K1583">
        <v>35</v>
      </c>
      <c r="L1583">
        <v>30</v>
      </c>
      <c r="M1583" s="17">
        <v>0.8571428571428571</v>
      </c>
      <c r="N1583" s="25">
        <v>11550</v>
      </c>
      <c r="O1583" s="25">
        <v>2502</v>
      </c>
      <c r="P1583" s="25">
        <v>5600</v>
      </c>
      <c r="Q1583" s="25">
        <v>19652</v>
      </c>
      <c r="R1583" s="18">
        <v>70.690647482014384</v>
      </c>
    </row>
    <row r="1584" spans="1:18" x14ac:dyDescent="0.35">
      <c r="A1584" s="13">
        <v>45640</v>
      </c>
      <c r="B1584">
        <v>2024</v>
      </c>
      <c r="C1584">
        <v>12</v>
      </c>
      <c r="D1584" t="s">
        <v>87</v>
      </c>
      <c r="E1584" t="s">
        <v>76</v>
      </c>
      <c r="F1584">
        <v>300</v>
      </c>
      <c r="G1584">
        <v>277</v>
      </c>
      <c r="H1584">
        <v>70</v>
      </c>
      <c r="I1584">
        <v>13</v>
      </c>
      <c r="J1584" s="17">
        <v>0.81952662721893488</v>
      </c>
      <c r="K1584">
        <v>35</v>
      </c>
      <c r="L1584">
        <v>33</v>
      </c>
      <c r="M1584" s="17">
        <v>0.94285714285714284</v>
      </c>
      <c r="N1584" s="25">
        <v>12512.5</v>
      </c>
      <c r="O1584" s="25">
        <v>2493</v>
      </c>
      <c r="P1584" s="25">
        <v>5600</v>
      </c>
      <c r="Q1584" s="25">
        <v>20605.5</v>
      </c>
      <c r="R1584" s="18">
        <v>74.388086642599276</v>
      </c>
    </row>
    <row r="1585" spans="1:18" x14ac:dyDescent="0.35">
      <c r="A1585" s="13">
        <v>45647</v>
      </c>
      <c r="B1585">
        <v>2024</v>
      </c>
      <c r="C1585">
        <v>12</v>
      </c>
      <c r="D1585" t="s">
        <v>87</v>
      </c>
      <c r="E1585" t="s">
        <v>76</v>
      </c>
      <c r="F1585">
        <v>265</v>
      </c>
      <c r="G1585">
        <v>272</v>
      </c>
      <c r="H1585">
        <v>63</v>
      </c>
      <c r="I1585">
        <v>12</v>
      </c>
      <c r="J1585" s="17">
        <v>0.87179487179487181</v>
      </c>
      <c r="K1585">
        <v>35</v>
      </c>
      <c r="L1585">
        <v>33</v>
      </c>
      <c r="M1585" s="17">
        <v>0.94285714285714284</v>
      </c>
      <c r="N1585" s="25">
        <v>11550</v>
      </c>
      <c r="O1585" s="25">
        <v>2448</v>
      </c>
      <c r="P1585" s="25">
        <v>5600</v>
      </c>
      <c r="Q1585" s="25">
        <v>19598</v>
      </c>
      <c r="R1585" s="18">
        <v>72.05147058823529</v>
      </c>
    </row>
    <row r="1586" spans="1:18" x14ac:dyDescent="0.35">
      <c r="A1586" s="13">
        <v>45654</v>
      </c>
      <c r="B1586">
        <v>2024</v>
      </c>
      <c r="C1586">
        <v>12</v>
      </c>
      <c r="D1586" t="s">
        <v>87</v>
      </c>
      <c r="E1586" t="s">
        <v>76</v>
      </c>
      <c r="F1586">
        <v>223</v>
      </c>
      <c r="G1586">
        <v>258</v>
      </c>
      <c r="H1586">
        <v>28</v>
      </c>
      <c r="I1586">
        <v>12</v>
      </c>
      <c r="J1586" s="17">
        <v>0.82692307692307687</v>
      </c>
      <c r="K1586">
        <v>35</v>
      </c>
      <c r="L1586">
        <v>33</v>
      </c>
      <c r="M1586" s="17">
        <v>0.94285714285714284</v>
      </c>
      <c r="N1586" s="25">
        <v>11550</v>
      </c>
      <c r="O1586" s="25">
        <v>2322</v>
      </c>
      <c r="P1586" s="25">
        <v>5600</v>
      </c>
      <c r="Q1586" s="25">
        <v>19472</v>
      </c>
      <c r="R1586" s="18">
        <v>75.47286821705427</v>
      </c>
    </row>
    <row r="1587" spans="1:18" x14ac:dyDescent="0.35">
      <c r="A1587" s="13">
        <v>45661</v>
      </c>
      <c r="B1587">
        <v>2025</v>
      </c>
      <c r="C1587">
        <v>1</v>
      </c>
      <c r="D1587" t="s">
        <v>87</v>
      </c>
      <c r="E1587" t="s">
        <v>76</v>
      </c>
      <c r="F1587">
        <v>192</v>
      </c>
      <c r="G1587">
        <v>212</v>
      </c>
      <c r="H1587">
        <v>8</v>
      </c>
      <c r="I1587">
        <v>12</v>
      </c>
      <c r="J1587" s="17">
        <v>0.67948717948717952</v>
      </c>
      <c r="K1587">
        <v>35</v>
      </c>
      <c r="L1587">
        <v>32</v>
      </c>
      <c r="M1587" s="17">
        <v>0.91428571428571426</v>
      </c>
      <c r="N1587" s="25">
        <v>11550</v>
      </c>
      <c r="O1587" s="25">
        <v>1908</v>
      </c>
      <c r="P1587" s="25">
        <v>5600</v>
      </c>
      <c r="Q1587" s="25">
        <v>19058</v>
      </c>
      <c r="R1587" s="18">
        <v>89.896226415094333</v>
      </c>
    </row>
    <row r="1588" spans="1:18" x14ac:dyDescent="0.35">
      <c r="A1588" s="13">
        <v>45668</v>
      </c>
      <c r="B1588">
        <v>2025</v>
      </c>
      <c r="C1588">
        <v>1</v>
      </c>
      <c r="D1588" t="s">
        <v>87</v>
      </c>
      <c r="E1588" t="s">
        <v>76</v>
      </c>
      <c r="F1588">
        <v>147</v>
      </c>
      <c r="G1588">
        <v>155</v>
      </c>
      <c r="H1588">
        <v>0</v>
      </c>
      <c r="I1588">
        <v>9</v>
      </c>
      <c r="J1588" s="17">
        <v>0.66239316239316237</v>
      </c>
      <c r="K1588">
        <v>35</v>
      </c>
      <c r="L1588">
        <v>30</v>
      </c>
      <c r="M1588" s="17">
        <v>0.8571428571428571</v>
      </c>
      <c r="N1588" s="25">
        <v>8662.5</v>
      </c>
      <c r="O1588" s="25">
        <v>1395</v>
      </c>
      <c r="P1588" s="25">
        <v>5600</v>
      </c>
      <c r="Q1588" s="25">
        <v>15657.5</v>
      </c>
      <c r="R1588" s="18">
        <v>101.01612903225811</v>
      </c>
    </row>
    <row r="1589" spans="1:18" x14ac:dyDescent="0.35">
      <c r="A1589" s="13">
        <v>45675</v>
      </c>
      <c r="B1589">
        <v>2025</v>
      </c>
      <c r="C1589">
        <v>1</v>
      </c>
      <c r="D1589" t="s">
        <v>87</v>
      </c>
      <c r="E1589" t="s">
        <v>76</v>
      </c>
      <c r="F1589">
        <v>153</v>
      </c>
      <c r="G1589">
        <v>153</v>
      </c>
      <c r="H1589">
        <v>0</v>
      </c>
      <c r="I1589">
        <v>10</v>
      </c>
      <c r="J1589" s="17">
        <v>0.58846153846153848</v>
      </c>
      <c r="K1589">
        <v>35</v>
      </c>
      <c r="L1589">
        <v>33</v>
      </c>
      <c r="M1589" s="17">
        <v>0.94285714285714284</v>
      </c>
      <c r="N1589" s="25">
        <v>9625</v>
      </c>
      <c r="O1589" s="25">
        <v>1377</v>
      </c>
      <c r="P1589" s="25">
        <v>5600</v>
      </c>
      <c r="Q1589" s="25">
        <v>16602</v>
      </c>
      <c r="R1589" s="18">
        <v>108.5098039215686</v>
      </c>
    </row>
    <row r="1590" spans="1:18" x14ac:dyDescent="0.35">
      <c r="A1590" s="13">
        <v>45682</v>
      </c>
      <c r="B1590">
        <v>2025</v>
      </c>
      <c r="C1590">
        <v>1</v>
      </c>
      <c r="D1590" t="s">
        <v>87</v>
      </c>
      <c r="E1590" t="s">
        <v>76</v>
      </c>
      <c r="F1590">
        <v>163</v>
      </c>
      <c r="G1590">
        <v>163</v>
      </c>
      <c r="H1590">
        <v>0</v>
      </c>
      <c r="I1590">
        <v>9</v>
      </c>
      <c r="J1590" s="17">
        <v>0.69658119658119655</v>
      </c>
      <c r="K1590">
        <v>35</v>
      </c>
      <c r="L1590">
        <v>29</v>
      </c>
      <c r="M1590" s="17">
        <v>0.82857142857142863</v>
      </c>
      <c r="N1590" s="25">
        <v>8662.5</v>
      </c>
      <c r="O1590" s="25">
        <v>1467</v>
      </c>
      <c r="P1590" s="25">
        <v>5600</v>
      </c>
      <c r="Q1590" s="25">
        <v>15729.5</v>
      </c>
      <c r="R1590" s="18">
        <v>96.5</v>
      </c>
    </row>
    <row r="1591" spans="1:18" x14ac:dyDescent="0.35">
      <c r="A1591" s="13">
        <v>45689</v>
      </c>
      <c r="B1591">
        <v>2025</v>
      </c>
      <c r="C1591">
        <v>2</v>
      </c>
      <c r="D1591" t="s">
        <v>87</v>
      </c>
      <c r="E1591" t="s">
        <v>76</v>
      </c>
      <c r="F1591">
        <v>166</v>
      </c>
      <c r="G1591">
        <v>166</v>
      </c>
      <c r="H1591">
        <v>0</v>
      </c>
      <c r="I1591">
        <v>10</v>
      </c>
      <c r="J1591" s="17">
        <v>0.63846153846153841</v>
      </c>
      <c r="K1591">
        <v>35</v>
      </c>
      <c r="L1591">
        <v>32</v>
      </c>
      <c r="M1591" s="17">
        <v>0.91428571428571426</v>
      </c>
      <c r="N1591" s="25">
        <v>9625</v>
      </c>
      <c r="O1591" s="25">
        <v>1494</v>
      </c>
      <c r="P1591" s="25">
        <v>5600</v>
      </c>
      <c r="Q1591" s="25">
        <v>16719</v>
      </c>
      <c r="R1591" s="18">
        <v>100.7168674698795</v>
      </c>
    </row>
    <row r="1592" spans="1:18" x14ac:dyDescent="0.35">
      <c r="A1592" s="13">
        <v>45696</v>
      </c>
      <c r="B1592">
        <v>2025</v>
      </c>
      <c r="C1592">
        <v>2</v>
      </c>
      <c r="D1592" t="s">
        <v>87</v>
      </c>
      <c r="E1592" t="s">
        <v>76</v>
      </c>
      <c r="F1592">
        <v>173</v>
      </c>
      <c r="G1592">
        <v>173</v>
      </c>
      <c r="H1592">
        <v>0</v>
      </c>
      <c r="I1592">
        <v>11</v>
      </c>
      <c r="J1592" s="17">
        <v>0.6048951048951049</v>
      </c>
      <c r="K1592">
        <v>35</v>
      </c>
      <c r="L1592">
        <v>30</v>
      </c>
      <c r="M1592" s="17">
        <v>0.8571428571428571</v>
      </c>
      <c r="N1592" s="25">
        <v>10587.5</v>
      </c>
      <c r="O1592" s="25">
        <v>1557</v>
      </c>
      <c r="P1592" s="25">
        <v>5600</v>
      </c>
      <c r="Q1592" s="25">
        <v>17744.5</v>
      </c>
      <c r="R1592" s="18">
        <v>102.56936416184971</v>
      </c>
    </row>
    <row r="1593" spans="1:18" x14ac:dyDescent="0.35">
      <c r="A1593" s="13">
        <v>45703</v>
      </c>
      <c r="B1593">
        <v>2025</v>
      </c>
      <c r="C1593">
        <v>2</v>
      </c>
      <c r="D1593" t="s">
        <v>87</v>
      </c>
      <c r="E1593" t="s">
        <v>76</v>
      </c>
      <c r="F1593">
        <v>181</v>
      </c>
      <c r="G1593">
        <v>181</v>
      </c>
      <c r="H1593">
        <v>0</v>
      </c>
      <c r="I1593">
        <v>12</v>
      </c>
      <c r="J1593" s="17">
        <v>0.58012820512820518</v>
      </c>
      <c r="K1593">
        <v>35</v>
      </c>
      <c r="L1593">
        <v>32</v>
      </c>
      <c r="M1593" s="17">
        <v>0.91428571428571426</v>
      </c>
      <c r="N1593" s="25">
        <v>11550</v>
      </c>
      <c r="O1593" s="25">
        <v>1629</v>
      </c>
      <c r="P1593" s="25">
        <v>5600</v>
      </c>
      <c r="Q1593" s="25">
        <v>18779</v>
      </c>
      <c r="R1593" s="18">
        <v>103.75138121546961</v>
      </c>
    </row>
    <row r="1594" spans="1:18" x14ac:dyDescent="0.35">
      <c r="A1594" s="13">
        <v>45710</v>
      </c>
      <c r="B1594">
        <v>2025</v>
      </c>
      <c r="C1594">
        <v>2</v>
      </c>
      <c r="D1594" t="s">
        <v>87</v>
      </c>
      <c r="E1594" t="s">
        <v>76</v>
      </c>
      <c r="F1594">
        <v>188</v>
      </c>
      <c r="G1594">
        <v>188</v>
      </c>
      <c r="H1594">
        <v>0</v>
      </c>
      <c r="I1594">
        <v>12</v>
      </c>
      <c r="J1594" s="17">
        <v>0.60256410256410253</v>
      </c>
      <c r="K1594">
        <v>35</v>
      </c>
      <c r="L1594">
        <v>32</v>
      </c>
      <c r="M1594" s="17">
        <v>0.91428571428571426</v>
      </c>
      <c r="N1594" s="25">
        <v>11550</v>
      </c>
      <c r="O1594" s="25">
        <v>1692</v>
      </c>
      <c r="P1594" s="25">
        <v>5600</v>
      </c>
      <c r="Q1594" s="25">
        <v>18842</v>
      </c>
      <c r="R1594" s="18">
        <v>100.2234042553192</v>
      </c>
    </row>
    <row r="1595" spans="1:18" x14ac:dyDescent="0.35">
      <c r="A1595" s="13">
        <v>45717</v>
      </c>
      <c r="B1595">
        <v>2025</v>
      </c>
      <c r="C1595">
        <v>3</v>
      </c>
      <c r="D1595" t="s">
        <v>87</v>
      </c>
      <c r="E1595" t="s">
        <v>76</v>
      </c>
      <c r="F1595">
        <v>193</v>
      </c>
      <c r="G1595">
        <v>193</v>
      </c>
      <c r="H1595">
        <v>0</v>
      </c>
      <c r="I1595">
        <v>12</v>
      </c>
      <c r="J1595" s="17">
        <v>0.61858974358974361</v>
      </c>
      <c r="K1595">
        <v>35</v>
      </c>
      <c r="L1595">
        <v>33</v>
      </c>
      <c r="M1595" s="17">
        <v>0.94285714285714284</v>
      </c>
      <c r="N1595" s="25">
        <v>11550</v>
      </c>
      <c r="O1595" s="25">
        <v>1737</v>
      </c>
      <c r="P1595" s="25">
        <v>5600</v>
      </c>
      <c r="Q1595" s="25">
        <v>18887</v>
      </c>
      <c r="R1595" s="18">
        <v>97.860103626943001</v>
      </c>
    </row>
    <row r="1596" spans="1:18" x14ac:dyDescent="0.35">
      <c r="A1596" s="13">
        <v>45724</v>
      </c>
      <c r="B1596">
        <v>2025</v>
      </c>
      <c r="C1596">
        <v>3</v>
      </c>
      <c r="D1596" t="s">
        <v>87</v>
      </c>
      <c r="E1596" t="s">
        <v>76</v>
      </c>
      <c r="F1596">
        <v>196</v>
      </c>
      <c r="G1596">
        <v>196</v>
      </c>
      <c r="H1596">
        <v>0</v>
      </c>
      <c r="I1596">
        <v>12</v>
      </c>
      <c r="J1596" s="17">
        <v>0.62820512820512819</v>
      </c>
      <c r="K1596">
        <v>35</v>
      </c>
      <c r="L1596">
        <v>35</v>
      </c>
      <c r="M1596" s="17">
        <v>1</v>
      </c>
      <c r="N1596" s="25">
        <v>11550</v>
      </c>
      <c r="O1596" s="25">
        <v>1764</v>
      </c>
      <c r="P1596" s="25">
        <v>5600</v>
      </c>
      <c r="Q1596" s="25">
        <v>18914</v>
      </c>
      <c r="R1596" s="18">
        <v>96.5</v>
      </c>
    </row>
    <row r="1597" spans="1:18" x14ac:dyDescent="0.35">
      <c r="A1597" s="13">
        <v>45731</v>
      </c>
      <c r="B1597">
        <v>2025</v>
      </c>
      <c r="C1597">
        <v>3</v>
      </c>
      <c r="D1597" t="s">
        <v>87</v>
      </c>
      <c r="E1597" t="s">
        <v>76</v>
      </c>
      <c r="F1597">
        <v>189</v>
      </c>
      <c r="G1597">
        <v>189</v>
      </c>
      <c r="H1597">
        <v>0</v>
      </c>
      <c r="I1597">
        <v>12</v>
      </c>
      <c r="J1597" s="17">
        <v>0.60576923076923073</v>
      </c>
      <c r="K1597">
        <v>35</v>
      </c>
      <c r="L1597">
        <v>31</v>
      </c>
      <c r="M1597" s="17">
        <v>0.88571428571428568</v>
      </c>
      <c r="N1597" s="25">
        <v>11550</v>
      </c>
      <c r="O1597" s="25">
        <v>1701</v>
      </c>
      <c r="P1597" s="25">
        <v>5600</v>
      </c>
      <c r="Q1597" s="25">
        <v>18851</v>
      </c>
      <c r="R1597" s="18">
        <v>99.740740740740748</v>
      </c>
    </row>
    <row r="1598" spans="1:18" x14ac:dyDescent="0.35">
      <c r="A1598" s="13">
        <v>45738</v>
      </c>
      <c r="B1598">
        <v>2025</v>
      </c>
      <c r="C1598">
        <v>3</v>
      </c>
      <c r="D1598" t="s">
        <v>87</v>
      </c>
      <c r="E1598" t="s">
        <v>76</v>
      </c>
      <c r="F1598">
        <v>190</v>
      </c>
      <c r="G1598">
        <v>190</v>
      </c>
      <c r="H1598">
        <v>0</v>
      </c>
      <c r="I1598">
        <v>12</v>
      </c>
      <c r="J1598" s="17">
        <v>0.60897435897435892</v>
      </c>
      <c r="K1598">
        <v>35</v>
      </c>
      <c r="L1598">
        <v>32</v>
      </c>
      <c r="M1598" s="17">
        <v>0.91428571428571426</v>
      </c>
      <c r="N1598" s="25">
        <v>11550</v>
      </c>
      <c r="O1598" s="25">
        <v>1710</v>
      </c>
      <c r="P1598" s="25">
        <v>5600</v>
      </c>
      <c r="Q1598" s="25">
        <v>18860</v>
      </c>
      <c r="R1598" s="18">
        <v>99.263157894736835</v>
      </c>
    </row>
    <row r="1599" spans="1:18" x14ac:dyDescent="0.35">
      <c r="A1599" s="13">
        <v>45745</v>
      </c>
      <c r="B1599">
        <v>2025</v>
      </c>
      <c r="C1599">
        <v>3</v>
      </c>
      <c r="D1599" t="s">
        <v>87</v>
      </c>
      <c r="E1599" t="s">
        <v>76</v>
      </c>
      <c r="F1599">
        <v>195</v>
      </c>
      <c r="G1599">
        <v>195</v>
      </c>
      <c r="H1599">
        <v>0</v>
      </c>
      <c r="I1599">
        <v>12</v>
      </c>
      <c r="J1599" s="17">
        <v>0.625</v>
      </c>
      <c r="K1599">
        <v>35</v>
      </c>
      <c r="L1599">
        <v>29</v>
      </c>
      <c r="M1599" s="17">
        <v>0.82857142857142863</v>
      </c>
      <c r="N1599" s="25">
        <v>11550</v>
      </c>
      <c r="O1599" s="25">
        <v>1755</v>
      </c>
      <c r="P1599" s="25">
        <v>5600</v>
      </c>
      <c r="Q1599" s="25">
        <v>18905</v>
      </c>
      <c r="R1599" s="18">
        <v>96.948717948717942</v>
      </c>
    </row>
    <row r="1600" spans="1:18" x14ac:dyDescent="0.35">
      <c r="A1600" s="13">
        <v>45752</v>
      </c>
      <c r="B1600">
        <v>2025</v>
      </c>
      <c r="C1600">
        <v>4</v>
      </c>
      <c r="D1600" t="s">
        <v>87</v>
      </c>
      <c r="E1600" t="s">
        <v>76</v>
      </c>
      <c r="F1600">
        <v>188</v>
      </c>
      <c r="G1600">
        <v>188</v>
      </c>
      <c r="H1600">
        <v>0</v>
      </c>
      <c r="I1600">
        <v>12</v>
      </c>
      <c r="J1600" s="17">
        <v>0.60256410256410253</v>
      </c>
      <c r="K1600">
        <v>35</v>
      </c>
      <c r="L1600">
        <v>34</v>
      </c>
      <c r="M1600" s="17">
        <v>0.97142857142857142</v>
      </c>
      <c r="N1600" s="25">
        <v>11550</v>
      </c>
      <c r="O1600" s="25">
        <v>1692</v>
      </c>
      <c r="P1600" s="25">
        <v>5600</v>
      </c>
      <c r="Q1600" s="25">
        <v>18842</v>
      </c>
      <c r="R1600" s="18">
        <v>100.2234042553192</v>
      </c>
    </row>
    <row r="1601" spans="1:18" x14ac:dyDescent="0.35">
      <c r="A1601" s="13">
        <v>45759</v>
      </c>
      <c r="B1601">
        <v>2025</v>
      </c>
      <c r="C1601">
        <v>4</v>
      </c>
      <c r="D1601" t="s">
        <v>87</v>
      </c>
      <c r="E1601" t="s">
        <v>76</v>
      </c>
      <c r="F1601">
        <v>196</v>
      </c>
      <c r="G1601">
        <v>196</v>
      </c>
      <c r="H1601">
        <v>0</v>
      </c>
      <c r="I1601">
        <v>12</v>
      </c>
      <c r="J1601" s="17">
        <v>0.62820512820512819</v>
      </c>
      <c r="K1601">
        <v>35</v>
      </c>
      <c r="L1601">
        <v>30</v>
      </c>
      <c r="M1601" s="17">
        <v>0.8571428571428571</v>
      </c>
      <c r="N1601" s="25">
        <v>11550</v>
      </c>
      <c r="O1601" s="25">
        <v>1764</v>
      </c>
      <c r="P1601" s="25">
        <v>5600</v>
      </c>
      <c r="Q1601" s="25">
        <v>18914</v>
      </c>
      <c r="R1601" s="18">
        <v>96.5</v>
      </c>
    </row>
    <row r="1602" spans="1:18" x14ac:dyDescent="0.35">
      <c r="A1602" s="13">
        <v>45766</v>
      </c>
      <c r="B1602">
        <v>2025</v>
      </c>
      <c r="C1602">
        <v>4</v>
      </c>
      <c r="D1602" t="s">
        <v>87</v>
      </c>
      <c r="E1602" t="s">
        <v>76</v>
      </c>
      <c r="F1602">
        <v>208</v>
      </c>
      <c r="G1602">
        <v>208</v>
      </c>
      <c r="H1602">
        <v>0</v>
      </c>
      <c r="I1602">
        <v>11</v>
      </c>
      <c r="J1602" s="17">
        <v>0.72727272727272729</v>
      </c>
      <c r="K1602">
        <v>35</v>
      </c>
      <c r="L1602">
        <v>33</v>
      </c>
      <c r="M1602" s="17">
        <v>0.94285714285714284</v>
      </c>
      <c r="N1602" s="25">
        <v>10587.5</v>
      </c>
      <c r="O1602" s="25">
        <v>1872</v>
      </c>
      <c r="P1602" s="25">
        <v>5600</v>
      </c>
      <c r="Q1602" s="25">
        <v>18059.5</v>
      </c>
      <c r="R1602" s="18">
        <v>86.824519230769226</v>
      </c>
    </row>
    <row r="1603" spans="1:18" x14ac:dyDescent="0.35">
      <c r="A1603" s="13">
        <v>45773</v>
      </c>
      <c r="B1603">
        <v>2025</v>
      </c>
      <c r="C1603">
        <v>4</v>
      </c>
      <c r="D1603" t="s">
        <v>87</v>
      </c>
      <c r="E1603" t="s">
        <v>76</v>
      </c>
      <c r="F1603">
        <v>208</v>
      </c>
      <c r="G1603">
        <v>208</v>
      </c>
      <c r="H1603">
        <v>0</v>
      </c>
      <c r="I1603">
        <v>12</v>
      </c>
      <c r="J1603" s="17">
        <v>0.66666666666666663</v>
      </c>
      <c r="K1603">
        <v>35</v>
      </c>
      <c r="L1603">
        <v>31</v>
      </c>
      <c r="M1603" s="17">
        <v>0.88571428571428568</v>
      </c>
      <c r="N1603" s="25">
        <v>11550</v>
      </c>
      <c r="O1603" s="25">
        <v>1872</v>
      </c>
      <c r="P1603" s="25">
        <v>5600</v>
      </c>
      <c r="Q1603" s="25">
        <v>19022</v>
      </c>
      <c r="R1603" s="18">
        <v>91.45192307692308</v>
      </c>
    </row>
    <row r="1604" spans="1:18" x14ac:dyDescent="0.35">
      <c r="A1604" s="13">
        <v>45780</v>
      </c>
      <c r="B1604">
        <v>2025</v>
      </c>
      <c r="C1604">
        <v>5</v>
      </c>
      <c r="D1604" t="s">
        <v>87</v>
      </c>
      <c r="E1604" t="s">
        <v>76</v>
      </c>
      <c r="F1604">
        <v>221</v>
      </c>
      <c r="G1604">
        <v>221</v>
      </c>
      <c r="H1604">
        <v>0</v>
      </c>
      <c r="I1604">
        <v>12</v>
      </c>
      <c r="J1604" s="17">
        <v>0.70833333333333337</v>
      </c>
      <c r="K1604">
        <v>35</v>
      </c>
      <c r="L1604">
        <v>35</v>
      </c>
      <c r="M1604" s="17">
        <v>1</v>
      </c>
      <c r="N1604" s="25">
        <v>11550</v>
      </c>
      <c r="O1604" s="25">
        <v>1989</v>
      </c>
      <c r="P1604" s="25">
        <v>5600</v>
      </c>
      <c r="Q1604" s="25">
        <v>19139</v>
      </c>
      <c r="R1604" s="18">
        <v>86.601809954751133</v>
      </c>
    </row>
    <row r="1605" spans="1:18" x14ac:dyDescent="0.35">
      <c r="A1605" s="13">
        <v>45787</v>
      </c>
      <c r="B1605">
        <v>2025</v>
      </c>
      <c r="C1605">
        <v>5</v>
      </c>
      <c r="D1605" t="s">
        <v>87</v>
      </c>
      <c r="E1605" t="s">
        <v>76</v>
      </c>
      <c r="F1605">
        <v>220</v>
      </c>
      <c r="G1605">
        <v>220</v>
      </c>
      <c r="H1605">
        <v>0</v>
      </c>
      <c r="I1605">
        <v>12</v>
      </c>
      <c r="J1605" s="17">
        <v>0.70512820512820518</v>
      </c>
      <c r="K1605">
        <v>35</v>
      </c>
      <c r="L1605">
        <v>33</v>
      </c>
      <c r="M1605" s="17">
        <v>0.94285714285714284</v>
      </c>
      <c r="N1605" s="25">
        <v>11550</v>
      </c>
      <c r="O1605" s="25">
        <v>1980</v>
      </c>
      <c r="P1605" s="25">
        <v>5600</v>
      </c>
      <c r="Q1605" s="25">
        <v>19130</v>
      </c>
      <c r="R1605" s="18">
        <v>86.954545454545453</v>
      </c>
    </row>
    <row r="1606" spans="1:18" x14ac:dyDescent="0.35">
      <c r="A1606" s="13">
        <v>45794</v>
      </c>
      <c r="B1606">
        <v>2025</v>
      </c>
      <c r="C1606">
        <v>5</v>
      </c>
      <c r="D1606" t="s">
        <v>87</v>
      </c>
      <c r="E1606" t="s">
        <v>76</v>
      </c>
      <c r="F1606">
        <v>217</v>
      </c>
      <c r="G1606">
        <v>217</v>
      </c>
      <c r="H1606">
        <v>0</v>
      </c>
      <c r="I1606">
        <v>12</v>
      </c>
      <c r="J1606" s="17">
        <v>0.69551282051282048</v>
      </c>
      <c r="K1606">
        <v>35</v>
      </c>
      <c r="L1606">
        <v>30</v>
      </c>
      <c r="M1606" s="17">
        <v>0.8571428571428571</v>
      </c>
      <c r="N1606" s="25">
        <v>11550</v>
      </c>
      <c r="O1606" s="25">
        <v>1953</v>
      </c>
      <c r="P1606" s="25">
        <v>5600</v>
      </c>
      <c r="Q1606" s="25">
        <v>19103</v>
      </c>
      <c r="R1606" s="18">
        <v>88.032258064516128</v>
      </c>
    </row>
    <row r="1607" spans="1:18" x14ac:dyDescent="0.35">
      <c r="A1607" s="13">
        <v>45801</v>
      </c>
      <c r="B1607">
        <v>2025</v>
      </c>
      <c r="C1607">
        <v>5</v>
      </c>
      <c r="D1607" t="s">
        <v>87</v>
      </c>
      <c r="E1607" t="s">
        <v>76</v>
      </c>
      <c r="F1607">
        <v>222</v>
      </c>
      <c r="G1607">
        <v>222</v>
      </c>
      <c r="H1607">
        <v>0</v>
      </c>
      <c r="I1607">
        <v>12</v>
      </c>
      <c r="J1607" s="17">
        <v>0.71153846153846156</v>
      </c>
      <c r="K1607">
        <v>35</v>
      </c>
      <c r="L1607">
        <v>31</v>
      </c>
      <c r="M1607" s="17">
        <v>0.88571428571428568</v>
      </c>
      <c r="N1607" s="25">
        <v>11550</v>
      </c>
      <c r="O1607" s="25">
        <v>1998</v>
      </c>
      <c r="P1607" s="25">
        <v>5600</v>
      </c>
      <c r="Q1607" s="25">
        <v>19148</v>
      </c>
      <c r="R1607" s="18">
        <v>86.252252252252248</v>
      </c>
    </row>
    <row r="1608" spans="1:18" x14ac:dyDescent="0.35">
      <c r="A1608" s="13">
        <v>45808</v>
      </c>
      <c r="B1608">
        <v>2025</v>
      </c>
      <c r="C1608">
        <v>5</v>
      </c>
      <c r="D1608" t="s">
        <v>87</v>
      </c>
      <c r="E1608" t="s">
        <v>76</v>
      </c>
      <c r="F1608">
        <v>217</v>
      </c>
      <c r="G1608">
        <v>217</v>
      </c>
      <c r="H1608">
        <v>0</v>
      </c>
      <c r="I1608">
        <v>12</v>
      </c>
      <c r="J1608" s="17">
        <v>0.69551282051282048</v>
      </c>
      <c r="K1608">
        <v>35</v>
      </c>
      <c r="L1608">
        <v>29</v>
      </c>
      <c r="M1608" s="17">
        <v>0.82857142857142863</v>
      </c>
      <c r="N1608" s="25">
        <v>11550</v>
      </c>
      <c r="O1608" s="25">
        <v>1953</v>
      </c>
      <c r="P1608" s="25">
        <v>5600</v>
      </c>
      <c r="Q1608" s="25">
        <v>19103</v>
      </c>
      <c r="R1608" s="18">
        <v>88.032258064516128</v>
      </c>
    </row>
    <row r="1609" spans="1:18" x14ac:dyDescent="0.35">
      <c r="A1609" s="13">
        <v>45815</v>
      </c>
      <c r="B1609">
        <v>2025</v>
      </c>
      <c r="C1609">
        <v>6</v>
      </c>
      <c r="D1609" t="s">
        <v>87</v>
      </c>
      <c r="E1609" t="s">
        <v>76</v>
      </c>
      <c r="F1609">
        <v>212</v>
      </c>
      <c r="G1609">
        <v>212</v>
      </c>
      <c r="H1609">
        <v>0</v>
      </c>
      <c r="I1609">
        <v>12</v>
      </c>
      <c r="J1609" s="17">
        <v>0.67948717948717952</v>
      </c>
      <c r="K1609">
        <v>35</v>
      </c>
      <c r="L1609">
        <v>34</v>
      </c>
      <c r="M1609" s="17">
        <v>0.97142857142857142</v>
      </c>
      <c r="N1609" s="25">
        <v>11550</v>
      </c>
      <c r="O1609" s="25">
        <v>1908</v>
      </c>
      <c r="P1609" s="25">
        <v>5600</v>
      </c>
      <c r="Q1609" s="25">
        <v>19058</v>
      </c>
      <c r="R1609" s="18">
        <v>89.896226415094333</v>
      </c>
    </row>
    <row r="1610" spans="1:18" x14ac:dyDescent="0.35">
      <c r="A1610" s="13">
        <v>45822</v>
      </c>
      <c r="B1610">
        <v>2025</v>
      </c>
      <c r="C1610">
        <v>6</v>
      </c>
      <c r="D1610" t="s">
        <v>87</v>
      </c>
      <c r="E1610" t="s">
        <v>76</v>
      </c>
      <c r="F1610">
        <v>195</v>
      </c>
      <c r="G1610">
        <v>195</v>
      </c>
      <c r="H1610">
        <v>0</v>
      </c>
      <c r="I1610">
        <v>12</v>
      </c>
      <c r="J1610" s="17">
        <v>0.625</v>
      </c>
      <c r="K1610">
        <v>35</v>
      </c>
      <c r="L1610">
        <v>31</v>
      </c>
      <c r="M1610" s="17">
        <v>0.88571428571428568</v>
      </c>
      <c r="N1610" s="25">
        <v>11550</v>
      </c>
      <c r="O1610" s="25">
        <v>1755</v>
      </c>
      <c r="P1610" s="25">
        <v>5600</v>
      </c>
      <c r="Q1610" s="25">
        <v>18905</v>
      </c>
      <c r="R1610" s="18">
        <v>96.948717948717942</v>
      </c>
    </row>
    <row r="1611" spans="1:18" x14ac:dyDescent="0.35">
      <c r="A1611" s="13">
        <v>45829</v>
      </c>
      <c r="B1611">
        <v>2025</v>
      </c>
      <c r="C1611">
        <v>6</v>
      </c>
      <c r="D1611" t="s">
        <v>87</v>
      </c>
      <c r="E1611" t="s">
        <v>76</v>
      </c>
      <c r="F1611">
        <v>205</v>
      </c>
      <c r="G1611">
        <v>205</v>
      </c>
      <c r="H1611">
        <v>0</v>
      </c>
      <c r="I1611">
        <v>12</v>
      </c>
      <c r="J1611" s="17">
        <v>0.65705128205128205</v>
      </c>
      <c r="K1611">
        <v>35</v>
      </c>
      <c r="L1611">
        <v>33</v>
      </c>
      <c r="M1611" s="17">
        <v>0.94285714285714284</v>
      </c>
      <c r="N1611" s="25">
        <v>11550</v>
      </c>
      <c r="O1611" s="25">
        <v>1845</v>
      </c>
      <c r="P1611" s="25">
        <v>5600</v>
      </c>
      <c r="Q1611" s="25">
        <v>18995</v>
      </c>
      <c r="R1611" s="18">
        <v>92.658536585365852</v>
      </c>
    </row>
    <row r="1612" spans="1:18" x14ac:dyDescent="0.35">
      <c r="A1612" s="13">
        <v>45836</v>
      </c>
      <c r="B1612">
        <v>2025</v>
      </c>
      <c r="C1612">
        <v>6</v>
      </c>
      <c r="D1612" t="s">
        <v>87</v>
      </c>
      <c r="E1612" t="s">
        <v>76</v>
      </c>
      <c r="F1612">
        <v>209</v>
      </c>
      <c r="G1612">
        <v>209</v>
      </c>
      <c r="H1612">
        <v>0</v>
      </c>
      <c r="I1612">
        <v>12</v>
      </c>
      <c r="J1612" s="17">
        <v>0.66987179487179482</v>
      </c>
      <c r="K1612">
        <v>35</v>
      </c>
      <c r="L1612">
        <v>33</v>
      </c>
      <c r="M1612" s="17">
        <v>0.94285714285714284</v>
      </c>
      <c r="N1612" s="25">
        <v>11550</v>
      </c>
      <c r="O1612" s="25">
        <v>1881</v>
      </c>
      <c r="P1612" s="25">
        <v>5600</v>
      </c>
      <c r="Q1612" s="25">
        <v>19031</v>
      </c>
      <c r="R1612" s="18">
        <v>91.057416267942585</v>
      </c>
    </row>
    <row r="1613" spans="1:18" x14ac:dyDescent="0.35">
      <c r="A1613" s="13">
        <v>45843</v>
      </c>
      <c r="B1613">
        <v>2025</v>
      </c>
      <c r="C1613">
        <v>7</v>
      </c>
      <c r="D1613" t="s">
        <v>87</v>
      </c>
      <c r="E1613" t="s">
        <v>76</v>
      </c>
      <c r="F1613">
        <v>203</v>
      </c>
      <c r="G1613">
        <v>203</v>
      </c>
      <c r="H1613">
        <v>0</v>
      </c>
      <c r="I1613">
        <v>12</v>
      </c>
      <c r="J1613" s="17">
        <v>0.65064102564102566</v>
      </c>
      <c r="K1613">
        <v>35</v>
      </c>
      <c r="L1613">
        <v>34</v>
      </c>
      <c r="M1613" s="17">
        <v>0.97142857142857142</v>
      </c>
      <c r="N1613" s="25">
        <v>11550</v>
      </c>
      <c r="O1613" s="25">
        <v>1827</v>
      </c>
      <c r="P1613" s="25">
        <v>5600</v>
      </c>
      <c r="Q1613" s="25">
        <v>18977</v>
      </c>
      <c r="R1613" s="18">
        <v>93.482758620689651</v>
      </c>
    </row>
    <row r="1614" spans="1:18" x14ac:dyDescent="0.35">
      <c r="A1614" s="13">
        <v>45850</v>
      </c>
      <c r="B1614">
        <v>2025</v>
      </c>
      <c r="C1614">
        <v>7</v>
      </c>
      <c r="D1614" t="s">
        <v>87</v>
      </c>
      <c r="E1614" t="s">
        <v>76</v>
      </c>
      <c r="F1614">
        <v>206</v>
      </c>
      <c r="G1614">
        <v>206</v>
      </c>
      <c r="H1614">
        <v>0</v>
      </c>
      <c r="I1614">
        <v>12</v>
      </c>
      <c r="J1614" s="17">
        <v>0.66025641025641024</v>
      </c>
      <c r="K1614">
        <v>35</v>
      </c>
      <c r="L1614">
        <v>31</v>
      </c>
      <c r="M1614" s="17">
        <v>0.88571428571428568</v>
      </c>
      <c r="N1614" s="25">
        <v>11550</v>
      </c>
      <c r="O1614" s="25">
        <v>1854</v>
      </c>
      <c r="P1614" s="25">
        <v>5600</v>
      </c>
      <c r="Q1614" s="25">
        <v>19004</v>
      </c>
      <c r="R1614" s="18">
        <v>92.252427184466015</v>
      </c>
    </row>
    <row r="1615" spans="1:18" x14ac:dyDescent="0.35">
      <c r="A1615" s="13">
        <v>45857</v>
      </c>
      <c r="B1615">
        <v>2025</v>
      </c>
      <c r="C1615">
        <v>7</v>
      </c>
      <c r="D1615" t="s">
        <v>87</v>
      </c>
      <c r="E1615" t="s">
        <v>76</v>
      </c>
      <c r="F1615">
        <v>205</v>
      </c>
      <c r="G1615">
        <v>205</v>
      </c>
      <c r="H1615">
        <v>0</v>
      </c>
      <c r="I1615">
        <v>12</v>
      </c>
      <c r="J1615" s="17">
        <v>0.65705128205128205</v>
      </c>
      <c r="K1615">
        <v>35</v>
      </c>
      <c r="L1615">
        <v>29</v>
      </c>
      <c r="M1615" s="17">
        <v>0.82857142857142863</v>
      </c>
      <c r="N1615" s="25">
        <v>11550</v>
      </c>
      <c r="O1615" s="25">
        <v>1845</v>
      </c>
      <c r="P1615" s="25">
        <v>5600</v>
      </c>
      <c r="Q1615" s="25">
        <v>18995</v>
      </c>
      <c r="R1615" s="18">
        <v>92.658536585365852</v>
      </c>
    </row>
    <row r="1616" spans="1:18" x14ac:dyDescent="0.35">
      <c r="A1616" s="13">
        <v>45864</v>
      </c>
      <c r="B1616">
        <v>2025</v>
      </c>
      <c r="C1616">
        <v>7</v>
      </c>
      <c r="D1616" t="s">
        <v>87</v>
      </c>
      <c r="E1616" t="s">
        <v>76</v>
      </c>
      <c r="F1616">
        <v>208</v>
      </c>
      <c r="G1616">
        <v>208</v>
      </c>
      <c r="H1616">
        <v>0</v>
      </c>
      <c r="I1616">
        <v>12</v>
      </c>
      <c r="J1616" s="17">
        <v>0.66666666666666663</v>
      </c>
      <c r="K1616">
        <v>35</v>
      </c>
      <c r="L1616">
        <v>32</v>
      </c>
      <c r="M1616" s="17">
        <v>0.91428571428571426</v>
      </c>
      <c r="N1616" s="25">
        <v>11550</v>
      </c>
      <c r="O1616" s="25">
        <v>1872</v>
      </c>
      <c r="P1616" s="25">
        <v>5600</v>
      </c>
      <c r="Q1616" s="25">
        <v>19022</v>
      </c>
      <c r="R1616" s="18">
        <v>91.45192307692308</v>
      </c>
    </row>
    <row r="1617" spans="1:18" x14ac:dyDescent="0.35">
      <c r="A1617" s="13">
        <v>45871</v>
      </c>
      <c r="B1617">
        <v>2025</v>
      </c>
      <c r="C1617">
        <v>8</v>
      </c>
      <c r="D1617" t="s">
        <v>87</v>
      </c>
      <c r="E1617" t="s">
        <v>76</v>
      </c>
      <c r="F1617">
        <v>215</v>
      </c>
      <c r="G1617">
        <v>215</v>
      </c>
      <c r="H1617">
        <v>0</v>
      </c>
      <c r="I1617">
        <v>12</v>
      </c>
      <c r="J1617" s="17">
        <v>0.6891025641025641</v>
      </c>
      <c r="K1617">
        <v>35</v>
      </c>
      <c r="L1617">
        <v>35</v>
      </c>
      <c r="M1617" s="17">
        <v>1</v>
      </c>
      <c r="N1617" s="25">
        <v>11550</v>
      </c>
      <c r="O1617" s="25">
        <v>1935</v>
      </c>
      <c r="P1617" s="25">
        <v>5600</v>
      </c>
      <c r="Q1617" s="25">
        <v>19085</v>
      </c>
      <c r="R1617" s="18">
        <v>88.767441860465112</v>
      </c>
    </row>
    <row r="1618" spans="1:18" x14ac:dyDescent="0.35">
      <c r="A1618" s="13">
        <v>45878</v>
      </c>
      <c r="B1618">
        <v>2025</v>
      </c>
      <c r="C1618">
        <v>8</v>
      </c>
      <c r="D1618" t="s">
        <v>87</v>
      </c>
      <c r="E1618" t="s">
        <v>76</v>
      </c>
      <c r="F1618">
        <v>217</v>
      </c>
      <c r="G1618">
        <v>216</v>
      </c>
      <c r="H1618">
        <v>1</v>
      </c>
      <c r="I1618">
        <v>12</v>
      </c>
      <c r="J1618" s="17">
        <v>0.69230769230769229</v>
      </c>
      <c r="K1618">
        <v>35</v>
      </c>
      <c r="L1618">
        <v>31</v>
      </c>
      <c r="M1618" s="17">
        <v>0.88571428571428568</v>
      </c>
      <c r="N1618" s="25">
        <v>11550</v>
      </c>
      <c r="O1618" s="25">
        <v>1944</v>
      </c>
      <c r="P1618" s="25">
        <v>5600</v>
      </c>
      <c r="Q1618" s="25">
        <v>19094</v>
      </c>
      <c r="R1618" s="18">
        <v>88.398148148148152</v>
      </c>
    </row>
    <row r="1619" spans="1:18" x14ac:dyDescent="0.35">
      <c r="A1619" s="13">
        <v>45885</v>
      </c>
      <c r="B1619">
        <v>2025</v>
      </c>
      <c r="C1619">
        <v>8</v>
      </c>
      <c r="D1619" t="s">
        <v>87</v>
      </c>
      <c r="E1619" t="s">
        <v>76</v>
      </c>
      <c r="F1619">
        <v>206</v>
      </c>
      <c r="G1619">
        <v>207</v>
      </c>
      <c r="H1619">
        <v>0</v>
      </c>
      <c r="I1619">
        <v>12</v>
      </c>
      <c r="J1619" s="17">
        <v>0.66346153846153844</v>
      </c>
      <c r="K1619">
        <v>35</v>
      </c>
      <c r="L1619">
        <v>34</v>
      </c>
      <c r="M1619" s="17">
        <v>0.97142857142857142</v>
      </c>
      <c r="N1619" s="25">
        <v>11550</v>
      </c>
      <c r="O1619" s="25">
        <v>1863</v>
      </c>
      <c r="P1619" s="25">
        <v>5600</v>
      </c>
      <c r="Q1619" s="25">
        <v>19013</v>
      </c>
      <c r="R1619" s="18">
        <v>91.850241545893724</v>
      </c>
    </row>
    <row r="1620" spans="1:18" x14ac:dyDescent="0.35">
      <c r="A1620" s="13">
        <v>45892</v>
      </c>
      <c r="B1620">
        <v>2025</v>
      </c>
      <c r="C1620">
        <v>8</v>
      </c>
      <c r="D1620" t="s">
        <v>87</v>
      </c>
      <c r="E1620" t="s">
        <v>76</v>
      </c>
      <c r="F1620">
        <v>212</v>
      </c>
      <c r="G1620">
        <v>212</v>
      </c>
      <c r="H1620">
        <v>0</v>
      </c>
      <c r="I1620">
        <v>12</v>
      </c>
      <c r="J1620" s="17">
        <v>0.67948717948717952</v>
      </c>
      <c r="K1620">
        <v>35</v>
      </c>
      <c r="L1620">
        <v>29</v>
      </c>
      <c r="M1620" s="17">
        <v>0.82857142857142863</v>
      </c>
      <c r="N1620" s="25">
        <v>11550</v>
      </c>
      <c r="O1620" s="25">
        <v>1908</v>
      </c>
      <c r="P1620" s="25">
        <v>5600</v>
      </c>
      <c r="Q1620" s="25">
        <v>19058</v>
      </c>
      <c r="R1620" s="18">
        <v>89.896226415094333</v>
      </c>
    </row>
    <row r="1621" spans="1:18" x14ac:dyDescent="0.35">
      <c r="A1621" s="13">
        <v>45899</v>
      </c>
      <c r="B1621">
        <v>2025</v>
      </c>
      <c r="C1621">
        <v>8</v>
      </c>
      <c r="D1621" t="s">
        <v>87</v>
      </c>
      <c r="E1621" t="s">
        <v>76</v>
      </c>
      <c r="F1621">
        <v>202</v>
      </c>
      <c r="G1621">
        <v>202</v>
      </c>
      <c r="H1621">
        <v>0</v>
      </c>
      <c r="I1621">
        <v>12</v>
      </c>
      <c r="J1621" s="17">
        <v>0.64743589743589747</v>
      </c>
      <c r="K1621">
        <v>35</v>
      </c>
      <c r="L1621">
        <v>33</v>
      </c>
      <c r="M1621" s="17">
        <v>0.94285714285714284</v>
      </c>
      <c r="N1621" s="25">
        <v>11550</v>
      </c>
      <c r="O1621" s="25">
        <v>1818</v>
      </c>
      <c r="P1621" s="25">
        <v>5600</v>
      </c>
      <c r="Q1621" s="25">
        <v>18968</v>
      </c>
      <c r="R1621" s="18">
        <v>93.900990099009903</v>
      </c>
    </row>
    <row r="1622" spans="1:18" x14ac:dyDescent="0.35">
      <c r="A1622" s="13">
        <v>45906</v>
      </c>
      <c r="B1622">
        <v>2025</v>
      </c>
      <c r="C1622">
        <v>9</v>
      </c>
      <c r="D1622" t="s">
        <v>87</v>
      </c>
      <c r="E1622" t="s">
        <v>76</v>
      </c>
      <c r="F1622">
        <v>193</v>
      </c>
      <c r="G1622">
        <v>193</v>
      </c>
      <c r="H1622">
        <v>0</v>
      </c>
      <c r="I1622">
        <v>12</v>
      </c>
      <c r="J1622" s="17">
        <v>0.61858974358974361</v>
      </c>
      <c r="K1622">
        <v>35</v>
      </c>
      <c r="L1622">
        <v>34</v>
      </c>
      <c r="M1622" s="17">
        <v>0.97142857142857142</v>
      </c>
      <c r="N1622" s="25">
        <v>11550</v>
      </c>
      <c r="O1622" s="25">
        <v>1737</v>
      </c>
      <c r="P1622" s="25">
        <v>5600</v>
      </c>
      <c r="Q1622" s="25">
        <v>18887</v>
      </c>
      <c r="R1622" s="18">
        <v>97.860103626943001</v>
      </c>
    </row>
    <row r="1623" spans="1:18" x14ac:dyDescent="0.35">
      <c r="A1623" s="13">
        <v>45913</v>
      </c>
      <c r="B1623">
        <v>2025</v>
      </c>
      <c r="C1623">
        <v>9</v>
      </c>
      <c r="D1623" t="s">
        <v>87</v>
      </c>
      <c r="E1623" t="s">
        <v>76</v>
      </c>
      <c r="F1623">
        <v>187</v>
      </c>
      <c r="G1623">
        <v>187</v>
      </c>
      <c r="H1623">
        <v>0</v>
      </c>
      <c r="I1623">
        <v>12</v>
      </c>
      <c r="J1623" s="17">
        <v>0.59935897435897434</v>
      </c>
      <c r="K1623">
        <v>35</v>
      </c>
      <c r="L1623">
        <v>34</v>
      </c>
      <c r="M1623" s="17">
        <v>0.97142857142857142</v>
      </c>
      <c r="N1623" s="25">
        <v>11550</v>
      </c>
      <c r="O1623" s="25">
        <v>1683</v>
      </c>
      <c r="P1623" s="25">
        <v>5600</v>
      </c>
      <c r="Q1623" s="25">
        <v>18833</v>
      </c>
      <c r="R1623" s="18">
        <v>100.7112299465241</v>
      </c>
    </row>
    <row r="1624" spans="1:18" x14ac:dyDescent="0.35">
      <c r="A1624" s="13">
        <v>45920</v>
      </c>
      <c r="B1624">
        <v>2025</v>
      </c>
      <c r="C1624">
        <v>9</v>
      </c>
      <c r="D1624" t="s">
        <v>87</v>
      </c>
      <c r="E1624" t="s">
        <v>76</v>
      </c>
      <c r="F1624">
        <v>187</v>
      </c>
      <c r="G1624">
        <v>187</v>
      </c>
      <c r="H1624">
        <v>0</v>
      </c>
      <c r="I1624">
        <v>12</v>
      </c>
      <c r="J1624" s="17">
        <v>0.59935897435897434</v>
      </c>
      <c r="K1624">
        <v>35</v>
      </c>
      <c r="L1624">
        <v>32</v>
      </c>
      <c r="M1624" s="17">
        <v>0.91428571428571426</v>
      </c>
      <c r="N1624" s="25">
        <v>11550</v>
      </c>
      <c r="O1624" s="25">
        <v>1683</v>
      </c>
      <c r="P1624" s="25">
        <v>5600</v>
      </c>
      <c r="Q1624" s="25">
        <v>18833</v>
      </c>
      <c r="R1624" s="18">
        <v>100.7112299465241</v>
      </c>
    </row>
    <row r="1625" spans="1:18" x14ac:dyDescent="0.35">
      <c r="A1625" s="13">
        <v>45927</v>
      </c>
      <c r="B1625">
        <v>2025</v>
      </c>
      <c r="C1625">
        <v>9</v>
      </c>
      <c r="D1625" t="s">
        <v>87</v>
      </c>
      <c r="E1625" t="s">
        <v>76</v>
      </c>
      <c r="F1625">
        <v>196</v>
      </c>
      <c r="G1625">
        <v>196</v>
      </c>
      <c r="H1625">
        <v>0</v>
      </c>
      <c r="I1625">
        <v>12</v>
      </c>
      <c r="J1625" s="17">
        <v>0.62820512820512819</v>
      </c>
      <c r="K1625">
        <v>35</v>
      </c>
      <c r="L1625">
        <v>30</v>
      </c>
      <c r="M1625" s="17">
        <v>0.8571428571428571</v>
      </c>
      <c r="N1625" s="25">
        <v>11550</v>
      </c>
      <c r="O1625" s="25">
        <v>1764</v>
      </c>
      <c r="P1625" s="25">
        <v>5600</v>
      </c>
      <c r="Q1625" s="25">
        <v>18914</v>
      </c>
      <c r="R1625" s="18">
        <v>96.5</v>
      </c>
    </row>
    <row r="1626" spans="1:18" x14ac:dyDescent="0.35">
      <c r="A1626" s="13">
        <v>45934</v>
      </c>
      <c r="B1626">
        <v>2025</v>
      </c>
      <c r="C1626">
        <v>10</v>
      </c>
      <c r="D1626" t="s">
        <v>87</v>
      </c>
      <c r="E1626" t="s">
        <v>76</v>
      </c>
      <c r="F1626">
        <v>200</v>
      </c>
      <c r="G1626">
        <v>200</v>
      </c>
      <c r="H1626">
        <v>0</v>
      </c>
      <c r="I1626">
        <v>12</v>
      </c>
      <c r="J1626" s="17">
        <v>0.64102564102564108</v>
      </c>
      <c r="K1626">
        <v>35</v>
      </c>
      <c r="L1626">
        <v>31</v>
      </c>
      <c r="M1626" s="17">
        <v>0.88571428571428568</v>
      </c>
      <c r="N1626" s="25">
        <v>11550</v>
      </c>
      <c r="O1626" s="25">
        <v>1800</v>
      </c>
      <c r="P1626" s="25">
        <v>5600</v>
      </c>
      <c r="Q1626" s="25">
        <v>18950</v>
      </c>
      <c r="R1626" s="18">
        <v>94.75</v>
      </c>
    </row>
    <row r="1627" spans="1:18" x14ac:dyDescent="0.35">
      <c r="A1627" s="13">
        <v>45941</v>
      </c>
      <c r="B1627">
        <v>2025</v>
      </c>
      <c r="C1627">
        <v>10</v>
      </c>
      <c r="D1627" t="s">
        <v>87</v>
      </c>
      <c r="E1627" t="s">
        <v>76</v>
      </c>
      <c r="F1627">
        <v>199</v>
      </c>
      <c r="G1627">
        <v>199</v>
      </c>
      <c r="H1627">
        <v>0</v>
      </c>
      <c r="I1627">
        <v>12</v>
      </c>
      <c r="J1627" s="17">
        <v>0.63782051282051277</v>
      </c>
      <c r="K1627">
        <v>35</v>
      </c>
      <c r="L1627">
        <v>34</v>
      </c>
      <c r="M1627" s="17">
        <v>0.97142857142857142</v>
      </c>
      <c r="N1627" s="25">
        <v>11550</v>
      </c>
      <c r="O1627" s="25">
        <v>1791</v>
      </c>
      <c r="P1627" s="25">
        <v>5600</v>
      </c>
      <c r="Q1627" s="25">
        <v>18941</v>
      </c>
      <c r="R1627" s="18">
        <v>95.180904522613062</v>
      </c>
    </row>
    <row r="1628" spans="1:18" x14ac:dyDescent="0.35">
      <c r="A1628" s="13">
        <v>45948</v>
      </c>
      <c r="B1628">
        <v>2025</v>
      </c>
      <c r="C1628">
        <v>10</v>
      </c>
      <c r="D1628" t="s">
        <v>87</v>
      </c>
      <c r="E1628" t="s">
        <v>76</v>
      </c>
      <c r="F1628">
        <v>204</v>
      </c>
      <c r="G1628">
        <v>204</v>
      </c>
      <c r="H1628">
        <v>0</v>
      </c>
      <c r="I1628">
        <v>12</v>
      </c>
      <c r="J1628" s="17">
        <v>0.65384615384615385</v>
      </c>
      <c r="K1628">
        <v>35</v>
      </c>
      <c r="L1628">
        <v>30</v>
      </c>
      <c r="M1628" s="17">
        <v>0.8571428571428571</v>
      </c>
      <c r="N1628" s="25">
        <v>11550</v>
      </c>
      <c r="O1628" s="25">
        <v>1836</v>
      </c>
      <c r="P1628" s="25">
        <v>5600</v>
      </c>
      <c r="Q1628" s="25">
        <v>18986</v>
      </c>
      <c r="R1628" s="18">
        <v>93.068627450980387</v>
      </c>
    </row>
    <row r="1629" spans="1:18" x14ac:dyDescent="0.35">
      <c r="A1629" s="13">
        <v>45955</v>
      </c>
      <c r="B1629">
        <v>2025</v>
      </c>
      <c r="C1629">
        <v>10</v>
      </c>
      <c r="D1629" t="s">
        <v>87</v>
      </c>
      <c r="E1629" t="s">
        <v>76</v>
      </c>
      <c r="F1629">
        <v>218</v>
      </c>
      <c r="G1629">
        <v>218</v>
      </c>
      <c r="H1629">
        <v>0</v>
      </c>
      <c r="I1629">
        <v>12</v>
      </c>
      <c r="J1629" s="17">
        <v>0.69871794871794868</v>
      </c>
      <c r="K1629">
        <v>35</v>
      </c>
      <c r="L1629">
        <v>33</v>
      </c>
      <c r="M1629" s="17">
        <v>0.94285714285714284</v>
      </c>
      <c r="N1629" s="25">
        <v>11550</v>
      </c>
      <c r="O1629" s="25">
        <v>1962</v>
      </c>
      <c r="P1629" s="25">
        <v>5600</v>
      </c>
      <c r="Q1629" s="25">
        <v>19112</v>
      </c>
      <c r="R1629" s="18">
        <v>87.669724770642205</v>
      </c>
    </row>
    <row r="1630" spans="1:18" x14ac:dyDescent="0.35">
      <c r="A1630" s="13">
        <v>45962</v>
      </c>
      <c r="B1630">
        <v>2025</v>
      </c>
      <c r="C1630">
        <v>11</v>
      </c>
      <c r="D1630" t="s">
        <v>87</v>
      </c>
      <c r="E1630" t="s">
        <v>76</v>
      </c>
      <c r="F1630">
        <v>226</v>
      </c>
      <c r="G1630">
        <v>226</v>
      </c>
      <c r="H1630">
        <v>0</v>
      </c>
      <c r="I1630">
        <v>12</v>
      </c>
      <c r="J1630" s="17">
        <v>0.72435897435897434</v>
      </c>
      <c r="K1630">
        <v>35</v>
      </c>
      <c r="L1630">
        <v>32</v>
      </c>
      <c r="M1630" s="17">
        <v>0.91428571428571426</v>
      </c>
      <c r="N1630" s="25">
        <v>11550</v>
      </c>
      <c r="O1630" s="25">
        <v>2034</v>
      </c>
      <c r="P1630" s="25">
        <v>5600</v>
      </c>
      <c r="Q1630" s="25">
        <v>19184</v>
      </c>
      <c r="R1630" s="18">
        <v>84.884955752212392</v>
      </c>
    </row>
    <row r="1631" spans="1:18" x14ac:dyDescent="0.35">
      <c r="A1631" s="13">
        <v>45969</v>
      </c>
      <c r="B1631">
        <v>2025</v>
      </c>
      <c r="C1631">
        <v>11</v>
      </c>
      <c r="D1631" t="s">
        <v>87</v>
      </c>
      <c r="E1631" t="s">
        <v>76</v>
      </c>
      <c r="F1631">
        <v>237</v>
      </c>
      <c r="G1631">
        <v>237</v>
      </c>
      <c r="H1631">
        <v>0</v>
      </c>
      <c r="I1631">
        <v>12</v>
      </c>
      <c r="J1631" s="17">
        <v>0.75961538461538458</v>
      </c>
      <c r="K1631">
        <v>35</v>
      </c>
      <c r="L1631">
        <v>30</v>
      </c>
      <c r="M1631" s="17">
        <v>0.8571428571428571</v>
      </c>
      <c r="N1631" s="25">
        <v>11550</v>
      </c>
      <c r="O1631" s="25">
        <v>2133</v>
      </c>
      <c r="P1631" s="25">
        <v>5600</v>
      </c>
      <c r="Q1631" s="25">
        <v>19283</v>
      </c>
      <c r="R1631" s="18">
        <v>81.362869198312239</v>
      </c>
    </row>
    <row r="1632" spans="1:18" x14ac:dyDescent="0.35">
      <c r="A1632" s="13">
        <v>45976</v>
      </c>
      <c r="B1632">
        <v>2025</v>
      </c>
      <c r="C1632">
        <v>11</v>
      </c>
      <c r="D1632" t="s">
        <v>87</v>
      </c>
      <c r="E1632" t="s">
        <v>76</v>
      </c>
      <c r="F1632">
        <v>274</v>
      </c>
      <c r="G1632">
        <v>262</v>
      </c>
      <c r="H1632">
        <v>12</v>
      </c>
      <c r="I1632">
        <v>12</v>
      </c>
      <c r="J1632" s="17">
        <v>0.83974358974358976</v>
      </c>
      <c r="K1632">
        <v>35</v>
      </c>
      <c r="L1632">
        <v>35</v>
      </c>
      <c r="M1632" s="17">
        <v>1</v>
      </c>
      <c r="N1632" s="25">
        <v>11550</v>
      </c>
      <c r="O1632" s="25">
        <v>2358</v>
      </c>
      <c r="P1632" s="25">
        <v>5600</v>
      </c>
      <c r="Q1632" s="25">
        <v>19508</v>
      </c>
      <c r="R1632" s="18">
        <v>74.458015267175568</v>
      </c>
    </row>
    <row r="1633" spans="1:18" x14ac:dyDescent="0.35">
      <c r="A1633" s="13">
        <v>45983</v>
      </c>
      <c r="B1633">
        <v>2025</v>
      </c>
      <c r="C1633">
        <v>11</v>
      </c>
      <c r="D1633" t="s">
        <v>87</v>
      </c>
      <c r="E1633" t="s">
        <v>76</v>
      </c>
      <c r="F1633">
        <v>271</v>
      </c>
      <c r="G1633">
        <v>265</v>
      </c>
      <c r="H1633">
        <v>18</v>
      </c>
      <c r="I1633">
        <v>12</v>
      </c>
      <c r="J1633" s="17">
        <v>0.84935897435897434</v>
      </c>
      <c r="K1633">
        <v>35</v>
      </c>
      <c r="L1633">
        <v>32</v>
      </c>
      <c r="M1633" s="17">
        <v>0.91428571428571426</v>
      </c>
      <c r="N1633" s="25">
        <v>11550</v>
      </c>
      <c r="O1633" s="25">
        <v>2385</v>
      </c>
      <c r="P1633" s="25">
        <v>5600</v>
      </c>
      <c r="Q1633" s="25">
        <v>19535</v>
      </c>
      <c r="R1633" s="18">
        <v>73.716981132075475</v>
      </c>
    </row>
    <row r="1634" spans="1:18" x14ac:dyDescent="0.35">
      <c r="A1634" s="13">
        <v>45990</v>
      </c>
      <c r="B1634">
        <v>2025</v>
      </c>
      <c r="C1634">
        <v>11</v>
      </c>
      <c r="D1634" t="s">
        <v>87</v>
      </c>
      <c r="E1634" t="s">
        <v>76</v>
      </c>
      <c r="F1634">
        <v>301</v>
      </c>
      <c r="G1634">
        <v>278</v>
      </c>
      <c r="H1634">
        <v>41</v>
      </c>
      <c r="I1634">
        <v>12</v>
      </c>
      <c r="J1634" s="17">
        <v>0.89102564102564108</v>
      </c>
      <c r="K1634">
        <v>35</v>
      </c>
      <c r="L1634">
        <v>32</v>
      </c>
      <c r="M1634" s="17">
        <v>0.91428571428571426</v>
      </c>
      <c r="N1634" s="25">
        <v>11550</v>
      </c>
      <c r="O1634" s="25">
        <v>2502</v>
      </c>
      <c r="P1634" s="25">
        <v>5600</v>
      </c>
      <c r="Q1634" s="25">
        <v>19652</v>
      </c>
      <c r="R1634" s="18">
        <v>70.690647482014384</v>
      </c>
    </row>
    <row r="1635" spans="1:18" x14ac:dyDescent="0.35">
      <c r="A1635" s="13">
        <v>45997</v>
      </c>
      <c r="B1635">
        <v>2025</v>
      </c>
      <c r="C1635">
        <v>12</v>
      </c>
      <c r="D1635" t="s">
        <v>87</v>
      </c>
      <c r="E1635" t="s">
        <v>76</v>
      </c>
      <c r="F1635">
        <v>296</v>
      </c>
      <c r="G1635">
        <v>278</v>
      </c>
      <c r="H1635">
        <v>59</v>
      </c>
      <c r="I1635">
        <v>12</v>
      </c>
      <c r="J1635" s="17">
        <v>0.89102564102564108</v>
      </c>
      <c r="K1635">
        <v>35</v>
      </c>
      <c r="L1635">
        <v>30</v>
      </c>
      <c r="M1635" s="17">
        <v>0.8571428571428571</v>
      </c>
      <c r="N1635" s="25">
        <v>11550</v>
      </c>
      <c r="O1635" s="25">
        <v>2502</v>
      </c>
      <c r="P1635" s="25">
        <v>5600</v>
      </c>
      <c r="Q1635" s="25">
        <v>19652</v>
      </c>
      <c r="R1635" s="18">
        <v>70.690647482014384</v>
      </c>
    </row>
    <row r="1636" spans="1:18" x14ac:dyDescent="0.35">
      <c r="A1636" s="13">
        <v>46004</v>
      </c>
      <c r="B1636">
        <v>2025</v>
      </c>
      <c r="C1636">
        <v>12</v>
      </c>
      <c r="D1636" t="s">
        <v>87</v>
      </c>
      <c r="E1636" t="s">
        <v>76</v>
      </c>
      <c r="F1636">
        <v>317</v>
      </c>
      <c r="G1636">
        <v>277</v>
      </c>
      <c r="H1636">
        <v>99</v>
      </c>
      <c r="I1636">
        <v>12</v>
      </c>
      <c r="J1636" s="17">
        <v>0.88782051282051277</v>
      </c>
      <c r="K1636">
        <v>35</v>
      </c>
      <c r="L1636">
        <v>33</v>
      </c>
      <c r="M1636" s="17">
        <v>0.94285714285714284</v>
      </c>
      <c r="N1636" s="25">
        <v>11550</v>
      </c>
      <c r="O1636" s="25">
        <v>2493</v>
      </c>
      <c r="P1636" s="25">
        <v>5600</v>
      </c>
      <c r="Q1636" s="25">
        <v>19643</v>
      </c>
      <c r="R1636" s="18">
        <v>70.91335740072202</v>
      </c>
    </row>
    <row r="1637" spans="1:18" x14ac:dyDescent="0.35">
      <c r="A1637" s="13">
        <v>46011</v>
      </c>
      <c r="B1637">
        <v>2025</v>
      </c>
      <c r="C1637">
        <v>12</v>
      </c>
      <c r="D1637" t="s">
        <v>87</v>
      </c>
      <c r="E1637" t="s">
        <v>76</v>
      </c>
      <c r="F1637">
        <v>282</v>
      </c>
      <c r="G1637">
        <v>278</v>
      </c>
      <c r="H1637">
        <v>103</v>
      </c>
      <c r="I1637">
        <v>13</v>
      </c>
      <c r="J1637" s="17">
        <v>0.8224852071005917</v>
      </c>
      <c r="K1637">
        <v>35</v>
      </c>
      <c r="L1637">
        <v>34</v>
      </c>
      <c r="M1637" s="17">
        <v>0.97142857142857142</v>
      </c>
      <c r="N1637" s="25">
        <v>12512.5</v>
      </c>
      <c r="O1637" s="25">
        <v>2502</v>
      </c>
      <c r="P1637" s="25">
        <v>5600</v>
      </c>
      <c r="Q1637" s="25">
        <v>20614.5</v>
      </c>
      <c r="R1637" s="18">
        <v>74.152877697841731</v>
      </c>
    </row>
    <row r="1638" spans="1:18" x14ac:dyDescent="0.35">
      <c r="A1638" s="13">
        <v>46018</v>
      </c>
      <c r="B1638">
        <v>2025</v>
      </c>
      <c r="C1638">
        <v>12</v>
      </c>
      <c r="D1638" t="s">
        <v>87</v>
      </c>
      <c r="E1638" t="s">
        <v>76</v>
      </c>
      <c r="F1638">
        <v>240</v>
      </c>
      <c r="G1638">
        <v>270</v>
      </c>
      <c r="H1638">
        <v>73</v>
      </c>
      <c r="I1638">
        <v>12</v>
      </c>
      <c r="J1638" s="17">
        <v>0.86538461538461542</v>
      </c>
      <c r="K1638">
        <v>35</v>
      </c>
      <c r="L1638">
        <v>32</v>
      </c>
      <c r="M1638" s="17">
        <v>0.91428571428571426</v>
      </c>
      <c r="N1638" s="25">
        <v>11550</v>
      </c>
      <c r="O1638" s="25">
        <v>2430</v>
      </c>
      <c r="P1638" s="25">
        <v>5600</v>
      </c>
      <c r="Q1638" s="25">
        <v>19580</v>
      </c>
      <c r="R1638" s="18">
        <v>72.518518518518519</v>
      </c>
    </row>
    <row r="1639" spans="1:18" x14ac:dyDescent="0.35">
      <c r="A1639" s="13">
        <v>46025</v>
      </c>
      <c r="B1639">
        <v>2026</v>
      </c>
      <c r="C1639">
        <v>1</v>
      </c>
      <c r="D1639" t="s">
        <v>87</v>
      </c>
      <c r="E1639" t="s">
        <v>76</v>
      </c>
      <c r="F1639">
        <v>204</v>
      </c>
      <c r="G1639">
        <v>249</v>
      </c>
      <c r="H1639">
        <v>28</v>
      </c>
      <c r="I1639">
        <v>12</v>
      </c>
      <c r="J1639" s="17">
        <v>0.79807692307692313</v>
      </c>
      <c r="K1639">
        <v>35</v>
      </c>
      <c r="L1639">
        <v>29</v>
      </c>
      <c r="M1639" s="17">
        <v>0.82857142857142863</v>
      </c>
      <c r="N1639" s="25">
        <v>11550</v>
      </c>
      <c r="O1639" s="25">
        <v>2241</v>
      </c>
      <c r="P1639" s="25">
        <v>5600</v>
      </c>
      <c r="Q1639" s="25">
        <v>19391</v>
      </c>
      <c r="R1639" s="18">
        <v>77.875502008032129</v>
      </c>
    </row>
    <row r="1640" spans="1:18" x14ac:dyDescent="0.35">
      <c r="A1640" s="13">
        <v>46032</v>
      </c>
      <c r="B1640">
        <v>2026</v>
      </c>
      <c r="C1640">
        <v>1</v>
      </c>
      <c r="D1640" t="s">
        <v>87</v>
      </c>
      <c r="E1640" t="s">
        <v>76</v>
      </c>
      <c r="F1640">
        <v>174</v>
      </c>
      <c r="G1640">
        <v>198</v>
      </c>
      <c r="H1640">
        <v>4</v>
      </c>
      <c r="I1640">
        <v>12</v>
      </c>
      <c r="J1640" s="17">
        <v>0.63461538461538458</v>
      </c>
      <c r="K1640">
        <v>35</v>
      </c>
      <c r="L1640">
        <v>31</v>
      </c>
      <c r="M1640" s="17">
        <v>0.88571428571428568</v>
      </c>
      <c r="N1640" s="25">
        <v>11550</v>
      </c>
      <c r="O1640" s="25">
        <v>1782</v>
      </c>
      <c r="P1640" s="25">
        <v>5600</v>
      </c>
      <c r="Q1640" s="25">
        <v>18932</v>
      </c>
      <c r="R1640" s="18">
        <v>95.616161616161619</v>
      </c>
    </row>
    <row r="1641" spans="1:18" x14ac:dyDescent="0.35">
      <c r="A1641" s="13">
        <v>46039</v>
      </c>
      <c r="B1641">
        <v>2026</v>
      </c>
      <c r="C1641">
        <v>1</v>
      </c>
      <c r="D1641" t="s">
        <v>87</v>
      </c>
      <c r="E1641" t="s">
        <v>76</v>
      </c>
      <c r="F1641">
        <v>170</v>
      </c>
      <c r="G1641">
        <v>174</v>
      </c>
      <c r="H1641">
        <v>0</v>
      </c>
      <c r="I1641">
        <v>11</v>
      </c>
      <c r="J1641" s="17">
        <v>0.60839160839160844</v>
      </c>
      <c r="K1641">
        <v>35</v>
      </c>
      <c r="L1641">
        <v>31</v>
      </c>
      <c r="M1641" s="17">
        <v>0.88571428571428568</v>
      </c>
      <c r="N1641" s="25">
        <v>10587.5</v>
      </c>
      <c r="O1641" s="25">
        <v>1566</v>
      </c>
      <c r="P1641" s="25">
        <v>5600</v>
      </c>
      <c r="Q1641" s="25">
        <v>17753.5</v>
      </c>
      <c r="R1641" s="18">
        <v>102.0316091954023</v>
      </c>
    </row>
    <row r="1642" spans="1:18" x14ac:dyDescent="0.35">
      <c r="A1642" s="13">
        <v>46046</v>
      </c>
      <c r="B1642">
        <v>2026</v>
      </c>
      <c r="C1642">
        <v>1</v>
      </c>
      <c r="D1642" t="s">
        <v>87</v>
      </c>
      <c r="E1642" t="s">
        <v>76</v>
      </c>
      <c r="F1642">
        <v>176</v>
      </c>
      <c r="G1642">
        <v>176</v>
      </c>
      <c r="H1642">
        <v>0</v>
      </c>
      <c r="I1642">
        <v>11</v>
      </c>
      <c r="J1642" s="17">
        <v>0.61538461538461542</v>
      </c>
      <c r="K1642">
        <v>35</v>
      </c>
      <c r="L1642">
        <v>29</v>
      </c>
      <c r="M1642" s="17">
        <v>0.82857142857142863</v>
      </c>
      <c r="N1642" s="25">
        <v>10587.5</v>
      </c>
      <c r="O1642" s="25">
        <v>1584</v>
      </c>
      <c r="P1642" s="25">
        <v>5600</v>
      </c>
      <c r="Q1642" s="25">
        <v>17771.5</v>
      </c>
      <c r="R1642" s="18">
        <v>100.9744318181818</v>
      </c>
    </row>
    <row r="1643" spans="1:18" x14ac:dyDescent="0.35">
      <c r="A1643" s="13">
        <v>46053</v>
      </c>
      <c r="B1643">
        <v>2026</v>
      </c>
      <c r="C1643">
        <v>1</v>
      </c>
      <c r="D1643" t="s">
        <v>87</v>
      </c>
      <c r="E1643" t="s">
        <v>76</v>
      </c>
      <c r="F1643">
        <v>180</v>
      </c>
      <c r="G1643">
        <v>180</v>
      </c>
      <c r="H1643">
        <v>0</v>
      </c>
      <c r="I1643">
        <v>10</v>
      </c>
      <c r="J1643" s="17">
        <v>0.69230769230769229</v>
      </c>
      <c r="K1643">
        <v>35</v>
      </c>
      <c r="L1643">
        <v>28</v>
      </c>
      <c r="M1643" s="17">
        <v>0.8</v>
      </c>
      <c r="N1643" s="25">
        <v>9625</v>
      </c>
      <c r="O1643" s="25">
        <v>1620</v>
      </c>
      <c r="P1643" s="25">
        <v>5600</v>
      </c>
      <c r="Q1643" s="25">
        <v>16845</v>
      </c>
      <c r="R1643" s="18">
        <v>93.583333333333329</v>
      </c>
    </row>
    <row r="1644" spans="1:18" x14ac:dyDescent="0.35">
      <c r="A1644" s="13">
        <v>46060</v>
      </c>
      <c r="B1644">
        <v>2026</v>
      </c>
      <c r="C1644">
        <v>2</v>
      </c>
      <c r="D1644" t="s">
        <v>87</v>
      </c>
      <c r="E1644" t="s">
        <v>76</v>
      </c>
      <c r="F1644">
        <v>192</v>
      </c>
      <c r="G1644">
        <v>192</v>
      </c>
      <c r="H1644">
        <v>0</v>
      </c>
      <c r="I1644">
        <v>12</v>
      </c>
      <c r="J1644" s="17">
        <v>0.61538461538461542</v>
      </c>
      <c r="K1644">
        <v>35</v>
      </c>
      <c r="L1644">
        <v>31</v>
      </c>
      <c r="M1644" s="17">
        <v>0.88571428571428568</v>
      </c>
      <c r="N1644" s="25">
        <v>11550</v>
      </c>
      <c r="O1644" s="25">
        <v>1728</v>
      </c>
      <c r="P1644" s="25">
        <v>5600</v>
      </c>
      <c r="Q1644" s="25">
        <v>18878</v>
      </c>
      <c r="R1644" s="18">
        <v>98.322916666666671</v>
      </c>
    </row>
    <row r="1645" spans="1:18" x14ac:dyDescent="0.35">
      <c r="A1645" s="13">
        <v>46067</v>
      </c>
      <c r="B1645">
        <v>2026</v>
      </c>
      <c r="C1645">
        <v>2</v>
      </c>
      <c r="D1645" t="s">
        <v>87</v>
      </c>
      <c r="E1645" t="s">
        <v>76</v>
      </c>
      <c r="F1645">
        <v>204</v>
      </c>
      <c r="G1645">
        <v>204</v>
      </c>
      <c r="H1645">
        <v>0</v>
      </c>
      <c r="I1645">
        <v>12</v>
      </c>
      <c r="J1645" s="17">
        <v>0.65384615384615385</v>
      </c>
      <c r="K1645">
        <v>35</v>
      </c>
      <c r="L1645">
        <v>32</v>
      </c>
      <c r="M1645" s="17">
        <v>0.91428571428571426</v>
      </c>
      <c r="N1645" s="25">
        <v>11550</v>
      </c>
      <c r="O1645" s="25">
        <v>1836</v>
      </c>
      <c r="P1645" s="25">
        <v>5600</v>
      </c>
      <c r="Q1645" s="25">
        <v>18986</v>
      </c>
      <c r="R1645" s="18">
        <v>93.068627450980387</v>
      </c>
    </row>
    <row r="1646" spans="1:18" x14ac:dyDescent="0.35">
      <c r="A1646" s="13">
        <v>46074</v>
      </c>
      <c r="B1646">
        <v>2026</v>
      </c>
      <c r="C1646">
        <v>2</v>
      </c>
      <c r="D1646" t="s">
        <v>87</v>
      </c>
      <c r="E1646" t="s">
        <v>76</v>
      </c>
      <c r="F1646">
        <v>199</v>
      </c>
      <c r="G1646">
        <v>199</v>
      </c>
      <c r="H1646">
        <v>0</v>
      </c>
      <c r="I1646">
        <v>12</v>
      </c>
      <c r="J1646" s="17">
        <v>0.63782051282051277</v>
      </c>
      <c r="K1646">
        <v>35</v>
      </c>
      <c r="L1646">
        <v>34</v>
      </c>
      <c r="M1646" s="17">
        <v>0.97142857142857142</v>
      </c>
      <c r="N1646" s="25">
        <v>11550</v>
      </c>
      <c r="O1646" s="25">
        <v>1791</v>
      </c>
      <c r="P1646" s="25">
        <v>5600</v>
      </c>
      <c r="Q1646" s="25">
        <v>18941</v>
      </c>
      <c r="R1646" s="18">
        <v>95.180904522613062</v>
      </c>
    </row>
    <row r="1647" spans="1:18" x14ac:dyDescent="0.35">
      <c r="A1647" s="13">
        <v>46081</v>
      </c>
      <c r="B1647">
        <v>2026</v>
      </c>
      <c r="C1647">
        <v>2</v>
      </c>
      <c r="D1647" t="s">
        <v>87</v>
      </c>
      <c r="E1647" t="s">
        <v>76</v>
      </c>
      <c r="F1647">
        <v>199</v>
      </c>
      <c r="G1647">
        <v>199</v>
      </c>
      <c r="H1647">
        <v>0</v>
      </c>
      <c r="I1647">
        <v>12</v>
      </c>
      <c r="J1647" s="17">
        <v>0.63782051282051277</v>
      </c>
      <c r="K1647">
        <v>35</v>
      </c>
      <c r="L1647">
        <v>29</v>
      </c>
      <c r="M1647" s="17">
        <v>0.82857142857142863</v>
      </c>
      <c r="N1647" s="25">
        <v>11550</v>
      </c>
      <c r="O1647" s="25">
        <v>1791</v>
      </c>
      <c r="P1647" s="25">
        <v>5600</v>
      </c>
      <c r="Q1647" s="25">
        <v>18941</v>
      </c>
      <c r="R1647" s="18">
        <v>95.180904522613062</v>
      </c>
    </row>
    <row r="1648" spans="1:18" x14ac:dyDescent="0.35">
      <c r="A1648" s="13">
        <v>46088</v>
      </c>
      <c r="B1648">
        <v>2026</v>
      </c>
      <c r="C1648">
        <v>3</v>
      </c>
      <c r="D1648" t="s">
        <v>87</v>
      </c>
      <c r="E1648" t="s">
        <v>76</v>
      </c>
      <c r="F1648">
        <v>203</v>
      </c>
      <c r="G1648">
        <v>203</v>
      </c>
      <c r="H1648">
        <v>0</v>
      </c>
      <c r="I1648">
        <v>12</v>
      </c>
      <c r="J1648" s="17">
        <v>0.65064102564102566</v>
      </c>
      <c r="K1648">
        <v>35</v>
      </c>
      <c r="L1648">
        <v>33</v>
      </c>
      <c r="M1648" s="17">
        <v>0.94285714285714284</v>
      </c>
      <c r="N1648" s="25">
        <v>11550</v>
      </c>
      <c r="O1648" s="25">
        <v>1827</v>
      </c>
      <c r="P1648" s="25">
        <v>5600</v>
      </c>
      <c r="Q1648" s="25">
        <v>18977</v>
      </c>
      <c r="R1648" s="18">
        <v>93.482758620689651</v>
      </c>
    </row>
    <row r="1649" spans="1:18" x14ac:dyDescent="0.35">
      <c r="A1649" s="13">
        <v>46095</v>
      </c>
      <c r="B1649">
        <v>2026</v>
      </c>
      <c r="C1649">
        <v>3</v>
      </c>
      <c r="D1649" t="s">
        <v>87</v>
      </c>
      <c r="E1649" t="s">
        <v>76</v>
      </c>
      <c r="F1649">
        <v>201</v>
      </c>
      <c r="G1649">
        <v>201</v>
      </c>
      <c r="H1649">
        <v>0</v>
      </c>
      <c r="I1649">
        <v>12</v>
      </c>
      <c r="J1649" s="17">
        <v>0.64423076923076927</v>
      </c>
      <c r="K1649">
        <v>35</v>
      </c>
      <c r="L1649">
        <v>34</v>
      </c>
      <c r="M1649" s="17">
        <v>0.97142857142857142</v>
      </c>
      <c r="N1649" s="25">
        <v>11550</v>
      </c>
      <c r="O1649" s="25">
        <v>1809</v>
      </c>
      <c r="P1649" s="25">
        <v>5600</v>
      </c>
      <c r="Q1649" s="25">
        <v>18959</v>
      </c>
      <c r="R1649" s="18">
        <v>94.323383084577117</v>
      </c>
    </row>
    <row r="1650" spans="1:18" x14ac:dyDescent="0.35">
      <c r="A1650" s="13">
        <v>46102</v>
      </c>
      <c r="B1650">
        <v>2026</v>
      </c>
      <c r="C1650">
        <v>3</v>
      </c>
      <c r="D1650" t="s">
        <v>87</v>
      </c>
      <c r="E1650" t="s">
        <v>76</v>
      </c>
      <c r="F1650">
        <v>213</v>
      </c>
      <c r="G1650">
        <v>213</v>
      </c>
      <c r="H1650">
        <v>0</v>
      </c>
      <c r="I1650">
        <v>12</v>
      </c>
      <c r="J1650" s="17">
        <v>0.68269230769230771</v>
      </c>
      <c r="K1650">
        <v>35</v>
      </c>
      <c r="L1650">
        <v>35</v>
      </c>
      <c r="M1650" s="17">
        <v>1</v>
      </c>
      <c r="N1650" s="25">
        <v>11550</v>
      </c>
      <c r="O1650" s="25">
        <v>1917</v>
      </c>
      <c r="P1650" s="25">
        <v>5600</v>
      </c>
      <c r="Q1650" s="25">
        <v>19067</v>
      </c>
      <c r="R1650" s="18">
        <v>89.516431924882625</v>
      </c>
    </row>
    <row r="1651" spans="1:18" x14ac:dyDescent="0.35">
      <c r="A1651" s="13">
        <v>46109</v>
      </c>
      <c r="B1651">
        <v>2026</v>
      </c>
      <c r="C1651">
        <v>3</v>
      </c>
      <c r="D1651" t="s">
        <v>87</v>
      </c>
      <c r="E1651" t="s">
        <v>76</v>
      </c>
      <c r="F1651">
        <v>204</v>
      </c>
      <c r="G1651">
        <v>204</v>
      </c>
      <c r="H1651">
        <v>0</v>
      </c>
      <c r="I1651">
        <v>12</v>
      </c>
      <c r="J1651" s="17">
        <v>0.65384615384615385</v>
      </c>
      <c r="K1651">
        <v>35</v>
      </c>
      <c r="L1651">
        <v>35</v>
      </c>
      <c r="M1651" s="17">
        <v>1</v>
      </c>
      <c r="N1651" s="25">
        <v>11550</v>
      </c>
      <c r="O1651" s="25">
        <v>1836</v>
      </c>
      <c r="P1651" s="25">
        <v>5600</v>
      </c>
      <c r="Q1651" s="25">
        <v>18986</v>
      </c>
      <c r="R1651" s="18">
        <v>93.068627450980387</v>
      </c>
    </row>
    <row r="1652" spans="1:18" x14ac:dyDescent="0.35">
      <c r="A1652" s="13">
        <v>46116</v>
      </c>
      <c r="B1652">
        <v>2026</v>
      </c>
      <c r="C1652">
        <v>4</v>
      </c>
      <c r="D1652" t="s">
        <v>87</v>
      </c>
      <c r="E1652" t="s">
        <v>76</v>
      </c>
      <c r="F1652">
        <v>211</v>
      </c>
      <c r="G1652">
        <v>211</v>
      </c>
      <c r="H1652">
        <v>0</v>
      </c>
      <c r="I1652">
        <v>12</v>
      </c>
      <c r="J1652" s="17">
        <v>0.67628205128205132</v>
      </c>
      <c r="K1652">
        <v>35</v>
      </c>
      <c r="L1652">
        <v>29</v>
      </c>
      <c r="M1652" s="17">
        <v>0.82857142857142863</v>
      </c>
      <c r="N1652" s="25">
        <v>11550</v>
      </c>
      <c r="O1652" s="25">
        <v>1899</v>
      </c>
      <c r="P1652" s="25">
        <v>5600</v>
      </c>
      <c r="Q1652" s="25">
        <v>19049</v>
      </c>
      <c r="R1652" s="18">
        <v>90.279620853080573</v>
      </c>
    </row>
    <row r="1653" spans="1:18" x14ac:dyDescent="0.35">
      <c r="A1653" s="13">
        <v>46123</v>
      </c>
      <c r="B1653">
        <v>2026</v>
      </c>
      <c r="C1653">
        <v>4</v>
      </c>
      <c r="D1653" t="s">
        <v>87</v>
      </c>
      <c r="E1653" t="s">
        <v>76</v>
      </c>
      <c r="F1653">
        <v>211</v>
      </c>
      <c r="G1653">
        <v>211</v>
      </c>
      <c r="H1653">
        <v>0</v>
      </c>
      <c r="I1653">
        <v>12</v>
      </c>
      <c r="J1653" s="17">
        <v>0.67628205128205132</v>
      </c>
      <c r="K1653">
        <v>35</v>
      </c>
      <c r="L1653">
        <v>31</v>
      </c>
      <c r="M1653" s="17">
        <v>0.88571428571428568</v>
      </c>
      <c r="N1653" s="25">
        <v>11550</v>
      </c>
      <c r="O1653" s="25">
        <v>1899</v>
      </c>
      <c r="P1653" s="25">
        <v>5600</v>
      </c>
      <c r="Q1653" s="25">
        <v>19049</v>
      </c>
      <c r="R1653" s="18">
        <v>90.279620853080573</v>
      </c>
    </row>
    <row r="1654" spans="1:18" x14ac:dyDescent="0.35">
      <c r="A1654" s="13">
        <v>46130</v>
      </c>
      <c r="B1654">
        <v>2026</v>
      </c>
      <c r="C1654">
        <v>4</v>
      </c>
      <c r="D1654" t="s">
        <v>87</v>
      </c>
      <c r="E1654" t="s">
        <v>76</v>
      </c>
      <c r="F1654">
        <v>206</v>
      </c>
      <c r="G1654">
        <v>206</v>
      </c>
      <c r="H1654">
        <v>0</v>
      </c>
      <c r="I1654">
        <v>12</v>
      </c>
      <c r="J1654" s="17">
        <v>0.66025641025641024</v>
      </c>
      <c r="K1654">
        <v>35</v>
      </c>
      <c r="L1654">
        <v>32</v>
      </c>
      <c r="M1654" s="17">
        <v>0.91428571428571426</v>
      </c>
      <c r="N1654" s="25">
        <v>11550</v>
      </c>
      <c r="O1654" s="25">
        <v>1854</v>
      </c>
      <c r="P1654" s="25">
        <v>5600</v>
      </c>
      <c r="Q1654" s="25">
        <v>19004</v>
      </c>
      <c r="R1654" s="18">
        <v>92.252427184466015</v>
      </c>
    </row>
    <row r="1655" spans="1:18" x14ac:dyDescent="0.35">
      <c r="A1655" s="13">
        <v>46137</v>
      </c>
      <c r="B1655">
        <v>2026</v>
      </c>
      <c r="C1655">
        <v>4</v>
      </c>
      <c r="D1655" t="s">
        <v>87</v>
      </c>
      <c r="E1655" t="s">
        <v>76</v>
      </c>
      <c r="F1655">
        <v>211</v>
      </c>
      <c r="G1655">
        <v>211</v>
      </c>
      <c r="H1655">
        <v>0</v>
      </c>
      <c r="I1655">
        <v>12</v>
      </c>
      <c r="J1655" s="17">
        <v>0.67628205128205132</v>
      </c>
      <c r="K1655">
        <v>35</v>
      </c>
      <c r="L1655">
        <v>33</v>
      </c>
      <c r="M1655" s="17">
        <v>0.94285714285714284</v>
      </c>
      <c r="N1655" s="25">
        <v>11550</v>
      </c>
      <c r="O1655" s="25">
        <v>1899</v>
      </c>
      <c r="P1655" s="25">
        <v>5600</v>
      </c>
      <c r="Q1655" s="25">
        <v>19049</v>
      </c>
      <c r="R1655" s="18">
        <v>90.279620853080573</v>
      </c>
    </row>
    <row r="1656" spans="1:18" x14ac:dyDescent="0.35">
      <c r="A1656" s="13">
        <v>46144</v>
      </c>
      <c r="B1656">
        <v>2026</v>
      </c>
      <c r="C1656">
        <v>5</v>
      </c>
      <c r="D1656" t="s">
        <v>87</v>
      </c>
      <c r="E1656" t="s">
        <v>76</v>
      </c>
      <c r="F1656">
        <v>226</v>
      </c>
      <c r="G1656">
        <v>224</v>
      </c>
      <c r="H1656">
        <v>2</v>
      </c>
      <c r="I1656">
        <v>12</v>
      </c>
      <c r="J1656" s="17">
        <v>0.71794871794871795</v>
      </c>
      <c r="K1656">
        <v>35</v>
      </c>
      <c r="L1656">
        <v>32</v>
      </c>
      <c r="M1656" s="17">
        <v>0.91428571428571426</v>
      </c>
      <c r="N1656" s="25">
        <v>11550</v>
      </c>
      <c r="O1656" s="25">
        <v>2016</v>
      </c>
      <c r="P1656" s="25">
        <v>5600</v>
      </c>
      <c r="Q1656" s="25">
        <v>19166</v>
      </c>
      <c r="R1656" s="18">
        <v>85.5625</v>
      </c>
    </row>
    <row r="1657" spans="1:18" x14ac:dyDescent="0.35">
      <c r="A1657" s="13">
        <v>46151</v>
      </c>
      <c r="B1657">
        <v>2026</v>
      </c>
      <c r="C1657">
        <v>5</v>
      </c>
      <c r="D1657" t="s">
        <v>87</v>
      </c>
      <c r="E1657" t="s">
        <v>76</v>
      </c>
      <c r="F1657">
        <v>230</v>
      </c>
      <c r="G1657">
        <v>230</v>
      </c>
      <c r="H1657">
        <v>2</v>
      </c>
      <c r="I1657">
        <v>12</v>
      </c>
      <c r="J1657" s="17">
        <v>0.73717948717948723</v>
      </c>
      <c r="K1657">
        <v>35</v>
      </c>
      <c r="L1657">
        <v>35</v>
      </c>
      <c r="M1657" s="17">
        <v>1</v>
      </c>
      <c r="N1657" s="25">
        <v>11550</v>
      </c>
      <c r="O1657" s="25">
        <v>2070</v>
      </c>
      <c r="P1657" s="25">
        <v>5600</v>
      </c>
      <c r="Q1657" s="25">
        <v>19220</v>
      </c>
      <c r="R1657" s="18">
        <v>83.565217391304344</v>
      </c>
    </row>
    <row r="1658" spans="1:18" x14ac:dyDescent="0.35">
      <c r="A1658" s="13">
        <v>46158</v>
      </c>
      <c r="B1658">
        <v>2026</v>
      </c>
      <c r="C1658">
        <v>5</v>
      </c>
      <c r="D1658" t="s">
        <v>87</v>
      </c>
      <c r="E1658" t="s">
        <v>76</v>
      </c>
      <c r="F1658">
        <v>223</v>
      </c>
      <c r="G1658">
        <v>224</v>
      </c>
      <c r="H1658">
        <v>1</v>
      </c>
      <c r="I1658">
        <v>12</v>
      </c>
      <c r="J1658" s="17">
        <v>0.71794871794871795</v>
      </c>
      <c r="K1658">
        <v>35</v>
      </c>
      <c r="L1658">
        <v>31</v>
      </c>
      <c r="M1658" s="17">
        <v>0.88571428571428568</v>
      </c>
      <c r="N1658" s="25">
        <v>11550</v>
      </c>
      <c r="O1658" s="25">
        <v>2016</v>
      </c>
      <c r="P1658" s="25">
        <v>5600</v>
      </c>
      <c r="Q1658" s="25">
        <v>19166</v>
      </c>
      <c r="R1658" s="18">
        <v>85.5625</v>
      </c>
    </row>
    <row r="1659" spans="1:18" x14ac:dyDescent="0.35">
      <c r="A1659" s="13">
        <v>46165</v>
      </c>
      <c r="B1659">
        <v>2026</v>
      </c>
      <c r="C1659">
        <v>5</v>
      </c>
      <c r="D1659" t="s">
        <v>87</v>
      </c>
      <c r="E1659" t="s">
        <v>76</v>
      </c>
      <c r="F1659">
        <v>227</v>
      </c>
      <c r="G1659">
        <v>228</v>
      </c>
      <c r="H1659">
        <v>0</v>
      </c>
      <c r="I1659">
        <v>12</v>
      </c>
      <c r="J1659" s="17">
        <v>0.73076923076923073</v>
      </c>
      <c r="K1659">
        <v>35</v>
      </c>
      <c r="L1659">
        <v>34</v>
      </c>
      <c r="M1659" s="17">
        <v>0.97142857142857142</v>
      </c>
      <c r="N1659" s="25">
        <v>11550</v>
      </c>
      <c r="O1659" s="25">
        <v>2052</v>
      </c>
      <c r="P1659" s="25">
        <v>5600</v>
      </c>
      <c r="Q1659" s="25">
        <v>19202</v>
      </c>
      <c r="R1659" s="18">
        <v>84.219298245614041</v>
      </c>
    </row>
    <row r="1660" spans="1:18" x14ac:dyDescent="0.35">
      <c r="A1660" s="13">
        <v>46172</v>
      </c>
      <c r="B1660">
        <v>2026</v>
      </c>
      <c r="C1660">
        <v>5</v>
      </c>
      <c r="D1660" t="s">
        <v>87</v>
      </c>
      <c r="E1660" t="s">
        <v>76</v>
      </c>
      <c r="F1660">
        <v>221</v>
      </c>
      <c r="G1660">
        <v>221</v>
      </c>
      <c r="H1660">
        <v>0</v>
      </c>
      <c r="I1660">
        <v>12</v>
      </c>
      <c r="J1660" s="17">
        <v>0.70833333333333337</v>
      </c>
      <c r="K1660">
        <v>35</v>
      </c>
      <c r="L1660">
        <v>33</v>
      </c>
      <c r="M1660" s="17">
        <v>0.94285714285714284</v>
      </c>
      <c r="N1660" s="25">
        <v>11550</v>
      </c>
      <c r="O1660" s="25">
        <v>1989</v>
      </c>
      <c r="P1660" s="25">
        <v>5600</v>
      </c>
      <c r="Q1660" s="25">
        <v>19139</v>
      </c>
      <c r="R1660" s="18">
        <v>86.601809954751133</v>
      </c>
    </row>
    <row r="1661" spans="1:18" x14ac:dyDescent="0.35">
      <c r="A1661" s="13">
        <v>46179</v>
      </c>
      <c r="B1661">
        <v>2026</v>
      </c>
      <c r="C1661">
        <v>6</v>
      </c>
      <c r="D1661" t="s">
        <v>87</v>
      </c>
      <c r="E1661" t="s">
        <v>76</v>
      </c>
      <c r="F1661">
        <v>223</v>
      </c>
      <c r="G1661">
        <v>223</v>
      </c>
      <c r="H1661">
        <v>0</v>
      </c>
      <c r="I1661">
        <v>12</v>
      </c>
      <c r="J1661" s="17">
        <v>0.71474358974358976</v>
      </c>
      <c r="K1661">
        <v>35</v>
      </c>
      <c r="L1661">
        <v>32</v>
      </c>
      <c r="M1661" s="17">
        <v>0.91428571428571426</v>
      </c>
      <c r="N1661" s="25">
        <v>11550</v>
      </c>
      <c r="O1661" s="25">
        <v>2007</v>
      </c>
      <c r="P1661" s="25">
        <v>5600</v>
      </c>
      <c r="Q1661" s="25">
        <v>19157</v>
      </c>
      <c r="R1661" s="18">
        <v>85.905829596412559</v>
      </c>
    </row>
    <row r="1662" spans="1:18" x14ac:dyDescent="0.35">
      <c r="A1662" s="13">
        <v>46186</v>
      </c>
      <c r="B1662">
        <v>2026</v>
      </c>
      <c r="C1662">
        <v>6</v>
      </c>
      <c r="D1662" t="s">
        <v>87</v>
      </c>
      <c r="E1662" t="s">
        <v>76</v>
      </c>
      <c r="F1662">
        <v>216</v>
      </c>
      <c r="G1662">
        <v>216</v>
      </c>
      <c r="H1662">
        <v>0</v>
      </c>
      <c r="I1662">
        <v>12</v>
      </c>
      <c r="J1662" s="17">
        <v>0.69230769230769229</v>
      </c>
      <c r="K1662">
        <v>35</v>
      </c>
      <c r="L1662">
        <v>31</v>
      </c>
      <c r="M1662" s="17">
        <v>0.88571428571428568</v>
      </c>
      <c r="N1662" s="25">
        <v>11550</v>
      </c>
      <c r="O1662" s="25">
        <v>1944</v>
      </c>
      <c r="P1662" s="25">
        <v>5600</v>
      </c>
      <c r="Q1662" s="25">
        <v>19094</v>
      </c>
      <c r="R1662" s="18">
        <v>88.398148148148152</v>
      </c>
    </row>
    <row r="1663" spans="1:18" x14ac:dyDescent="0.35">
      <c r="A1663" s="13">
        <v>46193</v>
      </c>
      <c r="B1663">
        <v>2026</v>
      </c>
      <c r="C1663">
        <v>6</v>
      </c>
      <c r="D1663" t="s">
        <v>87</v>
      </c>
      <c r="E1663" t="s">
        <v>76</v>
      </c>
      <c r="F1663">
        <v>209</v>
      </c>
      <c r="G1663">
        <v>209</v>
      </c>
      <c r="H1663">
        <v>0</v>
      </c>
      <c r="I1663">
        <v>12</v>
      </c>
      <c r="J1663" s="17">
        <v>0.66987179487179482</v>
      </c>
      <c r="K1663">
        <v>35</v>
      </c>
      <c r="L1663">
        <v>34</v>
      </c>
      <c r="M1663" s="17">
        <v>0.97142857142857142</v>
      </c>
      <c r="N1663" s="25">
        <v>11550</v>
      </c>
      <c r="O1663" s="25">
        <v>1881</v>
      </c>
      <c r="P1663" s="25">
        <v>5600</v>
      </c>
      <c r="Q1663" s="25">
        <v>19031</v>
      </c>
      <c r="R1663" s="18">
        <v>91.057416267942585</v>
      </c>
    </row>
    <row r="1664" spans="1:18" x14ac:dyDescent="0.35">
      <c r="A1664" s="13">
        <v>46200</v>
      </c>
      <c r="B1664">
        <v>2026</v>
      </c>
      <c r="C1664">
        <v>6</v>
      </c>
      <c r="D1664" t="s">
        <v>87</v>
      </c>
      <c r="E1664" t="s">
        <v>76</v>
      </c>
      <c r="F1664">
        <v>218</v>
      </c>
      <c r="G1664">
        <v>218</v>
      </c>
      <c r="H1664">
        <v>0</v>
      </c>
      <c r="I1664">
        <v>12</v>
      </c>
      <c r="J1664" s="17">
        <v>0.69871794871794868</v>
      </c>
      <c r="K1664">
        <v>35</v>
      </c>
      <c r="L1664">
        <v>33</v>
      </c>
      <c r="M1664" s="17">
        <v>0.94285714285714284</v>
      </c>
      <c r="N1664" s="25">
        <v>11550</v>
      </c>
      <c r="O1664" s="25">
        <v>1962</v>
      </c>
      <c r="P1664" s="25">
        <v>5600</v>
      </c>
      <c r="Q1664" s="25">
        <v>19112</v>
      </c>
      <c r="R1664" s="18">
        <v>87.669724770642205</v>
      </c>
    </row>
    <row r="1665" spans="1:18" x14ac:dyDescent="0.35">
      <c r="A1665" s="13">
        <v>46207</v>
      </c>
      <c r="B1665">
        <v>2026</v>
      </c>
      <c r="C1665">
        <v>7</v>
      </c>
      <c r="D1665" t="s">
        <v>87</v>
      </c>
      <c r="E1665" t="s">
        <v>76</v>
      </c>
      <c r="F1665">
        <v>219</v>
      </c>
      <c r="G1665">
        <v>219</v>
      </c>
      <c r="H1665">
        <v>0</v>
      </c>
      <c r="I1665">
        <v>12</v>
      </c>
      <c r="J1665" s="17">
        <v>0.70192307692307687</v>
      </c>
      <c r="K1665">
        <v>35</v>
      </c>
      <c r="L1665">
        <v>32</v>
      </c>
      <c r="M1665" s="17">
        <v>0.91428571428571426</v>
      </c>
      <c r="N1665" s="25">
        <v>11550</v>
      </c>
      <c r="O1665" s="25">
        <v>1971</v>
      </c>
      <c r="P1665" s="25">
        <v>5600</v>
      </c>
      <c r="Q1665" s="25">
        <v>19121</v>
      </c>
      <c r="R1665" s="18">
        <v>87.310502283105023</v>
      </c>
    </row>
    <row r="1666" spans="1:18" x14ac:dyDescent="0.35">
      <c r="A1666" s="13">
        <v>46214</v>
      </c>
      <c r="B1666">
        <v>2026</v>
      </c>
      <c r="C1666">
        <v>7</v>
      </c>
      <c r="D1666" t="s">
        <v>87</v>
      </c>
      <c r="E1666" t="s">
        <v>76</v>
      </c>
      <c r="F1666">
        <v>222</v>
      </c>
      <c r="G1666">
        <v>222</v>
      </c>
      <c r="H1666">
        <v>0</v>
      </c>
      <c r="I1666">
        <v>12</v>
      </c>
      <c r="J1666" s="17">
        <v>0.71153846153846156</v>
      </c>
      <c r="K1666">
        <v>35</v>
      </c>
      <c r="L1666">
        <v>33</v>
      </c>
      <c r="M1666" s="17">
        <v>0.94285714285714284</v>
      </c>
      <c r="N1666" s="25">
        <v>11550</v>
      </c>
      <c r="O1666" s="25">
        <v>1998</v>
      </c>
      <c r="P1666" s="25">
        <v>5600</v>
      </c>
      <c r="Q1666" s="25">
        <v>19148</v>
      </c>
      <c r="R1666" s="18">
        <v>86.252252252252248</v>
      </c>
    </row>
    <row r="1667" spans="1:18" x14ac:dyDescent="0.35">
      <c r="A1667" s="13">
        <v>46221</v>
      </c>
      <c r="B1667">
        <v>2026</v>
      </c>
      <c r="C1667">
        <v>7</v>
      </c>
      <c r="D1667" t="s">
        <v>87</v>
      </c>
      <c r="E1667" t="s">
        <v>76</v>
      </c>
      <c r="F1667">
        <v>217</v>
      </c>
      <c r="G1667">
        <v>217</v>
      </c>
      <c r="H1667">
        <v>0</v>
      </c>
      <c r="I1667">
        <v>12</v>
      </c>
      <c r="J1667" s="17">
        <v>0.69551282051282048</v>
      </c>
      <c r="K1667">
        <v>35</v>
      </c>
      <c r="L1667">
        <v>32</v>
      </c>
      <c r="M1667" s="17">
        <v>0.91428571428571426</v>
      </c>
      <c r="N1667" s="25">
        <v>11550</v>
      </c>
      <c r="O1667" s="25">
        <v>1953</v>
      </c>
      <c r="P1667" s="25">
        <v>5600</v>
      </c>
      <c r="Q1667" s="25">
        <v>19103</v>
      </c>
      <c r="R1667" s="18">
        <v>88.032258064516128</v>
      </c>
    </row>
    <row r="1668" spans="1:18" x14ac:dyDescent="0.35">
      <c r="A1668" s="13">
        <v>46228</v>
      </c>
      <c r="B1668">
        <v>2026</v>
      </c>
      <c r="C1668">
        <v>7</v>
      </c>
      <c r="D1668" t="s">
        <v>87</v>
      </c>
      <c r="E1668" t="s">
        <v>76</v>
      </c>
      <c r="F1668">
        <v>223</v>
      </c>
      <c r="G1668">
        <v>223</v>
      </c>
      <c r="H1668">
        <v>0</v>
      </c>
      <c r="I1668">
        <v>12</v>
      </c>
      <c r="J1668" s="17">
        <v>0.71474358974358976</v>
      </c>
      <c r="K1668">
        <v>35</v>
      </c>
      <c r="L1668">
        <v>33</v>
      </c>
      <c r="M1668" s="17">
        <v>0.94285714285714284</v>
      </c>
      <c r="N1668" s="25">
        <v>11550</v>
      </c>
      <c r="O1668" s="25">
        <v>2007</v>
      </c>
      <c r="P1668" s="25">
        <v>5600</v>
      </c>
      <c r="Q1668" s="25">
        <v>19157</v>
      </c>
      <c r="R1668" s="18">
        <v>85.905829596412559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1B11-6DAD-40A8-9CCD-9C2486238B4C}">
  <sheetPr>
    <tabColor rgb="FF2A78D6"/>
  </sheetPr>
  <dimension ref="A1:G14"/>
  <sheetViews>
    <sheetView workbookViewId="0"/>
  </sheetViews>
  <sheetFormatPr defaultRowHeight="14.5" x14ac:dyDescent="0.35"/>
  <cols>
    <col min="1" max="8" width="16.6328125" customWidth="1"/>
  </cols>
  <sheetData>
    <row r="1" spans="1:7" ht="21" x14ac:dyDescent="0.5">
      <c r="A1" s="31" t="s">
        <v>441</v>
      </c>
    </row>
    <row r="2" spans="1:7" x14ac:dyDescent="0.35">
      <c r="A2" s="32" t="s">
        <v>442</v>
      </c>
    </row>
    <row r="4" spans="1:7" x14ac:dyDescent="0.35">
      <c r="A4" s="33" t="s">
        <v>446</v>
      </c>
      <c r="B4" s="33" t="s">
        <v>445</v>
      </c>
    </row>
    <row r="5" spans="1:7" x14ac:dyDescent="0.35">
      <c r="A5" s="33" t="s">
        <v>443</v>
      </c>
      <c r="B5">
        <v>2022</v>
      </c>
      <c r="C5">
        <v>2023</v>
      </c>
      <c r="D5">
        <v>2024</v>
      </c>
      <c r="E5">
        <v>2025</v>
      </c>
      <c r="F5">
        <v>2026</v>
      </c>
      <c r="G5" t="s">
        <v>444</v>
      </c>
    </row>
    <row r="6" spans="1:7" x14ac:dyDescent="0.35">
      <c r="A6" s="34" t="s">
        <v>70</v>
      </c>
      <c r="B6" s="15">
        <v>4691</v>
      </c>
      <c r="C6" s="15">
        <v>10325</v>
      </c>
      <c r="D6" s="15">
        <v>10924</v>
      </c>
      <c r="E6" s="15">
        <v>12159</v>
      </c>
      <c r="F6" s="15">
        <v>6916</v>
      </c>
      <c r="G6" s="15">
        <v>45015</v>
      </c>
    </row>
    <row r="7" spans="1:7" x14ac:dyDescent="0.35">
      <c r="A7" s="34" t="s">
        <v>73</v>
      </c>
      <c r="B7" s="15">
        <v>4690</v>
      </c>
      <c r="C7" s="15">
        <v>10938</v>
      </c>
      <c r="D7" s="15">
        <v>11343</v>
      </c>
      <c r="E7" s="15">
        <v>12031</v>
      </c>
      <c r="F7" s="15">
        <v>6850</v>
      </c>
      <c r="G7" s="15">
        <v>45852</v>
      </c>
    </row>
    <row r="8" spans="1:7" x14ac:dyDescent="0.35">
      <c r="A8" s="34" t="s">
        <v>3</v>
      </c>
      <c r="B8" s="15">
        <v>5838</v>
      </c>
      <c r="C8" s="15">
        <v>13054</v>
      </c>
      <c r="D8" s="15">
        <v>15267</v>
      </c>
      <c r="E8" s="15">
        <v>16268</v>
      </c>
      <c r="F8" s="15">
        <v>9353</v>
      </c>
      <c r="G8" s="15">
        <v>59780</v>
      </c>
    </row>
    <row r="9" spans="1:7" x14ac:dyDescent="0.35">
      <c r="A9" s="34" t="s">
        <v>77</v>
      </c>
      <c r="B9" s="15">
        <v>4541</v>
      </c>
      <c r="C9" s="15">
        <v>10134</v>
      </c>
      <c r="D9" s="15">
        <v>10387</v>
      </c>
      <c r="E9" s="15">
        <v>11555</v>
      </c>
      <c r="F9" s="15">
        <v>6634</v>
      </c>
      <c r="G9" s="15">
        <v>43251</v>
      </c>
    </row>
    <row r="10" spans="1:7" x14ac:dyDescent="0.35">
      <c r="A10" s="34" t="s">
        <v>80</v>
      </c>
      <c r="B10" s="15">
        <v>6390</v>
      </c>
      <c r="C10" s="15">
        <v>13989</v>
      </c>
      <c r="D10" s="15">
        <v>14349</v>
      </c>
      <c r="E10" s="15">
        <v>15129</v>
      </c>
      <c r="F10" s="15">
        <v>8698</v>
      </c>
      <c r="G10" s="15">
        <v>58555</v>
      </c>
    </row>
    <row r="11" spans="1:7" x14ac:dyDescent="0.35">
      <c r="A11" s="34" t="s">
        <v>82</v>
      </c>
      <c r="B11" s="15">
        <v>5677</v>
      </c>
      <c r="C11" s="15">
        <v>12555</v>
      </c>
      <c r="D11" s="15">
        <v>12840</v>
      </c>
      <c r="E11" s="15">
        <v>13954</v>
      </c>
      <c r="F11" s="15">
        <v>8031</v>
      </c>
      <c r="G11" s="15">
        <v>53057</v>
      </c>
    </row>
    <row r="12" spans="1:7" x14ac:dyDescent="0.35">
      <c r="A12" s="34" t="s">
        <v>85</v>
      </c>
      <c r="B12" s="15">
        <v>4627</v>
      </c>
      <c r="C12" s="15">
        <v>10142</v>
      </c>
      <c r="D12" s="15">
        <v>10352</v>
      </c>
      <c r="E12" s="15">
        <v>11324</v>
      </c>
      <c r="F12" s="15">
        <v>6546</v>
      </c>
      <c r="G12" s="15">
        <v>42991</v>
      </c>
    </row>
    <row r="13" spans="1:7" x14ac:dyDescent="0.35">
      <c r="A13" s="34" t="s">
        <v>87</v>
      </c>
      <c r="B13" s="15">
        <v>4611</v>
      </c>
      <c r="C13" s="15">
        <v>10129</v>
      </c>
      <c r="D13" s="15">
        <v>10355</v>
      </c>
      <c r="E13" s="15">
        <v>10901</v>
      </c>
      <c r="F13" s="15">
        <v>6305</v>
      </c>
      <c r="G13" s="15">
        <v>42301</v>
      </c>
    </row>
    <row r="14" spans="1:7" x14ac:dyDescent="0.35">
      <c r="A14" s="34" t="s">
        <v>444</v>
      </c>
      <c r="B14" s="15">
        <v>41065</v>
      </c>
      <c r="C14" s="15">
        <v>91266</v>
      </c>
      <c r="D14" s="15">
        <v>95817</v>
      </c>
      <c r="E14" s="15">
        <v>103321</v>
      </c>
      <c r="F14" s="15">
        <v>59333</v>
      </c>
      <c r="G14" s="15">
        <v>390802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CABB-175C-4A26-AD91-ED04D27E60AA}">
  <sheetPr>
    <tabColor rgb="FF2A78D6"/>
  </sheetPr>
  <dimension ref="A1:G10"/>
  <sheetViews>
    <sheetView workbookViewId="0"/>
  </sheetViews>
  <sheetFormatPr defaultRowHeight="14.5" x14ac:dyDescent="0.35"/>
  <cols>
    <col min="1" max="8" width="16.6328125" customWidth="1"/>
  </cols>
  <sheetData>
    <row r="1" spans="1:7" ht="21" x14ac:dyDescent="0.5">
      <c r="A1" s="31" t="s">
        <v>447</v>
      </c>
    </row>
    <row r="2" spans="1:7" x14ac:dyDescent="0.35">
      <c r="A2" s="32" t="s">
        <v>448</v>
      </c>
    </row>
    <row r="4" spans="1:7" x14ac:dyDescent="0.35">
      <c r="A4" s="33" t="s">
        <v>449</v>
      </c>
      <c r="B4" s="33" t="s">
        <v>445</v>
      </c>
    </row>
    <row r="5" spans="1:7" x14ac:dyDescent="0.35">
      <c r="A5" s="33" t="s">
        <v>443</v>
      </c>
      <c r="B5">
        <v>2022</v>
      </c>
      <c r="C5">
        <v>2023</v>
      </c>
      <c r="D5">
        <v>2024</v>
      </c>
      <c r="E5">
        <v>2025</v>
      </c>
      <c r="F5">
        <v>2026</v>
      </c>
      <c r="G5" t="s">
        <v>444</v>
      </c>
    </row>
    <row r="6" spans="1:7" x14ac:dyDescent="0.35">
      <c r="A6" s="34" t="s">
        <v>72</v>
      </c>
      <c r="B6" s="17">
        <v>0.96575342465753422</v>
      </c>
      <c r="C6" s="17">
        <v>0.96339902738674177</v>
      </c>
      <c r="D6" s="17">
        <v>0.96132596685082872</v>
      </c>
      <c r="E6" s="17">
        <v>0.96055226824457596</v>
      </c>
      <c r="F6" s="17">
        <v>0.9538461538461539</v>
      </c>
      <c r="G6" s="17">
        <v>0.96098420489585301</v>
      </c>
    </row>
    <row r="7" spans="1:7" x14ac:dyDescent="0.35">
      <c r="A7" s="34" t="s">
        <v>76</v>
      </c>
      <c r="B7" s="17">
        <v>0.91027154663518295</v>
      </c>
      <c r="C7" s="17">
        <v>0.91459163346613548</v>
      </c>
      <c r="D7" s="17">
        <v>0.92665890570430731</v>
      </c>
      <c r="E7" s="17">
        <v>0.91450417052826694</v>
      </c>
      <c r="F7" s="17">
        <v>0.92289156626506019</v>
      </c>
      <c r="G7" s="17">
        <v>0.91844625542799363</v>
      </c>
    </row>
    <row r="8" spans="1:7" x14ac:dyDescent="0.35">
      <c r="A8" s="34" t="s">
        <v>79</v>
      </c>
      <c r="B8" s="17">
        <v>0.96561771561771559</v>
      </c>
      <c r="C8" s="17">
        <v>0.96942800788954631</v>
      </c>
      <c r="D8" s="17">
        <v>0.96784486990672558</v>
      </c>
      <c r="E8" s="17">
        <v>0.97150997150997154</v>
      </c>
      <c r="F8" s="17">
        <v>0.96790123456790123</v>
      </c>
      <c r="G8" s="17">
        <v>0.9689471130519165</v>
      </c>
    </row>
    <row r="9" spans="1:7" x14ac:dyDescent="0.35">
      <c r="A9" s="34" t="s">
        <v>84</v>
      </c>
      <c r="B9" s="17">
        <v>0.95516811955168124</v>
      </c>
      <c r="C9" s="17">
        <v>0.94388830347734454</v>
      </c>
      <c r="D9" s="17">
        <v>0.94757639620653322</v>
      </c>
      <c r="E9" s="17">
        <v>0.94976374036309374</v>
      </c>
      <c r="F9" s="17">
        <v>0.95341880341880347</v>
      </c>
      <c r="G9" s="17">
        <v>0.94890417121922999</v>
      </c>
    </row>
    <row r="10" spans="1:7" x14ac:dyDescent="0.35">
      <c r="A10" s="34" t="s">
        <v>444</v>
      </c>
      <c r="B10" s="17">
        <v>0.94895801872546059</v>
      </c>
      <c r="C10" s="17">
        <v>0.94782884310618065</v>
      </c>
      <c r="D10" s="17">
        <v>0.95051712392394871</v>
      </c>
      <c r="E10" s="17">
        <v>0.94875037639265281</v>
      </c>
      <c r="F10" s="17">
        <v>0.94927083333333329</v>
      </c>
      <c r="G10" s="17">
        <v>0.9490648504224003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540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14" customWidth="1"/>
  </cols>
  <sheetData>
    <row r="1" spans="1:4" ht="21" x14ac:dyDescent="0.5">
      <c r="A1" s="1" t="s">
        <v>396</v>
      </c>
    </row>
    <row r="2" spans="1:4" x14ac:dyDescent="0.35">
      <c r="A2" s="2" t="s">
        <v>397</v>
      </c>
    </row>
    <row r="4" spans="1:4" ht="30" customHeight="1" x14ac:dyDescent="0.35">
      <c r="A4" s="12" t="s">
        <v>16</v>
      </c>
      <c r="B4" s="12" t="s">
        <v>317</v>
      </c>
      <c r="C4" s="12" t="s">
        <v>318</v>
      </c>
      <c r="D4" s="12" t="s">
        <v>17</v>
      </c>
    </row>
    <row r="5" spans="1:4" x14ac:dyDescent="0.35">
      <c r="A5" s="13">
        <v>46235</v>
      </c>
      <c r="B5" t="s">
        <v>70</v>
      </c>
      <c r="C5" t="s">
        <v>155</v>
      </c>
      <c r="D5" s="14">
        <v>25.8</v>
      </c>
    </row>
    <row r="6" spans="1:4" x14ac:dyDescent="0.35">
      <c r="A6" s="13">
        <v>46235</v>
      </c>
      <c r="B6" t="s">
        <v>70</v>
      </c>
      <c r="C6" t="s">
        <v>158</v>
      </c>
      <c r="D6" s="14">
        <v>22.3</v>
      </c>
    </row>
    <row r="7" spans="1:4" x14ac:dyDescent="0.35">
      <c r="A7" s="13">
        <v>46235</v>
      </c>
      <c r="B7" t="s">
        <v>70</v>
      </c>
      <c r="C7" t="s">
        <v>159</v>
      </c>
      <c r="D7" s="14">
        <v>17</v>
      </c>
    </row>
    <row r="8" spans="1:4" x14ac:dyDescent="0.35">
      <c r="A8" s="13">
        <v>46235</v>
      </c>
      <c r="B8" t="s">
        <v>70</v>
      </c>
      <c r="C8" t="s">
        <v>162</v>
      </c>
      <c r="D8" s="14">
        <v>24.4</v>
      </c>
    </row>
    <row r="9" spans="1:4" x14ac:dyDescent="0.35">
      <c r="A9" s="13">
        <v>46235</v>
      </c>
      <c r="B9" t="s">
        <v>70</v>
      </c>
      <c r="C9" t="s">
        <v>164</v>
      </c>
      <c r="D9" s="14">
        <v>10.7</v>
      </c>
    </row>
    <row r="10" spans="1:4" x14ac:dyDescent="0.35">
      <c r="A10" s="13">
        <v>46235</v>
      </c>
      <c r="B10" t="s">
        <v>70</v>
      </c>
      <c r="C10" t="s">
        <v>167</v>
      </c>
      <c r="D10" s="14">
        <v>13.7</v>
      </c>
    </row>
    <row r="11" spans="1:4" x14ac:dyDescent="0.35">
      <c r="A11" s="13">
        <v>46235</v>
      </c>
      <c r="B11" t="s">
        <v>70</v>
      </c>
      <c r="C11" t="s">
        <v>169</v>
      </c>
      <c r="D11" s="14">
        <v>10.3</v>
      </c>
    </row>
    <row r="12" spans="1:4" x14ac:dyDescent="0.35">
      <c r="A12" s="13">
        <v>46235</v>
      </c>
      <c r="B12" t="s">
        <v>70</v>
      </c>
      <c r="C12" t="s">
        <v>170</v>
      </c>
      <c r="D12" s="14">
        <v>20.2</v>
      </c>
    </row>
    <row r="13" spans="1:4" x14ac:dyDescent="0.35">
      <c r="A13" s="13">
        <v>46235</v>
      </c>
      <c r="B13" t="s">
        <v>70</v>
      </c>
      <c r="C13" t="s">
        <v>171</v>
      </c>
      <c r="D13" s="14">
        <v>16</v>
      </c>
    </row>
    <row r="14" spans="1:4" x14ac:dyDescent="0.35">
      <c r="A14" s="13">
        <v>46235</v>
      </c>
      <c r="B14" t="s">
        <v>70</v>
      </c>
      <c r="C14" t="s">
        <v>172</v>
      </c>
      <c r="D14" s="14">
        <v>10.3</v>
      </c>
    </row>
    <row r="15" spans="1:4" x14ac:dyDescent="0.35">
      <c r="A15" s="13">
        <v>46235</v>
      </c>
      <c r="B15" t="s">
        <v>70</v>
      </c>
      <c r="C15" t="s">
        <v>173</v>
      </c>
      <c r="D15" s="14">
        <v>18.8</v>
      </c>
    </row>
    <row r="16" spans="1:4" x14ac:dyDescent="0.35">
      <c r="A16" s="13">
        <v>46235</v>
      </c>
      <c r="B16" t="s">
        <v>70</v>
      </c>
      <c r="C16" t="s">
        <v>174</v>
      </c>
      <c r="D16" s="14">
        <v>22.9</v>
      </c>
    </row>
    <row r="17" spans="1:4" x14ac:dyDescent="0.35">
      <c r="A17" s="13">
        <v>46235</v>
      </c>
      <c r="B17" t="s">
        <v>70</v>
      </c>
      <c r="C17" t="s">
        <v>175</v>
      </c>
      <c r="D17" s="14">
        <v>15.8</v>
      </c>
    </row>
    <row r="18" spans="1:4" x14ac:dyDescent="0.35">
      <c r="A18" s="13">
        <v>46235</v>
      </c>
      <c r="B18" t="s">
        <v>70</v>
      </c>
      <c r="C18" t="s">
        <v>176</v>
      </c>
      <c r="D18" s="14">
        <v>12.4</v>
      </c>
    </row>
    <row r="19" spans="1:4" x14ac:dyDescent="0.35">
      <c r="A19" s="13">
        <v>46235</v>
      </c>
      <c r="B19" t="s">
        <v>73</v>
      </c>
      <c r="C19" t="s">
        <v>177</v>
      </c>
      <c r="D19" s="14">
        <v>13.4</v>
      </c>
    </row>
    <row r="20" spans="1:4" x14ac:dyDescent="0.35">
      <c r="A20" s="13">
        <v>46235</v>
      </c>
      <c r="B20" t="s">
        <v>73</v>
      </c>
      <c r="C20" t="s">
        <v>178</v>
      </c>
      <c r="D20" s="14">
        <v>11.7</v>
      </c>
    </row>
    <row r="21" spans="1:4" x14ac:dyDescent="0.35">
      <c r="A21" s="13">
        <v>46235</v>
      </c>
      <c r="B21" t="s">
        <v>73</v>
      </c>
      <c r="C21" t="s">
        <v>179</v>
      </c>
      <c r="D21" s="14">
        <v>17.3</v>
      </c>
    </row>
    <row r="22" spans="1:4" x14ac:dyDescent="0.35">
      <c r="A22" s="13">
        <v>46235</v>
      </c>
      <c r="B22" t="s">
        <v>73</v>
      </c>
      <c r="C22" t="s">
        <v>180</v>
      </c>
      <c r="D22" s="14">
        <v>9.6999999999999993</v>
      </c>
    </row>
    <row r="23" spans="1:4" x14ac:dyDescent="0.35">
      <c r="A23" s="13">
        <v>46235</v>
      </c>
      <c r="B23" t="s">
        <v>73</v>
      </c>
      <c r="C23" t="s">
        <v>181</v>
      </c>
      <c r="D23" s="14">
        <v>11</v>
      </c>
    </row>
    <row r="24" spans="1:4" x14ac:dyDescent="0.35">
      <c r="A24" s="13">
        <v>46235</v>
      </c>
      <c r="B24" t="s">
        <v>73</v>
      </c>
      <c r="C24" t="s">
        <v>182</v>
      </c>
      <c r="D24" s="14">
        <v>14.5</v>
      </c>
    </row>
    <row r="25" spans="1:4" x14ac:dyDescent="0.35">
      <c r="A25" s="13">
        <v>46235</v>
      </c>
      <c r="B25" t="s">
        <v>73</v>
      </c>
      <c r="C25" t="s">
        <v>183</v>
      </c>
      <c r="D25" s="14">
        <v>21.7</v>
      </c>
    </row>
    <row r="26" spans="1:4" x14ac:dyDescent="0.35">
      <c r="A26" s="13">
        <v>46235</v>
      </c>
      <c r="B26" t="s">
        <v>73</v>
      </c>
      <c r="C26" t="s">
        <v>184</v>
      </c>
      <c r="D26" s="14">
        <v>17.2</v>
      </c>
    </row>
    <row r="27" spans="1:4" x14ac:dyDescent="0.35">
      <c r="A27" s="13">
        <v>46235</v>
      </c>
      <c r="B27" t="s">
        <v>73</v>
      </c>
      <c r="C27" t="s">
        <v>185</v>
      </c>
      <c r="D27" s="14">
        <v>10.9</v>
      </c>
    </row>
    <row r="28" spans="1:4" x14ac:dyDescent="0.35">
      <c r="A28" s="13">
        <v>46235</v>
      </c>
      <c r="B28" t="s">
        <v>73</v>
      </c>
      <c r="C28" t="s">
        <v>186</v>
      </c>
      <c r="D28" s="14">
        <v>15.7</v>
      </c>
    </row>
    <row r="29" spans="1:4" x14ac:dyDescent="0.35">
      <c r="A29" s="13">
        <v>46235</v>
      </c>
      <c r="B29" t="s">
        <v>73</v>
      </c>
      <c r="C29" t="s">
        <v>187</v>
      </c>
      <c r="D29" s="14">
        <v>8.5</v>
      </c>
    </row>
    <row r="30" spans="1:4" x14ac:dyDescent="0.35">
      <c r="A30" s="13">
        <v>46235</v>
      </c>
      <c r="B30" t="s">
        <v>73</v>
      </c>
      <c r="C30" t="s">
        <v>189</v>
      </c>
      <c r="D30" s="14">
        <v>11.7</v>
      </c>
    </row>
    <row r="31" spans="1:4" x14ac:dyDescent="0.35">
      <c r="A31" s="13">
        <v>46235</v>
      </c>
      <c r="B31" t="s">
        <v>73</v>
      </c>
      <c r="C31" t="s">
        <v>190</v>
      </c>
      <c r="D31" s="14">
        <v>13.5</v>
      </c>
    </row>
    <row r="32" spans="1:4" x14ac:dyDescent="0.35">
      <c r="A32" s="13">
        <v>46235</v>
      </c>
      <c r="B32" t="s">
        <v>73</v>
      </c>
      <c r="C32" t="s">
        <v>191</v>
      </c>
      <c r="D32" s="14">
        <v>12.8</v>
      </c>
    </row>
    <row r="33" spans="1:4" x14ac:dyDescent="0.35">
      <c r="A33" s="13">
        <v>46235</v>
      </c>
      <c r="B33" t="s">
        <v>73</v>
      </c>
      <c r="C33" t="s">
        <v>192</v>
      </c>
      <c r="D33" s="14">
        <v>8.1</v>
      </c>
    </row>
    <row r="34" spans="1:4" x14ac:dyDescent="0.35">
      <c r="A34" s="13">
        <v>46235</v>
      </c>
      <c r="B34" t="s">
        <v>73</v>
      </c>
      <c r="C34" t="s">
        <v>193</v>
      </c>
      <c r="D34" s="14">
        <v>16.2</v>
      </c>
    </row>
    <row r="35" spans="1:4" x14ac:dyDescent="0.35">
      <c r="A35" s="13">
        <v>46235</v>
      </c>
      <c r="B35" t="s">
        <v>73</v>
      </c>
      <c r="C35" t="s">
        <v>194</v>
      </c>
      <c r="D35" s="14">
        <v>10.4</v>
      </c>
    </row>
    <row r="36" spans="1:4" x14ac:dyDescent="0.35">
      <c r="A36" s="13">
        <v>46235</v>
      </c>
      <c r="B36" t="s">
        <v>73</v>
      </c>
      <c r="C36" t="s">
        <v>195</v>
      </c>
      <c r="D36" s="14">
        <v>16.3</v>
      </c>
    </row>
    <row r="37" spans="1:4" x14ac:dyDescent="0.35">
      <c r="A37" s="13">
        <v>46235</v>
      </c>
      <c r="B37" t="s">
        <v>73</v>
      </c>
      <c r="C37" t="s">
        <v>196</v>
      </c>
      <c r="D37" s="14">
        <v>8.9</v>
      </c>
    </row>
    <row r="38" spans="1:4" x14ac:dyDescent="0.35">
      <c r="A38" s="13">
        <v>46235</v>
      </c>
      <c r="B38" t="s">
        <v>3</v>
      </c>
      <c r="C38" t="s">
        <v>197</v>
      </c>
      <c r="D38" s="14">
        <v>14.6</v>
      </c>
    </row>
    <row r="39" spans="1:4" x14ac:dyDescent="0.35">
      <c r="A39" s="13">
        <v>46235</v>
      </c>
      <c r="B39" t="s">
        <v>3</v>
      </c>
      <c r="C39" t="s">
        <v>198</v>
      </c>
      <c r="D39" s="14">
        <v>12.9</v>
      </c>
    </row>
    <row r="40" spans="1:4" x14ac:dyDescent="0.35">
      <c r="A40" s="13">
        <v>46235</v>
      </c>
      <c r="B40" t="s">
        <v>3</v>
      </c>
      <c r="C40" t="s">
        <v>199</v>
      </c>
      <c r="D40" s="14">
        <v>20</v>
      </c>
    </row>
    <row r="41" spans="1:4" x14ac:dyDescent="0.35">
      <c r="A41" s="13">
        <v>46235</v>
      </c>
      <c r="B41" t="s">
        <v>3</v>
      </c>
      <c r="C41" t="s">
        <v>200</v>
      </c>
      <c r="D41" s="14">
        <v>14.4</v>
      </c>
    </row>
    <row r="42" spans="1:4" x14ac:dyDescent="0.35">
      <c r="A42" s="13">
        <v>46235</v>
      </c>
      <c r="B42" t="s">
        <v>3</v>
      </c>
      <c r="C42" t="s">
        <v>201</v>
      </c>
      <c r="D42" s="14">
        <v>22.8</v>
      </c>
    </row>
    <row r="43" spans="1:4" x14ac:dyDescent="0.35">
      <c r="A43" s="13">
        <v>46235</v>
      </c>
      <c r="B43" t="s">
        <v>3</v>
      </c>
      <c r="C43" t="s">
        <v>202</v>
      </c>
      <c r="D43" s="14">
        <v>9.3000000000000007</v>
      </c>
    </row>
    <row r="44" spans="1:4" x14ac:dyDescent="0.35">
      <c r="A44" s="13">
        <v>46235</v>
      </c>
      <c r="B44" t="s">
        <v>3</v>
      </c>
      <c r="C44" t="s">
        <v>203</v>
      </c>
      <c r="D44" s="14">
        <v>15.7</v>
      </c>
    </row>
    <row r="45" spans="1:4" x14ac:dyDescent="0.35">
      <c r="A45" s="13">
        <v>46235</v>
      </c>
      <c r="B45" t="s">
        <v>3</v>
      </c>
      <c r="C45" t="s">
        <v>204</v>
      </c>
      <c r="D45" s="14">
        <v>8.9</v>
      </c>
    </row>
    <row r="46" spans="1:4" x14ac:dyDescent="0.35">
      <c r="A46" s="13">
        <v>46235</v>
      </c>
      <c r="B46" t="s">
        <v>3</v>
      </c>
      <c r="C46" t="s">
        <v>205</v>
      </c>
      <c r="D46" s="14">
        <v>25.5</v>
      </c>
    </row>
    <row r="47" spans="1:4" x14ac:dyDescent="0.35">
      <c r="A47" s="13">
        <v>46235</v>
      </c>
      <c r="B47" t="s">
        <v>3</v>
      </c>
      <c r="C47" t="s">
        <v>206</v>
      </c>
      <c r="D47" s="14">
        <v>24.1</v>
      </c>
    </row>
    <row r="48" spans="1:4" x14ac:dyDescent="0.35">
      <c r="A48" s="13">
        <v>46235</v>
      </c>
      <c r="B48" t="s">
        <v>3</v>
      </c>
      <c r="C48" t="s">
        <v>207</v>
      </c>
      <c r="D48" s="14">
        <v>24.4</v>
      </c>
    </row>
    <row r="49" spans="1:4" x14ac:dyDescent="0.35">
      <c r="A49" s="13">
        <v>46235</v>
      </c>
      <c r="B49" t="s">
        <v>3</v>
      </c>
      <c r="C49" t="s">
        <v>208</v>
      </c>
      <c r="D49" s="14">
        <v>23.5</v>
      </c>
    </row>
    <row r="50" spans="1:4" x14ac:dyDescent="0.35">
      <c r="A50" s="13">
        <v>46235</v>
      </c>
      <c r="B50" t="s">
        <v>3</v>
      </c>
      <c r="C50" t="s">
        <v>209</v>
      </c>
      <c r="D50" s="14">
        <v>22.3</v>
      </c>
    </row>
    <row r="51" spans="1:4" x14ac:dyDescent="0.35">
      <c r="A51" s="13">
        <v>46235</v>
      </c>
      <c r="B51" t="s">
        <v>3</v>
      </c>
      <c r="C51" t="s">
        <v>210</v>
      </c>
      <c r="D51" s="14">
        <v>14.2</v>
      </c>
    </row>
    <row r="52" spans="1:4" x14ac:dyDescent="0.35">
      <c r="A52" s="13">
        <v>46235</v>
      </c>
      <c r="B52" t="s">
        <v>3</v>
      </c>
      <c r="C52" t="s">
        <v>211</v>
      </c>
      <c r="D52" s="14">
        <v>15.6</v>
      </c>
    </row>
    <row r="53" spans="1:4" x14ac:dyDescent="0.35">
      <c r="A53" s="13">
        <v>46235</v>
      </c>
      <c r="B53" t="s">
        <v>3</v>
      </c>
      <c r="C53" t="s">
        <v>212</v>
      </c>
      <c r="D53" s="14">
        <v>22</v>
      </c>
    </row>
    <row r="54" spans="1:4" x14ac:dyDescent="0.35">
      <c r="A54" s="13">
        <v>46235</v>
      </c>
      <c r="B54" t="s">
        <v>3</v>
      </c>
      <c r="C54" t="s">
        <v>213</v>
      </c>
      <c r="D54" s="14">
        <v>12.7</v>
      </c>
    </row>
    <row r="55" spans="1:4" x14ac:dyDescent="0.35">
      <c r="A55" s="13">
        <v>46235</v>
      </c>
      <c r="B55" t="s">
        <v>3</v>
      </c>
      <c r="C55" t="s">
        <v>214</v>
      </c>
      <c r="D55" s="14">
        <v>15.2</v>
      </c>
    </row>
    <row r="56" spans="1:4" x14ac:dyDescent="0.35">
      <c r="A56" s="13">
        <v>46235</v>
      </c>
      <c r="B56" t="s">
        <v>3</v>
      </c>
      <c r="C56" t="s">
        <v>215</v>
      </c>
      <c r="D56" s="14">
        <v>11</v>
      </c>
    </row>
    <row r="57" spans="1:4" x14ac:dyDescent="0.35">
      <c r="A57" s="13">
        <v>46235</v>
      </c>
      <c r="B57" t="s">
        <v>77</v>
      </c>
      <c r="C57" t="s">
        <v>216</v>
      </c>
      <c r="D57" s="14">
        <v>13.2</v>
      </c>
    </row>
    <row r="58" spans="1:4" x14ac:dyDescent="0.35">
      <c r="A58" s="13">
        <v>46235</v>
      </c>
      <c r="B58" t="s">
        <v>77</v>
      </c>
      <c r="C58" t="s">
        <v>217</v>
      </c>
      <c r="D58" s="14">
        <v>15</v>
      </c>
    </row>
    <row r="59" spans="1:4" x14ac:dyDescent="0.35">
      <c r="A59" s="13">
        <v>46235</v>
      </c>
      <c r="B59" t="s">
        <v>77</v>
      </c>
      <c r="C59" t="s">
        <v>218</v>
      </c>
      <c r="D59" s="14">
        <v>15.1</v>
      </c>
    </row>
    <row r="60" spans="1:4" x14ac:dyDescent="0.35">
      <c r="A60" s="13">
        <v>46235</v>
      </c>
      <c r="B60" t="s">
        <v>77</v>
      </c>
      <c r="C60" t="s">
        <v>219</v>
      </c>
      <c r="D60" s="14">
        <v>8.6</v>
      </c>
    </row>
    <row r="61" spans="1:4" x14ac:dyDescent="0.35">
      <c r="A61" s="13">
        <v>46235</v>
      </c>
      <c r="B61" t="s">
        <v>77</v>
      </c>
      <c r="C61" t="s">
        <v>220</v>
      </c>
      <c r="D61" s="14">
        <v>13</v>
      </c>
    </row>
    <row r="62" spans="1:4" x14ac:dyDescent="0.35">
      <c r="A62" s="13">
        <v>46235</v>
      </c>
      <c r="B62" t="s">
        <v>77</v>
      </c>
      <c r="C62" t="s">
        <v>221</v>
      </c>
      <c r="D62" s="14">
        <v>31.3</v>
      </c>
    </row>
    <row r="63" spans="1:4" x14ac:dyDescent="0.35">
      <c r="A63" s="13">
        <v>46235</v>
      </c>
      <c r="B63" t="s">
        <v>77</v>
      </c>
      <c r="C63" t="s">
        <v>222</v>
      </c>
      <c r="D63" s="14">
        <v>14.2</v>
      </c>
    </row>
    <row r="64" spans="1:4" x14ac:dyDescent="0.35">
      <c r="A64" s="13">
        <v>46235</v>
      </c>
      <c r="B64" t="s">
        <v>77</v>
      </c>
      <c r="C64" t="s">
        <v>223</v>
      </c>
      <c r="D64" s="14">
        <v>20.6</v>
      </c>
    </row>
    <row r="65" spans="1:4" x14ac:dyDescent="0.35">
      <c r="A65" s="13">
        <v>46235</v>
      </c>
      <c r="B65" t="s">
        <v>77</v>
      </c>
      <c r="C65" t="s">
        <v>224</v>
      </c>
      <c r="D65" s="14">
        <v>14.7</v>
      </c>
    </row>
    <row r="66" spans="1:4" x14ac:dyDescent="0.35">
      <c r="A66" s="13">
        <v>46235</v>
      </c>
      <c r="B66" t="s">
        <v>77</v>
      </c>
      <c r="C66" t="s">
        <v>225</v>
      </c>
      <c r="D66" s="14">
        <v>12.2</v>
      </c>
    </row>
    <row r="67" spans="1:4" x14ac:dyDescent="0.35">
      <c r="A67" s="13">
        <v>46235</v>
      </c>
      <c r="B67" t="s">
        <v>77</v>
      </c>
      <c r="C67" t="s">
        <v>226</v>
      </c>
      <c r="D67" s="14">
        <v>20.399999999999999</v>
      </c>
    </row>
    <row r="68" spans="1:4" x14ac:dyDescent="0.35">
      <c r="A68" s="13">
        <v>46235</v>
      </c>
      <c r="B68" t="s">
        <v>77</v>
      </c>
      <c r="C68" t="s">
        <v>227</v>
      </c>
      <c r="D68" s="14">
        <v>15.8</v>
      </c>
    </row>
    <row r="69" spans="1:4" x14ac:dyDescent="0.35">
      <c r="A69" s="13">
        <v>46235</v>
      </c>
      <c r="B69" t="s">
        <v>77</v>
      </c>
      <c r="C69" t="s">
        <v>228</v>
      </c>
      <c r="D69" s="14">
        <v>24.4</v>
      </c>
    </row>
    <row r="70" spans="1:4" x14ac:dyDescent="0.35">
      <c r="A70" s="13">
        <v>46235</v>
      </c>
      <c r="B70" t="s">
        <v>77</v>
      </c>
      <c r="C70" t="s">
        <v>229</v>
      </c>
      <c r="D70" s="14">
        <v>8.1</v>
      </c>
    </row>
    <row r="71" spans="1:4" x14ac:dyDescent="0.35">
      <c r="A71" s="13">
        <v>46235</v>
      </c>
      <c r="B71" t="s">
        <v>77</v>
      </c>
      <c r="C71" t="s">
        <v>230</v>
      </c>
      <c r="D71" s="14">
        <v>9.3000000000000007</v>
      </c>
    </row>
    <row r="72" spans="1:4" x14ac:dyDescent="0.35">
      <c r="A72" s="13">
        <v>46235</v>
      </c>
      <c r="B72" t="s">
        <v>80</v>
      </c>
      <c r="C72" t="s">
        <v>231</v>
      </c>
      <c r="D72" s="14">
        <v>16.100000000000001</v>
      </c>
    </row>
    <row r="73" spans="1:4" x14ac:dyDescent="0.35">
      <c r="A73" s="13">
        <v>46235</v>
      </c>
      <c r="B73" t="s">
        <v>80</v>
      </c>
      <c r="C73" t="s">
        <v>232</v>
      </c>
      <c r="D73" s="14">
        <v>24.4</v>
      </c>
    </row>
    <row r="74" spans="1:4" x14ac:dyDescent="0.35">
      <c r="A74" s="13">
        <v>46235</v>
      </c>
      <c r="B74" t="s">
        <v>80</v>
      </c>
      <c r="C74" t="s">
        <v>233</v>
      </c>
      <c r="D74" s="14">
        <v>12.6</v>
      </c>
    </row>
    <row r="75" spans="1:4" x14ac:dyDescent="0.35">
      <c r="A75" s="13">
        <v>46235</v>
      </c>
      <c r="B75" t="s">
        <v>80</v>
      </c>
      <c r="C75" t="s">
        <v>234</v>
      </c>
      <c r="D75" s="14">
        <v>8.5</v>
      </c>
    </row>
    <row r="76" spans="1:4" x14ac:dyDescent="0.35">
      <c r="A76" s="13">
        <v>46235</v>
      </c>
      <c r="B76" t="s">
        <v>80</v>
      </c>
      <c r="C76" t="s">
        <v>235</v>
      </c>
      <c r="D76" s="14">
        <v>19.100000000000001</v>
      </c>
    </row>
    <row r="77" spans="1:4" x14ac:dyDescent="0.35">
      <c r="A77" s="13">
        <v>46235</v>
      </c>
      <c r="B77" t="s">
        <v>80</v>
      </c>
      <c r="C77" t="s">
        <v>236</v>
      </c>
      <c r="D77" s="14">
        <v>21.1</v>
      </c>
    </row>
    <row r="78" spans="1:4" x14ac:dyDescent="0.35">
      <c r="A78" s="13">
        <v>46235</v>
      </c>
      <c r="B78" t="s">
        <v>80</v>
      </c>
      <c r="C78" t="s">
        <v>237</v>
      </c>
      <c r="D78" s="14">
        <v>14.5</v>
      </c>
    </row>
    <row r="79" spans="1:4" x14ac:dyDescent="0.35">
      <c r="A79" s="13">
        <v>46235</v>
      </c>
      <c r="B79" t="s">
        <v>80</v>
      </c>
      <c r="C79" t="s">
        <v>238</v>
      </c>
      <c r="D79" s="14">
        <v>19.3</v>
      </c>
    </row>
    <row r="80" spans="1:4" x14ac:dyDescent="0.35">
      <c r="A80" s="13">
        <v>46235</v>
      </c>
      <c r="B80" t="s">
        <v>80</v>
      </c>
      <c r="C80" t="s">
        <v>239</v>
      </c>
      <c r="D80" s="14">
        <v>9.6999999999999993</v>
      </c>
    </row>
    <row r="81" spans="1:4" x14ac:dyDescent="0.35">
      <c r="A81" s="13">
        <v>46235</v>
      </c>
      <c r="B81" t="s">
        <v>80</v>
      </c>
      <c r="C81" t="s">
        <v>240</v>
      </c>
      <c r="D81" s="14">
        <v>21.3</v>
      </c>
    </row>
    <row r="82" spans="1:4" x14ac:dyDescent="0.35">
      <c r="A82" s="13">
        <v>46235</v>
      </c>
      <c r="B82" t="s">
        <v>80</v>
      </c>
      <c r="C82" t="s">
        <v>241</v>
      </c>
      <c r="D82" s="14">
        <v>13.5</v>
      </c>
    </row>
    <row r="83" spans="1:4" x14ac:dyDescent="0.35">
      <c r="A83" s="13">
        <v>46235</v>
      </c>
      <c r="B83" t="s">
        <v>80</v>
      </c>
      <c r="C83" t="s">
        <v>242</v>
      </c>
      <c r="D83" s="14">
        <v>30.7</v>
      </c>
    </row>
    <row r="84" spans="1:4" x14ac:dyDescent="0.35">
      <c r="A84" s="13">
        <v>46235</v>
      </c>
      <c r="B84" t="s">
        <v>80</v>
      </c>
      <c r="C84" t="s">
        <v>243</v>
      </c>
      <c r="D84" s="14">
        <v>24.4</v>
      </c>
    </row>
    <row r="85" spans="1:4" x14ac:dyDescent="0.35">
      <c r="A85" s="13">
        <v>46235</v>
      </c>
      <c r="B85" t="s">
        <v>80</v>
      </c>
      <c r="C85" t="s">
        <v>244</v>
      </c>
      <c r="D85" s="14">
        <v>17</v>
      </c>
    </row>
    <row r="86" spans="1:4" x14ac:dyDescent="0.35">
      <c r="A86" s="13">
        <v>46235</v>
      </c>
      <c r="B86" t="s">
        <v>80</v>
      </c>
      <c r="C86" t="s">
        <v>245</v>
      </c>
      <c r="D86" s="14">
        <v>16.2</v>
      </c>
    </row>
    <row r="87" spans="1:4" x14ac:dyDescent="0.35">
      <c r="A87" s="13">
        <v>46235</v>
      </c>
      <c r="B87" t="s">
        <v>80</v>
      </c>
      <c r="C87" t="s">
        <v>246</v>
      </c>
      <c r="D87" s="14">
        <v>16.8</v>
      </c>
    </row>
    <row r="88" spans="1:4" x14ac:dyDescent="0.35">
      <c r="A88" s="13">
        <v>46235</v>
      </c>
      <c r="B88" t="s">
        <v>80</v>
      </c>
      <c r="C88" t="s">
        <v>247</v>
      </c>
      <c r="D88" s="14">
        <v>29.6</v>
      </c>
    </row>
    <row r="89" spans="1:4" x14ac:dyDescent="0.35">
      <c r="A89" s="13">
        <v>46235</v>
      </c>
      <c r="B89" t="s">
        <v>82</v>
      </c>
      <c r="C89" t="s">
        <v>248</v>
      </c>
      <c r="D89" s="14">
        <v>23.1</v>
      </c>
    </row>
    <row r="90" spans="1:4" x14ac:dyDescent="0.35">
      <c r="A90" s="13">
        <v>46235</v>
      </c>
      <c r="B90" t="s">
        <v>82</v>
      </c>
      <c r="C90" t="s">
        <v>249</v>
      </c>
      <c r="D90" s="14">
        <v>10.3</v>
      </c>
    </row>
    <row r="91" spans="1:4" x14ac:dyDescent="0.35">
      <c r="A91" s="13">
        <v>46235</v>
      </c>
      <c r="B91" t="s">
        <v>82</v>
      </c>
      <c r="C91" t="s">
        <v>250</v>
      </c>
      <c r="D91" s="14">
        <v>16.3</v>
      </c>
    </row>
    <row r="92" spans="1:4" x14ac:dyDescent="0.35">
      <c r="A92" s="13">
        <v>46235</v>
      </c>
      <c r="B92" t="s">
        <v>82</v>
      </c>
      <c r="C92" t="s">
        <v>251</v>
      </c>
      <c r="D92" s="14">
        <v>11.4</v>
      </c>
    </row>
    <row r="93" spans="1:4" x14ac:dyDescent="0.35">
      <c r="A93" s="13">
        <v>46235</v>
      </c>
      <c r="B93" t="s">
        <v>82</v>
      </c>
      <c r="C93" t="s">
        <v>252</v>
      </c>
      <c r="D93" s="14">
        <v>10.4</v>
      </c>
    </row>
    <row r="94" spans="1:4" x14ac:dyDescent="0.35">
      <c r="A94" s="13">
        <v>46235</v>
      </c>
      <c r="B94" t="s">
        <v>82</v>
      </c>
      <c r="C94" t="s">
        <v>253</v>
      </c>
      <c r="D94" s="14">
        <v>17.3</v>
      </c>
    </row>
    <row r="95" spans="1:4" x14ac:dyDescent="0.35">
      <c r="A95" s="13">
        <v>46235</v>
      </c>
      <c r="B95" t="s">
        <v>82</v>
      </c>
      <c r="C95" t="s">
        <v>254</v>
      </c>
      <c r="D95" s="14">
        <v>8.6</v>
      </c>
    </row>
    <row r="96" spans="1:4" x14ac:dyDescent="0.35">
      <c r="A96" s="13">
        <v>46235</v>
      </c>
      <c r="B96" t="s">
        <v>82</v>
      </c>
      <c r="C96" t="s">
        <v>255</v>
      </c>
      <c r="D96" s="14">
        <v>10.5</v>
      </c>
    </row>
    <row r="97" spans="1:4" x14ac:dyDescent="0.35">
      <c r="A97" s="13">
        <v>46235</v>
      </c>
      <c r="B97" t="s">
        <v>82</v>
      </c>
      <c r="C97" t="s">
        <v>256</v>
      </c>
      <c r="D97" s="14">
        <v>18.600000000000001</v>
      </c>
    </row>
    <row r="98" spans="1:4" x14ac:dyDescent="0.35">
      <c r="A98" s="13">
        <v>46235</v>
      </c>
      <c r="B98" t="s">
        <v>82</v>
      </c>
      <c r="C98" t="s">
        <v>257</v>
      </c>
      <c r="D98" s="14">
        <v>16.7</v>
      </c>
    </row>
    <row r="99" spans="1:4" x14ac:dyDescent="0.35">
      <c r="A99" s="13">
        <v>46235</v>
      </c>
      <c r="B99" t="s">
        <v>82</v>
      </c>
      <c r="C99" t="s">
        <v>258</v>
      </c>
      <c r="D99" s="14">
        <v>23.8</v>
      </c>
    </row>
    <row r="100" spans="1:4" x14ac:dyDescent="0.35">
      <c r="A100" s="13">
        <v>46235</v>
      </c>
      <c r="B100" t="s">
        <v>82</v>
      </c>
      <c r="C100" t="s">
        <v>259</v>
      </c>
      <c r="D100" s="14">
        <v>11.3</v>
      </c>
    </row>
    <row r="101" spans="1:4" x14ac:dyDescent="0.35">
      <c r="A101" s="13">
        <v>46235</v>
      </c>
      <c r="B101" t="s">
        <v>82</v>
      </c>
      <c r="C101" t="s">
        <v>260</v>
      </c>
      <c r="D101" s="14">
        <v>11.4</v>
      </c>
    </row>
    <row r="102" spans="1:4" x14ac:dyDescent="0.35">
      <c r="A102" s="13">
        <v>46235</v>
      </c>
      <c r="B102" t="s">
        <v>82</v>
      </c>
      <c r="C102" t="s">
        <v>261</v>
      </c>
      <c r="D102" s="14">
        <v>16.600000000000001</v>
      </c>
    </row>
    <row r="103" spans="1:4" x14ac:dyDescent="0.35">
      <c r="A103" s="13">
        <v>46235</v>
      </c>
      <c r="B103" t="s">
        <v>82</v>
      </c>
      <c r="C103" t="s">
        <v>262</v>
      </c>
      <c r="D103" s="14">
        <v>22.6</v>
      </c>
    </row>
    <row r="104" spans="1:4" x14ac:dyDescent="0.35">
      <c r="A104" s="13">
        <v>46235</v>
      </c>
      <c r="B104" t="s">
        <v>82</v>
      </c>
      <c r="C104" t="s">
        <v>263</v>
      </c>
      <c r="D104" s="14">
        <v>10</v>
      </c>
    </row>
    <row r="105" spans="1:4" x14ac:dyDescent="0.35">
      <c r="A105" s="13">
        <v>46235</v>
      </c>
      <c r="B105" t="s">
        <v>82</v>
      </c>
      <c r="C105" t="s">
        <v>264</v>
      </c>
      <c r="D105" s="14">
        <v>25.1</v>
      </c>
    </row>
    <row r="106" spans="1:4" x14ac:dyDescent="0.35">
      <c r="A106" s="13">
        <v>46235</v>
      </c>
      <c r="B106" t="s">
        <v>82</v>
      </c>
      <c r="C106" t="s">
        <v>265</v>
      </c>
      <c r="D106" s="14">
        <v>17.100000000000001</v>
      </c>
    </row>
    <row r="107" spans="1:4" x14ac:dyDescent="0.35">
      <c r="A107" s="13">
        <v>46235</v>
      </c>
      <c r="B107" t="s">
        <v>85</v>
      </c>
      <c r="C107" t="s">
        <v>266</v>
      </c>
      <c r="D107" s="14">
        <v>11.6</v>
      </c>
    </row>
    <row r="108" spans="1:4" x14ac:dyDescent="0.35">
      <c r="A108" s="13">
        <v>46235</v>
      </c>
      <c r="B108" t="s">
        <v>85</v>
      </c>
      <c r="C108" t="s">
        <v>267</v>
      </c>
      <c r="D108" s="14">
        <v>7.2</v>
      </c>
    </row>
    <row r="109" spans="1:4" x14ac:dyDescent="0.35">
      <c r="A109" s="13">
        <v>46235</v>
      </c>
      <c r="B109" t="s">
        <v>85</v>
      </c>
      <c r="C109" t="s">
        <v>268</v>
      </c>
      <c r="D109" s="14">
        <v>22.9</v>
      </c>
    </row>
    <row r="110" spans="1:4" x14ac:dyDescent="0.35">
      <c r="A110" s="13">
        <v>46235</v>
      </c>
      <c r="B110" t="s">
        <v>85</v>
      </c>
      <c r="C110" t="s">
        <v>269</v>
      </c>
      <c r="D110" s="14">
        <v>23.2</v>
      </c>
    </row>
    <row r="111" spans="1:4" x14ac:dyDescent="0.35">
      <c r="A111" s="13">
        <v>46235</v>
      </c>
      <c r="B111" t="s">
        <v>85</v>
      </c>
      <c r="C111" t="s">
        <v>270</v>
      </c>
      <c r="D111" s="14">
        <v>19.2</v>
      </c>
    </row>
    <row r="112" spans="1:4" x14ac:dyDescent="0.35">
      <c r="A112" s="13">
        <v>46235</v>
      </c>
      <c r="B112" t="s">
        <v>85</v>
      </c>
      <c r="C112" t="s">
        <v>271</v>
      </c>
      <c r="D112" s="14">
        <v>14</v>
      </c>
    </row>
    <row r="113" spans="1:4" x14ac:dyDescent="0.35">
      <c r="A113" s="13">
        <v>46235</v>
      </c>
      <c r="B113" t="s">
        <v>85</v>
      </c>
      <c r="C113" t="s">
        <v>272</v>
      </c>
      <c r="D113" s="14">
        <v>19.399999999999999</v>
      </c>
    </row>
    <row r="114" spans="1:4" x14ac:dyDescent="0.35">
      <c r="A114" s="13">
        <v>46235</v>
      </c>
      <c r="B114" t="s">
        <v>85</v>
      </c>
      <c r="C114" t="s">
        <v>273</v>
      </c>
      <c r="D114" s="14">
        <v>9.6</v>
      </c>
    </row>
    <row r="115" spans="1:4" x14ac:dyDescent="0.35">
      <c r="A115" s="13">
        <v>46235</v>
      </c>
      <c r="B115" t="s">
        <v>85</v>
      </c>
      <c r="C115" t="s">
        <v>274</v>
      </c>
      <c r="D115" s="14">
        <v>9.1</v>
      </c>
    </row>
    <row r="116" spans="1:4" x14ac:dyDescent="0.35">
      <c r="A116" s="13">
        <v>46235</v>
      </c>
      <c r="B116" t="s">
        <v>85</v>
      </c>
      <c r="C116" t="s">
        <v>275</v>
      </c>
      <c r="D116" s="14">
        <v>17.7</v>
      </c>
    </row>
    <row r="117" spans="1:4" x14ac:dyDescent="0.35">
      <c r="A117" s="13">
        <v>46235</v>
      </c>
      <c r="B117" t="s">
        <v>85</v>
      </c>
      <c r="C117" t="s">
        <v>276</v>
      </c>
      <c r="D117" s="14">
        <v>12</v>
      </c>
    </row>
    <row r="118" spans="1:4" x14ac:dyDescent="0.35">
      <c r="A118" s="13">
        <v>46235</v>
      </c>
      <c r="B118" t="s">
        <v>85</v>
      </c>
      <c r="C118" t="s">
        <v>277</v>
      </c>
      <c r="D118" s="14">
        <v>14.7</v>
      </c>
    </row>
    <row r="119" spans="1:4" x14ac:dyDescent="0.35">
      <c r="A119" s="13">
        <v>46235</v>
      </c>
      <c r="B119" t="s">
        <v>85</v>
      </c>
      <c r="C119" t="s">
        <v>278</v>
      </c>
      <c r="D119" s="14">
        <v>17.3</v>
      </c>
    </row>
    <row r="120" spans="1:4" x14ac:dyDescent="0.35">
      <c r="A120" s="13">
        <v>46235</v>
      </c>
      <c r="B120" t="s">
        <v>85</v>
      </c>
      <c r="C120" t="s">
        <v>279</v>
      </c>
      <c r="D120" s="14">
        <v>11.7</v>
      </c>
    </row>
    <row r="121" spans="1:4" x14ac:dyDescent="0.35">
      <c r="A121" s="13">
        <v>46235</v>
      </c>
      <c r="B121" t="s">
        <v>85</v>
      </c>
      <c r="C121" t="s">
        <v>280</v>
      </c>
      <c r="D121" s="14">
        <v>15.6</v>
      </c>
    </row>
    <row r="122" spans="1:4" x14ac:dyDescent="0.35">
      <c r="A122" s="13">
        <v>46235</v>
      </c>
      <c r="B122" t="s">
        <v>85</v>
      </c>
      <c r="C122" t="s">
        <v>281</v>
      </c>
      <c r="D122" s="14">
        <v>12.7</v>
      </c>
    </row>
    <row r="123" spans="1:4" x14ac:dyDescent="0.35">
      <c r="A123" s="13">
        <v>46235</v>
      </c>
      <c r="B123" t="s">
        <v>87</v>
      </c>
      <c r="C123" t="s">
        <v>282</v>
      </c>
      <c r="D123" s="14">
        <v>8.3000000000000007</v>
      </c>
    </row>
    <row r="124" spans="1:4" x14ac:dyDescent="0.35">
      <c r="A124" s="13">
        <v>46235</v>
      </c>
      <c r="B124" t="s">
        <v>87</v>
      </c>
      <c r="C124" t="s">
        <v>283</v>
      </c>
      <c r="D124" s="14">
        <v>15.7</v>
      </c>
    </row>
    <row r="125" spans="1:4" x14ac:dyDescent="0.35">
      <c r="A125" s="13">
        <v>46235</v>
      </c>
      <c r="B125" t="s">
        <v>87</v>
      </c>
      <c r="C125" t="s">
        <v>284</v>
      </c>
      <c r="D125" s="14">
        <v>13.5</v>
      </c>
    </row>
    <row r="126" spans="1:4" x14ac:dyDescent="0.35">
      <c r="A126" s="13">
        <v>46235</v>
      </c>
      <c r="B126" t="s">
        <v>87</v>
      </c>
      <c r="C126" t="s">
        <v>285</v>
      </c>
      <c r="D126" s="14">
        <v>19.399999999999999</v>
      </c>
    </row>
    <row r="127" spans="1:4" x14ac:dyDescent="0.35">
      <c r="A127" s="13">
        <v>46235</v>
      </c>
      <c r="B127" t="s">
        <v>87</v>
      </c>
      <c r="C127" t="s">
        <v>286</v>
      </c>
      <c r="D127" s="14">
        <v>13.9</v>
      </c>
    </row>
    <row r="128" spans="1:4" x14ac:dyDescent="0.35">
      <c r="A128" s="13">
        <v>46235</v>
      </c>
      <c r="B128" t="s">
        <v>87</v>
      </c>
      <c r="C128" t="s">
        <v>287</v>
      </c>
      <c r="D128" s="14">
        <v>18</v>
      </c>
    </row>
    <row r="129" spans="1:4" x14ac:dyDescent="0.35">
      <c r="A129" s="13">
        <v>46235</v>
      </c>
      <c r="B129" t="s">
        <v>87</v>
      </c>
      <c r="C129" t="s">
        <v>288</v>
      </c>
      <c r="D129" s="14">
        <v>11.4</v>
      </c>
    </row>
    <row r="130" spans="1:4" x14ac:dyDescent="0.35">
      <c r="A130" s="13">
        <v>46235</v>
      </c>
      <c r="B130" t="s">
        <v>87</v>
      </c>
      <c r="C130" t="s">
        <v>289</v>
      </c>
      <c r="D130" s="14">
        <v>12.3</v>
      </c>
    </row>
    <row r="131" spans="1:4" x14ac:dyDescent="0.35">
      <c r="A131" s="13">
        <v>46235</v>
      </c>
      <c r="B131" t="s">
        <v>87</v>
      </c>
      <c r="C131" t="s">
        <v>290</v>
      </c>
      <c r="D131" s="14">
        <v>18.5</v>
      </c>
    </row>
    <row r="132" spans="1:4" x14ac:dyDescent="0.35">
      <c r="A132" s="13">
        <v>46235</v>
      </c>
      <c r="B132" t="s">
        <v>87</v>
      </c>
      <c r="C132" t="s">
        <v>291</v>
      </c>
      <c r="D132" s="14">
        <v>14.3</v>
      </c>
    </row>
    <row r="133" spans="1:4" x14ac:dyDescent="0.35">
      <c r="A133" s="13">
        <v>46235</v>
      </c>
      <c r="B133" t="s">
        <v>87</v>
      </c>
      <c r="C133" t="s">
        <v>292</v>
      </c>
      <c r="D133" s="14">
        <v>12</v>
      </c>
    </row>
    <row r="134" spans="1:4" x14ac:dyDescent="0.35">
      <c r="A134" s="13">
        <v>46235</v>
      </c>
      <c r="B134" t="s">
        <v>87</v>
      </c>
      <c r="C134" t="s">
        <v>293</v>
      </c>
      <c r="D134" s="14">
        <v>11.1</v>
      </c>
    </row>
    <row r="135" spans="1:4" x14ac:dyDescent="0.35">
      <c r="A135" s="13">
        <v>46235</v>
      </c>
      <c r="B135" t="s">
        <v>87</v>
      </c>
      <c r="C135" t="s">
        <v>294</v>
      </c>
      <c r="D135" s="14">
        <v>11</v>
      </c>
    </row>
    <row r="136" spans="1:4" x14ac:dyDescent="0.35">
      <c r="A136" s="13">
        <v>46235</v>
      </c>
      <c r="B136" t="s">
        <v>87</v>
      </c>
      <c r="C136" t="s">
        <v>295</v>
      </c>
      <c r="D136" s="14">
        <v>13.7</v>
      </c>
    </row>
    <row r="137" spans="1:4" x14ac:dyDescent="0.35">
      <c r="A137" s="13">
        <v>46235</v>
      </c>
      <c r="B137" t="s">
        <v>87</v>
      </c>
      <c r="C137" t="s">
        <v>296</v>
      </c>
      <c r="D137" s="14">
        <v>20.6</v>
      </c>
    </row>
    <row r="138" spans="1:4" x14ac:dyDescent="0.35">
      <c r="A138" s="13">
        <v>46235</v>
      </c>
      <c r="B138" t="s">
        <v>87</v>
      </c>
      <c r="C138" t="s">
        <v>297</v>
      </c>
      <c r="D138" s="14">
        <v>15</v>
      </c>
    </row>
    <row r="139" spans="1:4" x14ac:dyDescent="0.35">
      <c r="A139" s="13">
        <v>46235</v>
      </c>
      <c r="B139" t="s">
        <v>77</v>
      </c>
      <c r="C139" t="s">
        <v>298</v>
      </c>
      <c r="D139" s="14">
        <v>0</v>
      </c>
    </row>
    <row r="140" spans="1:4" x14ac:dyDescent="0.35">
      <c r="A140" s="13">
        <v>46235</v>
      </c>
      <c r="B140" t="s">
        <v>85</v>
      </c>
      <c r="C140" t="s">
        <v>299</v>
      </c>
      <c r="D140" s="14">
        <v>0</v>
      </c>
    </row>
    <row r="141" spans="1:4" x14ac:dyDescent="0.35">
      <c r="A141" s="13">
        <v>46242</v>
      </c>
      <c r="B141" t="s">
        <v>70</v>
      </c>
      <c r="C141" t="s">
        <v>155</v>
      </c>
      <c r="D141" s="14">
        <v>27.2</v>
      </c>
    </row>
    <row r="142" spans="1:4" x14ac:dyDescent="0.35">
      <c r="A142" s="13">
        <v>46242</v>
      </c>
      <c r="B142" t="s">
        <v>70</v>
      </c>
      <c r="C142" t="s">
        <v>158</v>
      </c>
      <c r="D142" s="14">
        <v>23.5</v>
      </c>
    </row>
    <row r="143" spans="1:4" x14ac:dyDescent="0.35">
      <c r="A143" s="13">
        <v>46242</v>
      </c>
      <c r="B143" t="s">
        <v>70</v>
      </c>
      <c r="C143" t="s">
        <v>159</v>
      </c>
      <c r="D143" s="14">
        <v>17.899999999999999</v>
      </c>
    </row>
    <row r="144" spans="1:4" x14ac:dyDescent="0.35">
      <c r="A144" s="13">
        <v>46242</v>
      </c>
      <c r="B144" t="s">
        <v>70</v>
      </c>
      <c r="C144" t="s">
        <v>162</v>
      </c>
      <c r="D144" s="14">
        <v>25.7</v>
      </c>
    </row>
    <row r="145" spans="1:4" x14ac:dyDescent="0.35">
      <c r="A145" s="13">
        <v>46242</v>
      </c>
      <c r="B145" t="s">
        <v>70</v>
      </c>
      <c r="C145" t="s">
        <v>164</v>
      </c>
      <c r="D145" s="14">
        <v>11.2</v>
      </c>
    </row>
    <row r="146" spans="1:4" x14ac:dyDescent="0.35">
      <c r="A146" s="13">
        <v>46242</v>
      </c>
      <c r="B146" t="s">
        <v>70</v>
      </c>
      <c r="C146" t="s">
        <v>167</v>
      </c>
      <c r="D146" s="14">
        <v>14.4</v>
      </c>
    </row>
    <row r="147" spans="1:4" x14ac:dyDescent="0.35">
      <c r="A147" s="13">
        <v>46242</v>
      </c>
      <c r="B147" t="s">
        <v>70</v>
      </c>
      <c r="C147" t="s">
        <v>169</v>
      </c>
      <c r="D147" s="14">
        <v>10.8</v>
      </c>
    </row>
    <row r="148" spans="1:4" x14ac:dyDescent="0.35">
      <c r="A148" s="13">
        <v>46242</v>
      </c>
      <c r="B148" t="s">
        <v>70</v>
      </c>
      <c r="C148" t="s">
        <v>170</v>
      </c>
      <c r="D148" s="14">
        <v>21.2</v>
      </c>
    </row>
    <row r="149" spans="1:4" x14ac:dyDescent="0.35">
      <c r="A149" s="13">
        <v>46242</v>
      </c>
      <c r="B149" t="s">
        <v>70</v>
      </c>
      <c r="C149" t="s">
        <v>171</v>
      </c>
      <c r="D149" s="14">
        <v>16.8</v>
      </c>
    </row>
    <row r="150" spans="1:4" x14ac:dyDescent="0.35">
      <c r="A150" s="13">
        <v>46242</v>
      </c>
      <c r="B150" t="s">
        <v>70</v>
      </c>
      <c r="C150" t="s">
        <v>172</v>
      </c>
      <c r="D150" s="14">
        <v>10.9</v>
      </c>
    </row>
    <row r="151" spans="1:4" x14ac:dyDescent="0.35">
      <c r="A151" s="13">
        <v>46242</v>
      </c>
      <c r="B151" t="s">
        <v>70</v>
      </c>
      <c r="C151" t="s">
        <v>173</v>
      </c>
      <c r="D151" s="14">
        <v>19.8</v>
      </c>
    </row>
    <row r="152" spans="1:4" x14ac:dyDescent="0.35">
      <c r="A152" s="13">
        <v>46242</v>
      </c>
      <c r="B152" t="s">
        <v>70</v>
      </c>
      <c r="C152" t="s">
        <v>174</v>
      </c>
      <c r="D152" s="14">
        <v>24.2</v>
      </c>
    </row>
    <row r="153" spans="1:4" x14ac:dyDescent="0.35">
      <c r="A153" s="13">
        <v>46242</v>
      </c>
      <c r="B153" t="s">
        <v>70</v>
      </c>
      <c r="C153" t="s">
        <v>175</v>
      </c>
      <c r="D153" s="14">
        <v>16.7</v>
      </c>
    </row>
    <row r="154" spans="1:4" x14ac:dyDescent="0.35">
      <c r="A154" s="13">
        <v>46242</v>
      </c>
      <c r="B154" t="s">
        <v>70</v>
      </c>
      <c r="C154" t="s">
        <v>176</v>
      </c>
      <c r="D154" s="14">
        <v>13</v>
      </c>
    </row>
    <row r="155" spans="1:4" x14ac:dyDescent="0.35">
      <c r="A155" s="13">
        <v>46242</v>
      </c>
      <c r="B155" t="s">
        <v>73</v>
      </c>
      <c r="C155" t="s">
        <v>177</v>
      </c>
      <c r="D155" s="14">
        <v>13.4</v>
      </c>
    </row>
    <row r="156" spans="1:4" x14ac:dyDescent="0.35">
      <c r="A156" s="13">
        <v>46242</v>
      </c>
      <c r="B156" t="s">
        <v>73</v>
      </c>
      <c r="C156" t="s">
        <v>178</v>
      </c>
      <c r="D156" s="14">
        <v>11.6</v>
      </c>
    </row>
    <row r="157" spans="1:4" x14ac:dyDescent="0.35">
      <c r="A157" s="13">
        <v>46242</v>
      </c>
      <c r="B157" t="s">
        <v>73</v>
      </c>
      <c r="C157" t="s">
        <v>179</v>
      </c>
      <c r="D157" s="14">
        <v>17.2</v>
      </c>
    </row>
    <row r="158" spans="1:4" x14ac:dyDescent="0.35">
      <c r="A158" s="13">
        <v>46242</v>
      </c>
      <c r="B158" t="s">
        <v>73</v>
      </c>
      <c r="C158" t="s">
        <v>180</v>
      </c>
      <c r="D158" s="14">
        <v>9.6999999999999993</v>
      </c>
    </row>
    <row r="159" spans="1:4" x14ac:dyDescent="0.35">
      <c r="A159" s="13">
        <v>46242</v>
      </c>
      <c r="B159" t="s">
        <v>73</v>
      </c>
      <c r="C159" t="s">
        <v>181</v>
      </c>
      <c r="D159" s="14">
        <v>11</v>
      </c>
    </row>
    <row r="160" spans="1:4" x14ac:dyDescent="0.35">
      <c r="A160" s="13">
        <v>46242</v>
      </c>
      <c r="B160" t="s">
        <v>73</v>
      </c>
      <c r="C160" t="s">
        <v>182</v>
      </c>
      <c r="D160" s="14">
        <v>14.4</v>
      </c>
    </row>
    <row r="161" spans="1:4" x14ac:dyDescent="0.35">
      <c r="A161" s="13">
        <v>46242</v>
      </c>
      <c r="B161" t="s">
        <v>73</v>
      </c>
      <c r="C161" t="s">
        <v>183</v>
      </c>
      <c r="D161" s="14">
        <v>21.5</v>
      </c>
    </row>
    <row r="162" spans="1:4" x14ac:dyDescent="0.35">
      <c r="A162" s="13">
        <v>46242</v>
      </c>
      <c r="B162" t="s">
        <v>73</v>
      </c>
      <c r="C162" t="s">
        <v>184</v>
      </c>
      <c r="D162" s="14">
        <v>17.100000000000001</v>
      </c>
    </row>
    <row r="163" spans="1:4" x14ac:dyDescent="0.35">
      <c r="A163" s="13">
        <v>46242</v>
      </c>
      <c r="B163" t="s">
        <v>73</v>
      </c>
      <c r="C163" t="s">
        <v>185</v>
      </c>
      <c r="D163" s="14">
        <v>10.8</v>
      </c>
    </row>
    <row r="164" spans="1:4" x14ac:dyDescent="0.35">
      <c r="A164" s="13">
        <v>46242</v>
      </c>
      <c r="B164" t="s">
        <v>73</v>
      </c>
      <c r="C164" t="s">
        <v>186</v>
      </c>
      <c r="D164" s="14">
        <v>15.6</v>
      </c>
    </row>
    <row r="165" spans="1:4" x14ac:dyDescent="0.35">
      <c r="A165" s="13">
        <v>46242</v>
      </c>
      <c r="B165" t="s">
        <v>73</v>
      </c>
      <c r="C165" t="s">
        <v>187</v>
      </c>
      <c r="D165" s="14">
        <v>8.4</v>
      </c>
    </row>
    <row r="166" spans="1:4" x14ac:dyDescent="0.35">
      <c r="A166" s="13">
        <v>46242</v>
      </c>
      <c r="B166" t="s">
        <v>73</v>
      </c>
      <c r="C166" t="s">
        <v>189</v>
      </c>
      <c r="D166" s="14">
        <v>11.6</v>
      </c>
    </row>
    <row r="167" spans="1:4" x14ac:dyDescent="0.35">
      <c r="A167" s="13">
        <v>46242</v>
      </c>
      <c r="B167" t="s">
        <v>73</v>
      </c>
      <c r="C167" t="s">
        <v>190</v>
      </c>
      <c r="D167" s="14">
        <v>13.5</v>
      </c>
    </row>
    <row r="168" spans="1:4" x14ac:dyDescent="0.35">
      <c r="A168" s="13">
        <v>46242</v>
      </c>
      <c r="B168" t="s">
        <v>73</v>
      </c>
      <c r="C168" t="s">
        <v>191</v>
      </c>
      <c r="D168" s="14">
        <v>12.7</v>
      </c>
    </row>
    <row r="169" spans="1:4" x14ac:dyDescent="0.35">
      <c r="A169" s="13">
        <v>46242</v>
      </c>
      <c r="B169" t="s">
        <v>73</v>
      </c>
      <c r="C169" t="s">
        <v>192</v>
      </c>
      <c r="D169" s="14">
        <v>8.1</v>
      </c>
    </row>
    <row r="170" spans="1:4" x14ac:dyDescent="0.35">
      <c r="A170" s="13">
        <v>46242</v>
      </c>
      <c r="B170" t="s">
        <v>73</v>
      </c>
      <c r="C170" t="s">
        <v>193</v>
      </c>
      <c r="D170" s="14">
        <v>16.100000000000001</v>
      </c>
    </row>
    <row r="171" spans="1:4" x14ac:dyDescent="0.35">
      <c r="A171" s="13">
        <v>46242</v>
      </c>
      <c r="B171" t="s">
        <v>73</v>
      </c>
      <c r="C171" t="s">
        <v>194</v>
      </c>
      <c r="D171" s="14">
        <v>10.3</v>
      </c>
    </row>
    <row r="172" spans="1:4" x14ac:dyDescent="0.35">
      <c r="A172" s="13">
        <v>46242</v>
      </c>
      <c r="B172" t="s">
        <v>73</v>
      </c>
      <c r="C172" t="s">
        <v>195</v>
      </c>
      <c r="D172" s="14">
        <v>16.3</v>
      </c>
    </row>
    <row r="173" spans="1:4" x14ac:dyDescent="0.35">
      <c r="A173" s="13">
        <v>46242</v>
      </c>
      <c r="B173" t="s">
        <v>73</v>
      </c>
      <c r="C173" t="s">
        <v>196</v>
      </c>
      <c r="D173" s="14">
        <v>8.8000000000000007</v>
      </c>
    </row>
    <row r="174" spans="1:4" x14ac:dyDescent="0.35">
      <c r="A174" s="13">
        <v>46242</v>
      </c>
      <c r="B174" t="s">
        <v>3</v>
      </c>
      <c r="C174" t="s">
        <v>197</v>
      </c>
      <c r="D174" s="14">
        <v>14.7</v>
      </c>
    </row>
    <row r="175" spans="1:4" x14ac:dyDescent="0.35">
      <c r="A175" s="13">
        <v>46242</v>
      </c>
      <c r="B175" t="s">
        <v>3</v>
      </c>
      <c r="C175" t="s">
        <v>198</v>
      </c>
      <c r="D175" s="14">
        <v>13</v>
      </c>
    </row>
    <row r="176" spans="1:4" x14ac:dyDescent="0.35">
      <c r="A176" s="13">
        <v>46242</v>
      </c>
      <c r="B176" t="s">
        <v>3</v>
      </c>
      <c r="C176" t="s">
        <v>199</v>
      </c>
      <c r="D176" s="14">
        <v>20.100000000000001</v>
      </c>
    </row>
    <row r="177" spans="1:4" x14ac:dyDescent="0.35">
      <c r="A177" s="13">
        <v>46242</v>
      </c>
      <c r="B177" t="s">
        <v>3</v>
      </c>
      <c r="C177" t="s">
        <v>200</v>
      </c>
      <c r="D177" s="14">
        <v>14.5</v>
      </c>
    </row>
    <row r="178" spans="1:4" x14ac:dyDescent="0.35">
      <c r="A178" s="13">
        <v>46242</v>
      </c>
      <c r="B178" t="s">
        <v>3</v>
      </c>
      <c r="C178" t="s">
        <v>201</v>
      </c>
      <c r="D178" s="14">
        <v>23</v>
      </c>
    </row>
    <row r="179" spans="1:4" x14ac:dyDescent="0.35">
      <c r="A179" s="13">
        <v>46242</v>
      </c>
      <c r="B179" t="s">
        <v>3</v>
      </c>
      <c r="C179" t="s">
        <v>202</v>
      </c>
      <c r="D179" s="14">
        <v>9.4</v>
      </c>
    </row>
    <row r="180" spans="1:4" x14ac:dyDescent="0.35">
      <c r="A180" s="13">
        <v>46242</v>
      </c>
      <c r="B180" t="s">
        <v>3</v>
      </c>
      <c r="C180" t="s">
        <v>203</v>
      </c>
      <c r="D180" s="14">
        <v>15.8</v>
      </c>
    </row>
    <row r="181" spans="1:4" x14ac:dyDescent="0.35">
      <c r="A181" s="13">
        <v>46242</v>
      </c>
      <c r="B181" t="s">
        <v>3</v>
      </c>
      <c r="C181" t="s">
        <v>204</v>
      </c>
      <c r="D181" s="14">
        <v>9</v>
      </c>
    </row>
    <row r="182" spans="1:4" x14ac:dyDescent="0.35">
      <c r="A182" s="13">
        <v>46242</v>
      </c>
      <c r="B182" t="s">
        <v>3</v>
      </c>
      <c r="C182" t="s">
        <v>205</v>
      </c>
      <c r="D182" s="14">
        <v>25.6</v>
      </c>
    </row>
    <row r="183" spans="1:4" x14ac:dyDescent="0.35">
      <c r="A183" s="13">
        <v>46242</v>
      </c>
      <c r="B183" t="s">
        <v>3</v>
      </c>
      <c r="C183" t="s">
        <v>206</v>
      </c>
      <c r="D183" s="14">
        <v>24.2</v>
      </c>
    </row>
    <row r="184" spans="1:4" x14ac:dyDescent="0.35">
      <c r="A184" s="13">
        <v>46242</v>
      </c>
      <c r="B184" t="s">
        <v>3</v>
      </c>
      <c r="C184" t="s">
        <v>207</v>
      </c>
      <c r="D184" s="14">
        <v>24.5</v>
      </c>
    </row>
    <row r="185" spans="1:4" x14ac:dyDescent="0.35">
      <c r="A185" s="13">
        <v>46242</v>
      </c>
      <c r="B185" t="s">
        <v>3</v>
      </c>
      <c r="C185" t="s">
        <v>208</v>
      </c>
      <c r="D185" s="14">
        <v>23.7</v>
      </c>
    </row>
    <row r="186" spans="1:4" x14ac:dyDescent="0.35">
      <c r="A186" s="13">
        <v>46242</v>
      </c>
      <c r="B186" t="s">
        <v>3</v>
      </c>
      <c r="C186" t="s">
        <v>209</v>
      </c>
      <c r="D186" s="14">
        <v>22.4</v>
      </c>
    </row>
    <row r="187" spans="1:4" x14ac:dyDescent="0.35">
      <c r="A187" s="13">
        <v>46242</v>
      </c>
      <c r="B187" t="s">
        <v>3</v>
      </c>
      <c r="C187" t="s">
        <v>210</v>
      </c>
      <c r="D187" s="14">
        <v>14.3</v>
      </c>
    </row>
    <row r="188" spans="1:4" x14ac:dyDescent="0.35">
      <c r="A188" s="13">
        <v>46242</v>
      </c>
      <c r="B188" t="s">
        <v>3</v>
      </c>
      <c r="C188" t="s">
        <v>211</v>
      </c>
      <c r="D188" s="14">
        <v>15.7</v>
      </c>
    </row>
    <row r="189" spans="1:4" x14ac:dyDescent="0.35">
      <c r="A189" s="13">
        <v>46242</v>
      </c>
      <c r="B189" t="s">
        <v>3</v>
      </c>
      <c r="C189" t="s">
        <v>212</v>
      </c>
      <c r="D189" s="14">
        <v>22.1</v>
      </c>
    </row>
    <row r="190" spans="1:4" x14ac:dyDescent="0.35">
      <c r="A190" s="13">
        <v>46242</v>
      </c>
      <c r="B190" t="s">
        <v>3</v>
      </c>
      <c r="C190" t="s">
        <v>213</v>
      </c>
      <c r="D190" s="14">
        <v>12.8</v>
      </c>
    </row>
    <row r="191" spans="1:4" x14ac:dyDescent="0.35">
      <c r="A191" s="13">
        <v>46242</v>
      </c>
      <c r="B191" t="s">
        <v>3</v>
      </c>
      <c r="C191" t="s">
        <v>214</v>
      </c>
      <c r="D191" s="14">
        <v>15.3</v>
      </c>
    </row>
    <row r="192" spans="1:4" x14ac:dyDescent="0.35">
      <c r="A192" s="13">
        <v>46242</v>
      </c>
      <c r="B192" t="s">
        <v>3</v>
      </c>
      <c r="C192" t="s">
        <v>215</v>
      </c>
      <c r="D192" s="14">
        <v>11</v>
      </c>
    </row>
    <row r="193" spans="1:4" x14ac:dyDescent="0.35">
      <c r="A193" s="13">
        <v>46242</v>
      </c>
      <c r="B193" t="s">
        <v>77</v>
      </c>
      <c r="C193" t="s">
        <v>216</v>
      </c>
      <c r="D193" s="14">
        <v>13.4</v>
      </c>
    </row>
    <row r="194" spans="1:4" x14ac:dyDescent="0.35">
      <c r="A194" s="13">
        <v>46242</v>
      </c>
      <c r="B194" t="s">
        <v>77</v>
      </c>
      <c r="C194" t="s">
        <v>217</v>
      </c>
      <c r="D194" s="14">
        <v>15.2</v>
      </c>
    </row>
    <row r="195" spans="1:4" x14ac:dyDescent="0.35">
      <c r="A195" s="13">
        <v>46242</v>
      </c>
      <c r="B195" t="s">
        <v>77</v>
      </c>
      <c r="C195" t="s">
        <v>218</v>
      </c>
      <c r="D195" s="14">
        <v>15.3</v>
      </c>
    </row>
    <row r="196" spans="1:4" x14ac:dyDescent="0.35">
      <c r="A196" s="13">
        <v>46242</v>
      </c>
      <c r="B196" t="s">
        <v>77</v>
      </c>
      <c r="C196" t="s">
        <v>219</v>
      </c>
      <c r="D196" s="14">
        <v>8.8000000000000007</v>
      </c>
    </row>
    <row r="197" spans="1:4" x14ac:dyDescent="0.35">
      <c r="A197" s="13">
        <v>46242</v>
      </c>
      <c r="B197" t="s">
        <v>77</v>
      </c>
      <c r="C197" t="s">
        <v>220</v>
      </c>
      <c r="D197" s="14">
        <v>13.2</v>
      </c>
    </row>
    <row r="198" spans="1:4" x14ac:dyDescent="0.35">
      <c r="A198" s="13">
        <v>46242</v>
      </c>
      <c r="B198" t="s">
        <v>77</v>
      </c>
      <c r="C198" t="s">
        <v>221</v>
      </c>
      <c r="D198" s="14">
        <v>31.7</v>
      </c>
    </row>
    <row r="199" spans="1:4" x14ac:dyDescent="0.35">
      <c r="A199" s="13">
        <v>46242</v>
      </c>
      <c r="B199" t="s">
        <v>77</v>
      </c>
      <c r="C199" t="s">
        <v>222</v>
      </c>
      <c r="D199" s="14">
        <v>14.4</v>
      </c>
    </row>
    <row r="200" spans="1:4" x14ac:dyDescent="0.35">
      <c r="A200" s="13">
        <v>46242</v>
      </c>
      <c r="B200" t="s">
        <v>77</v>
      </c>
      <c r="C200" t="s">
        <v>223</v>
      </c>
      <c r="D200" s="14">
        <v>20.8</v>
      </c>
    </row>
    <row r="201" spans="1:4" x14ac:dyDescent="0.35">
      <c r="A201" s="13">
        <v>46242</v>
      </c>
      <c r="B201" t="s">
        <v>77</v>
      </c>
      <c r="C201" t="s">
        <v>224</v>
      </c>
      <c r="D201" s="14">
        <v>14.9</v>
      </c>
    </row>
    <row r="202" spans="1:4" x14ac:dyDescent="0.35">
      <c r="A202" s="13">
        <v>46242</v>
      </c>
      <c r="B202" t="s">
        <v>77</v>
      </c>
      <c r="C202" t="s">
        <v>225</v>
      </c>
      <c r="D202" s="14">
        <v>12.3</v>
      </c>
    </row>
    <row r="203" spans="1:4" x14ac:dyDescent="0.35">
      <c r="A203" s="13">
        <v>46242</v>
      </c>
      <c r="B203" t="s">
        <v>77</v>
      </c>
      <c r="C203" t="s">
        <v>226</v>
      </c>
      <c r="D203" s="14">
        <v>20.7</v>
      </c>
    </row>
    <row r="204" spans="1:4" x14ac:dyDescent="0.35">
      <c r="A204" s="13">
        <v>46242</v>
      </c>
      <c r="B204" t="s">
        <v>77</v>
      </c>
      <c r="C204" t="s">
        <v>227</v>
      </c>
      <c r="D204" s="14">
        <v>16</v>
      </c>
    </row>
    <row r="205" spans="1:4" x14ac:dyDescent="0.35">
      <c r="A205" s="13">
        <v>46242</v>
      </c>
      <c r="B205" t="s">
        <v>77</v>
      </c>
      <c r="C205" t="s">
        <v>228</v>
      </c>
      <c r="D205" s="14">
        <v>24.7</v>
      </c>
    </row>
    <row r="206" spans="1:4" x14ac:dyDescent="0.35">
      <c r="A206" s="13">
        <v>46242</v>
      </c>
      <c r="B206" t="s">
        <v>77</v>
      </c>
      <c r="C206" t="s">
        <v>229</v>
      </c>
      <c r="D206" s="14">
        <v>8.1999999999999993</v>
      </c>
    </row>
    <row r="207" spans="1:4" x14ac:dyDescent="0.35">
      <c r="A207" s="13">
        <v>46242</v>
      </c>
      <c r="B207" t="s">
        <v>77</v>
      </c>
      <c r="C207" t="s">
        <v>230</v>
      </c>
      <c r="D207" s="14">
        <v>9.5</v>
      </c>
    </row>
    <row r="208" spans="1:4" x14ac:dyDescent="0.35">
      <c r="A208" s="13">
        <v>46242</v>
      </c>
      <c r="B208" t="s">
        <v>80</v>
      </c>
      <c r="C208" t="s">
        <v>231</v>
      </c>
      <c r="D208" s="14">
        <v>15.7</v>
      </c>
    </row>
    <row r="209" spans="1:4" x14ac:dyDescent="0.35">
      <c r="A209" s="13">
        <v>46242</v>
      </c>
      <c r="B209" t="s">
        <v>80</v>
      </c>
      <c r="C209" t="s">
        <v>232</v>
      </c>
      <c r="D209" s="14">
        <v>23.8</v>
      </c>
    </row>
    <row r="210" spans="1:4" x14ac:dyDescent="0.35">
      <c r="A210" s="13">
        <v>46242</v>
      </c>
      <c r="B210" t="s">
        <v>80</v>
      </c>
      <c r="C210" t="s">
        <v>233</v>
      </c>
      <c r="D210" s="14">
        <v>12.3</v>
      </c>
    </row>
    <row r="211" spans="1:4" x14ac:dyDescent="0.35">
      <c r="A211" s="13">
        <v>46242</v>
      </c>
      <c r="B211" t="s">
        <v>80</v>
      </c>
      <c r="C211" t="s">
        <v>234</v>
      </c>
      <c r="D211" s="14">
        <v>8.3000000000000007</v>
      </c>
    </row>
    <row r="212" spans="1:4" x14ac:dyDescent="0.35">
      <c r="A212" s="13">
        <v>46242</v>
      </c>
      <c r="B212" t="s">
        <v>80</v>
      </c>
      <c r="C212" t="s">
        <v>235</v>
      </c>
      <c r="D212" s="14">
        <v>18.600000000000001</v>
      </c>
    </row>
    <row r="213" spans="1:4" x14ac:dyDescent="0.35">
      <c r="A213" s="13">
        <v>46242</v>
      </c>
      <c r="B213" t="s">
        <v>80</v>
      </c>
      <c r="C213" t="s">
        <v>236</v>
      </c>
      <c r="D213" s="14">
        <v>20.5</v>
      </c>
    </row>
    <row r="214" spans="1:4" x14ac:dyDescent="0.35">
      <c r="A214" s="13">
        <v>46242</v>
      </c>
      <c r="B214" t="s">
        <v>80</v>
      </c>
      <c r="C214" t="s">
        <v>237</v>
      </c>
      <c r="D214" s="14">
        <v>14.1</v>
      </c>
    </row>
    <row r="215" spans="1:4" x14ac:dyDescent="0.35">
      <c r="A215" s="13">
        <v>46242</v>
      </c>
      <c r="B215" t="s">
        <v>80</v>
      </c>
      <c r="C215" t="s">
        <v>238</v>
      </c>
      <c r="D215" s="14">
        <v>18.8</v>
      </c>
    </row>
    <row r="216" spans="1:4" x14ac:dyDescent="0.35">
      <c r="A216" s="13">
        <v>46242</v>
      </c>
      <c r="B216" t="s">
        <v>80</v>
      </c>
      <c r="C216" t="s">
        <v>239</v>
      </c>
      <c r="D216" s="14">
        <v>9.5</v>
      </c>
    </row>
    <row r="217" spans="1:4" x14ac:dyDescent="0.35">
      <c r="A217" s="13">
        <v>46242</v>
      </c>
      <c r="B217" t="s">
        <v>80</v>
      </c>
      <c r="C217" t="s">
        <v>240</v>
      </c>
      <c r="D217" s="14">
        <v>20.8</v>
      </c>
    </row>
    <row r="218" spans="1:4" x14ac:dyDescent="0.35">
      <c r="A218" s="13">
        <v>46242</v>
      </c>
      <c r="B218" t="s">
        <v>80</v>
      </c>
      <c r="C218" t="s">
        <v>241</v>
      </c>
      <c r="D218" s="14">
        <v>13.2</v>
      </c>
    </row>
    <row r="219" spans="1:4" x14ac:dyDescent="0.35">
      <c r="A219" s="13">
        <v>46242</v>
      </c>
      <c r="B219" t="s">
        <v>80</v>
      </c>
      <c r="C219" t="s">
        <v>242</v>
      </c>
      <c r="D219" s="14">
        <v>29.9</v>
      </c>
    </row>
    <row r="220" spans="1:4" x14ac:dyDescent="0.35">
      <c r="A220" s="13">
        <v>46242</v>
      </c>
      <c r="B220" t="s">
        <v>80</v>
      </c>
      <c r="C220" t="s">
        <v>243</v>
      </c>
      <c r="D220" s="14">
        <v>23.8</v>
      </c>
    </row>
    <row r="221" spans="1:4" x14ac:dyDescent="0.35">
      <c r="A221" s="13">
        <v>46242</v>
      </c>
      <c r="B221" t="s">
        <v>80</v>
      </c>
      <c r="C221" t="s">
        <v>244</v>
      </c>
      <c r="D221" s="14">
        <v>16.5</v>
      </c>
    </row>
    <row r="222" spans="1:4" x14ac:dyDescent="0.35">
      <c r="A222" s="13">
        <v>46242</v>
      </c>
      <c r="B222" t="s">
        <v>80</v>
      </c>
      <c r="C222" t="s">
        <v>245</v>
      </c>
      <c r="D222" s="14">
        <v>15.7</v>
      </c>
    </row>
    <row r="223" spans="1:4" x14ac:dyDescent="0.35">
      <c r="A223" s="13">
        <v>46242</v>
      </c>
      <c r="B223" t="s">
        <v>80</v>
      </c>
      <c r="C223" t="s">
        <v>246</v>
      </c>
      <c r="D223" s="14">
        <v>16.399999999999999</v>
      </c>
    </row>
    <row r="224" spans="1:4" x14ac:dyDescent="0.35">
      <c r="A224" s="13">
        <v>46242</v>
      </c>
      <c r="B224" t="s">
        <v>80</v>
      </c>
      <c r="C224" t="s">
        <v>247</v>
      </c>
      <c r="D224" s="14">
        <v>28.8</v>
      </c>
    </row>
    <row r="225" spans="1:4" x14ac:dyDescent="0.35">
      <c r="A225" s="13">
        <v>46242</v>
      </c>
      <c r="B225" t="s">
        <v>82</v>
      </c>
      <c r="C225" t="s">
        <v>248</v>
      </c>
      <c r="D225" s="14">
        <v>23.7</v>
      </c>
    </row>
    <row r="226" spans="1:4" x14ac:dyDescent="0.35">
      <c r="A226" s="13">
        <v>46242</v>
      </c>
      <c r="B226" t="s">
        <v>82</v>
      </c>
      <c r="C226" t="s">
        <v>249</v>
      </c>
      <c r="D226" s="14">
        <v>10.5</v>
      </c>
    </row>
    <row r="227" spans="1:4" x14ac:dyDescent="0.35">
      <c r="A227" s="13">
        <v>46242</v>
      </c>
      <c r="B227" t="s">
        <v>82</v>
      </c>
      <c r="C227" t="s">
        <v>250</v>
      </c>
      <c r="D227" s="14">
        <v>16.8</v>
      </c>
    </row>
    <row r="228" spans="1:4" x14ac:dyDescent="0.35">
      <c r="A228" s="13">
        <v>46242</v>
      </c>
      <c r="B228" t="s">
        <v>82</v>
      </c>
      <c r="C228" t="s">
        <v>251</v>
      </c>
      <c r="D228" s="14">
        <v>11.7</v>
      </c>
    </row>
    <row r="229" spans="1:4" x14ac:dyDescent="0.35">
      <c r="A229" s="13">
        <v>46242</v>
      </c>
      <c r="B229" t="s">
        <v>82</v>
      </c>
      <c r="C229" t="s">
        <v>252</v>
      </c>
      <c r="D229" s="14">
        <v>10.6</v>
      </c>
    </row>
    <row r="230" spans="1:4" x14ac:dyDescent="0.35">
      <c r="A230" s="13">
        <v>46242</v>
      </c>
      <c r="B230" t="s">
        <v>82</v>
      </c>
      <c r="C230" t="s">
        <v>253</v>
      </c>
      <c r="D230" s="14">
        <v>17.7</v>
      </c>
    </row>
    <row r="231" spans="1:4" x14ac:dyDescent="0.35">
      <c r="A231" s="13">
        <v>46242</v>
      </c>
      <c r="B231" t="s">
        <v>82</v>
      </c>
      <c r="C231" t="s">
        <v>254</v>
      </c>
      <c r="D231" s="14">
        <v>8.8000000000000007</v>
      </c>
    </row>
    <row r="232" spans="1:4" x14ac:dyDescent="0.35">
      <c r="A232" s="13">
        <v>46242</v>
      </c>
      <c r="B232" t="s">
        <v>82</v>
      </c>
      <c r="C232" t="s">
        <v>255</v>
      </c>
      <c r="D232" s="14">
        <v>10.8</v>
      </c>
    </row>
    <row r="233" spans="1:4" x14ac:dyDescent="0.35">
      <c r="A233" s="13">
        <v>46242</v>
      </c>
      <c r="B233" t="s">
        <v>82</v>
      </c>
      <c r="C233" t="s">
        <v>256</v>
      </c>
      <c r="D233" s="14">
        <v>19.100000000000001</v>
      </c>
    </row>
    <row r="234" spans="1:4" x14ac:dyDescent="0.35">
      <c r="A234" s="13">
        <v>46242</v>
      </c>
      <c r="B234" t="s">
        <v>82</v>
      </c>
      <c r="C234" t="s">
        <v>257</v>
      </c>
      <c r="D234" s="14">
        <v>17.2</v>
      </c>
    </row>
    <row r="235" spans="1:4" x14ac:dyDescent="0.35">
      <c r="A235" s="13">
        <v>46242</v>
      </c>
      <c r="B235" t="s">
        <v>82</v>
      </c>
      <c r="C235" t="s">
        <v>258</v>
      </c>
      <c r="D235" s="14">
        <v>24.4</v>
      </c>
    </row>
    <row r="236" spans="1:4" x14ac:dyDescent="0.35">
      <c r="A236" s="13">
        <v>46242</v>
      </c>
      <c r="B236" t="s">
        <v>82</v>
      </c>
      <c r="C236" t="s">
        <v>259</v>
      </c>
      <c r="D236" s="14">
        <v>11.6</v>
      </c>
    </row>
    <row r="237" spans="1:4" x14ac:dyDescent="0.35">
      <c r="A237" s="13">
        <v>46242</v>
      </c>
      <c r="B237" t="s">
        <v>82</v>
      </c>
      <c r="C237" t="s">
        <v>260</v>
      </c>
      <c r="D237" s="14">
        <v>11.7</v>
      </c>
    </row>
    <row r="238" spans="1:4" x14ac:dyDescent="0.35">
      <c r="A238" s="13">
        <v>46242</v>
      </c>
      <c r="B238" t="s">
        <v>82</v>
      </c>
      <c r="C238" t="s">
        <v>261</v>
      </c>
      <c r="D238" s="14">
        <v>17</v>
      </c>
    </row>
    <row r="239" spans="1:4" x14ac:dyDescent="0.35">
      <c r="A239" s="13">
        <v>46242</v>
      </c>
      <c r="B239" t="s">
        <v>82</v>
      </c>
      <c r="C239" t="s">
        <v>262</v>
      </c>
      <c r="D239" s="14">
        <v>23.2</v>
      </c>
    </row>
    <row r="240" spans="1:4" x14ac:dyDescent="0.35">
      <c r="A240" s="13">
        <v>46242</v>
      </c>
      <c r="B240" t="s">
        <v>82</v>
      </c>
      <c r="C240" t="s">
        <v>263</v>
      </c>
      <c r="D240" s="14">
        <v>10.199999999999999</v>
      </c>
    </row>
    <row r="241" spans="1:4" x14ac:dyDescent="0.35">
      <c r="A241" s="13">
        <v>46242</v>
      </c>
      <c r="B241" t="s">
        <v>82</v>
      </c>
      <c r="C241" t="s">
        <v>264</v>
      </c>
      <c r="D241" s="14">
        <v>25.8</v>
      </c>
    </row>
    <row r="242" spans="1:4" x14ac:dyDescent="0.35">
      <c r="A242" s="13">
        <v>46242</v>
      </c>
      <c r="B242" t="s">
        <v>82</v>
      </c>
      <c r="C242" t="s">
        <v>265</v>
      </c>
      <c r="D242" s="14">
        <v>17.600000000000001</v>
      </c>
    </row>
    <row r="243" spans="1:4" x14ac:dyDescent="0.35">
      <c r="A243" s="13">
        <v>46242</v>
      </c>
      <c r="B243" t="s">
        <v>85</v>
      </c>
      <c r="C243" t="s">
        <v>266</v>
      </c>
      <c r="D243" s="14">
        <v>11.8</v>
      </c>
    </row>
    <row r="244" spans="1:4" x14ac:dyDescent="0.35">
      <c r="A244" s="13">
        <v>46242</v>
      </c>
      <c r="B244" t="s">
        <v>85</v>
      </c>
      <c r="C244" t="s">
        <v>267</v>
      </c>
      <c r="D244" s="14">
        <v>7.3</v>
      </c>
    </row>
    <row r="245" spans="1:4" x14ac:dyDescent="0.35">
      <c r="A245" s="13">
        <v>46242</v>
      </c>
      <c r="B245" t="s">
        <v>85</v>
      </c>
      <c r="C245" t="s">
        <v>268</v>
      </c>
      <c r="D245" s="14">
        <v>23.2</v>
      </c>
    </row>
    <row r="246" spans="1:4" x14ac:dyDescent="0.35">
      <c r="A246" s="13">
        <v>46242</v>
      </c>
      <c r="B246" t="s">
        <v>85</v>
      </c>
      <c r="C246" t="s">
        <v>269</v>
      </c>
      <c r="D246" s="14">
        <v>23.5</v>
      </c>
    </row>
    <row r="247" spans="1:4" x14ac:dyDescent="0.35">
      <c r="A247" s="13">
        <v>46242</v>
      </c>
      <c r="B247" t="s">
        <v>85</v>
      </c>
      <c r="C247" t="s">
        <v>270</v>
      </c>
      <c r="D247" s="14">
        <v>19.5</v>
      </c>
    </row>
    <row r="248" spans="1:4" x14ac:dyDescent="0.35">
      <c r="A248" s="13">
        <v>46242</v>
      </c>
      <c r="B248" t="s">
        <v>85</v>
      </c>
      <c r="C248" t="s">
        <v>271</v>
      </c>
      <c r="D248" s="14">
        <v>14.3</v>
      </c>
    </row>
    <row r="249" spans="1:4" x14ac:dyDescent="0.35">
      <c r="A249" s="13">
        <v>46242</v>
      </c>
      <c r="B249" t="s">
        <v>85</v>
      </c>
      <c r="C249" t="s">
        <v>272</v>
      </c>
      <c r="D249" s="14">
        <v>19.7</v>
      </c>
    </row>
    <row r="250" spans="1:4" x14ac:dyDescent="0.35">
      <c r="A250" s="13">
        <v>46242</v>
      </c>
      <c r="B250" t="s">
        <v>85</v>
      </c>
      <c r="C250" t="s">
        <v>273</v>
      </c>
      <c r="D250" s="14">
        <v>9.8000000000000007</v>
      </c>
    </row>
    <row r="251" spans="1:4" x14ac:dyDescent="0.35">
      <c r="A251" s="13">
        <v>46242</v>
      </c>
      <c r="B251" t="s">
        <v>85</v>
      </c>
      <c r="C251" t="s">
        <v>274</v>
      </c>
      <c r="D251" s="14">
        <v>9.1999999999999993</v>
      </c>
    </row>
    <row r="252" spans="1:4" x14ac:dyDescent="0.35">
      <c r="A252" s="13">
        <v>46242</v>
      </c>
      <c r="B252" t="s">
        <v>85</v>
      </c>
      <c r="C252" t="s">
        <v>275</v>
      </c>
      <c r="D252" s="14">
        <v>18</v>
      </c>
    </row>
    <row r="253" spans="1:4" x14ac:dyDescent="0.35">
      <c r="A253" s="13">
        <v>46242</v>
      </c>
      <c r="B253" t="s">
        <v>85</v>
      </c>
      <c r="C253" t="s">
        <v>276</v>
      </c>
      <c r="D253" s="14">
        <v>12.1</v>
      </c>
    </row>
    <row r="254" spans="1:4" x14ac:dyDescent="0.35">
      <c r="A254" s="13">
        <v>46242</v>
      </c>
      <c r="B254" t="s">
        <v>85</v>
      </c>
      <c r="C254" t="s">
        <v>277</v>
      </c>
      <c r="D254" s="14">
        <v>14.9</v>
      </c>
    </row>
    <row r="255" spans="1:4" x14ac:dyDescent="0.35">
      <c r="A255" s="13">
        <v>46242</v>
      </c>
      <c r="B255" t="s">
        <v>85</v>
      </c>
      <c r="C255" t="s">
        <v>278</v>
      </c>
      <c r="D255" s="14">
        <v>17.600000000000001</v>
      </c>
    </row>
    <row r="256" spans="1:4" x14ac:dyDescent="0.35">
      <c r="A256" s="13">
        <v>46242</v>
      </c>
      <c r="B256" t="s">
        <v>85</v>
      </c>
      <c r="C256" t="s">
        <v>279</v>
      </c>
      <c r="D256" s="14">
        <v>11.9</v>
      </c>
    </row>
    <row r="257" spans="1:4" x14ac:dyDescent="0.35">
      <c r="A257" s="13">
        <v>46242</v>
      </c>
      <c r="B257" t="s">
        <v>85</v>
      </c>
      <c r="C257" t="s">
        <v>280</v>
      </c>
      <c r="D257" s="14">
        <v>15.8</v>
      </c>
    </row>
    <row r="258" spans="1:4" x14ac:dyDescent="0.35">
      <c r="A258" s="13">
        <v>46242</v>
      </c>
      <c r="B258" t="s">
        <v>85</v>
      </c>
      <c r="C258" t="s">
        <v>281</v>
      </c>
      <c r="D258" s="14">
        <v>12.9</v>
      </c>
    </row>
    <row r="259" spans="1:4" x14ac:dyDescent="0.35">
      <c r="A259" s="13">
        <v>46242</v>
      </c>
      <c r="B259" t="s">
        <v>87</v>
      </c>
      <c r="C259" t="s">
        <v>282</v>
      </c>
      <c r="D259" s="14">
        <v>8.1999999999999993</v>
      </c>
    </row>
    <row r="260" spans="1:4" x14ac:dyDescent="0.35">
      <c r="A260" s="13">
        <v>46242</v>
      </c>
      <c r="B260" t="s">
        <v>87</v>
      </c>
      <c r="C260" t="s">
        <v>283</v>
      </c>
      <c r="D260" s="14">
        <v>15.5</v>
      </c>
    </row>
    <row r="261" spans="1:4" x14ac:dyDescent="0.35">
      <c r="A261" s="13">
        <v>46242</v>
      </c>
      <c r="B261" t="s">
        <v>87</v>
      </c>
      <c r="C261" t="s">
        <v>284</v>
      </c>
      <c r="D261" s="14">
        <v>13.3</v>
      </c>
    </row>
    <row r="262" spans="1:4" x14ac:dyDescent="0.35">
      <c r="A262" s="13">
        <v>46242</v>
      </c>
      <c r="B262" t="s">
        <v>87</v>
      </c>
      <c r="C262" t="s">
        <v>285</v>
      </c>
      <c r="D262" s="14">
        <v>19.2</v>
      </c>
    </row>
    <row r="263" spans="1:4" x14ac:dyDescent="0.35">
      <c r="A263" s="13">
        <v>46242</v>
      </c>
      <c r="B263" t="s">
        <v>87</v>
      </c>
      <c r="C263" t="s">
        <v>286</v>
      </c>
      <c r="D263" s="14">
        <v>13.8</v>
      </c>
    </row>
    <row r="264" spans="1:4" x14ac:dyDescent="0.35">
      <c r="A264" s="13">
        <v>46242</v>
      </c>
      <c r="B264" t="s">
        <v>87</v>
      </c>
      <c r="C264" t="s">
        <v>287</v>
      </c>
      <c r="D264" s="14">
        <v>17.8</v>
      </c>
    </row>
    <row r="265" spans="1:4" x14ac:dyDescent="0.35">
      <c r="A265" s="13">
        <v>46242</v>
      </c>
      <c r="B265" t="s">
        <v>87</v>
      </c>
      <c r="C265" t="s">
        <v>288</v>
      </c>
      <c r="D265" s="14">
        <v>11.2</v>
      </c>
    </row>
    <row r="266" spans="1:4" x14ac:dyDescent="0.35">
      <c r="A266" s="13">
        <v>46242</v>
      </c>
      <c r="B266" t="s">
        <v>87</v>
      </c>
      <c r="C266" t="s">
        <v>289</v>
      </c>
      <c r="D266" s="14">
        <v>12.2</v>
      </c>
    </row>
    <row r="267" spans="1:4" x14ac:dyDescent="0.35">
      <c r="A267" s="13">
        <v>46242</v>
      </c>
      <c r="B267" t="s">
        <v>87</v>
      </c>
      <c r="C267" t="s">
        <v>290</v>
      </c>
      <c r="D267" s="14">
        <v>18.3</v>
      </c>
    </row>
    <row r="268" spans="1:4" x14ac:dyDescent="0.35">
      <c r="A268" s="13">
        <v>46242</v>
      </c>
      <c r="B268" t="s">
        <v>87</v>
      </c>
      <c r="C268" t="s">
        <v>291</v>
      </c>
      <c r="D268" s="14">
        <v>14.2</v>
      </c>
    </row>
    <row r="269" spans="1:4" x14ac:dyDescent="0.35">
      <c r="A269" s="13">
        <v>46242</v>
      </c>
      <c r="B269" t="s">
        <v>87</v>
      </c>
      <c r="C269" t="s">
        <v>292</v>
      </c>
      <c r="D269" s="14">
        <v>11.9</v>
      </c>
    </row>
    <row r="270" spans="1:4" x14ac:dyDescent="0.35">
      <c r="A270" s="13">
        <v>46242</v>
      </c>
      <c r="B270" t="s">
        <v>87</v>
      </c>
      <c r="C270" t="s">
        <v>293</v>
      </c>
      <c r="D270" s="14">
        <v>11</v>
      </c>
    </row>
    <row r="271" spans="1:4" x14ac:dyDescent="0.35">
      <c r="A271" s="13">
        <v>46242</v>
      </c>
      <c r="B271" t="s">
        <v>87</v>
      </c>
      <c r="C271" t="s">
        <v>294</v>
      </c>
      <c r="D271" s="14">
        <v>10.9</v>
      </c>
    </row>
    <row r="272" spans="1:4" x14ac:dyDescent="0.35">
      <c r="A272" s="13">
        <v>46242</v>
      </c>
      <c r="B272" t="s">
        <v>87</v>
      </c>
      <c r="C272" t="s">
        <v>295</v>
      </c>
      <c r="D272" s="14">
        <v>13.5</v>
      </c>
    </row>
    <row r="273" spans="1:4" x14ac:dyDescent="0.35">
      <c r="A273" s="13">
        <v>46242</v>
      </c>
      <c r="B273" t="s">
        <v>87</v>
      </c>
      <c r="C273" t="s">
        <v>296</v>
      </c>
      <c r="D273" s="14">
        <v>20.399999999999999</v>
      </c>
    </row>
    <row r="274" spans="1:4" x14ac:dyDescent="0.35">
      <c r="A274" s="13">
        <v>46242</v>
      </c>
      <c r="B274" t="s">
        <v>87</v>
      </c>
      <c r="C274" t="s">
        <v>297</v>
      </c>
      <c r="D274" s="14">
        <v>14.8</v>
      </c>
    </row>
    <row r="275" spans="1:4" x14ac:dyDescent="0.35">
      <c r="A275" s="13">
        <v>46242</v>
      </c>
      <c r="B275" t="s">
        <v>77</v>
      </c>
      <c r="C275" t="s">
        <v>298</v>
      </c>
      <c r="D275" s="14">
        <v>0</v>
      </c>
    </row>
    <row r="276" spans="1:4" x14ac:dyDescent="0.35">
      <c r="A276" s="13">
        <v>46242</v>
      </c>
      <c r="B276" t="s">
        <v>85</v>
      </c>
      <c r="C276" t="s">
        <v>299</v>
      </c>
      <c r="D276" s="14">
        <v>0</v>
      </c>
    </row>
    <row r="277" spans="1:4" x14ac:dyDescent="0.35">
      <c r="A277" s="13">
        <v>46249</v>
      </c>
      <c r="B277" t="s">
        <v>70</v>
      </c>
      <c r="C277" t="s">
        <v>155</v>
      </c>
      <c r="D277" s="14">
        <v>25.4</v>
      </c>
    </row>
    <row r="278" spans="1:4" x14ac:dyDescent="0.35">
      <c r="A278" s="13">
        <v>46249</v>
      </c>
      <c r="B278" t="s">
        <v>70</v>
      </c>
      <c r="C278" t="s">
        <v>158</v>
      </c>
      <c r="D278" s="14">
        <v>22</v>
      </c>
    </row>
    <row r="279" spans="1:4" x14ac:dyDescent="0.35">
      <c r="A279" s="13">
        <v>46249</v>
      </c>
      <c r="B279" t="s">
        <v>70</v>
      </c>
      <c r="C279" t="s">
        <v>159</v>
      </c>
      <c r="D279" s="14">
        <v>16.7</v>
      </c>
    </row>
    <row r="280" spans="1:4" x14ac:dyDescent="0.35">
      <c r="A280" s="13">
        <v>46249</v>
      </c>
      <c r="B280" t="s">
        <v>70</v>
      </c>
      <c r="C280" t="s">
        <v>162</v>
      </c>
      <c r="D280" s="14">
        <v>24</v>
      </c>
    </row>
    <row r="281" spans="1:4" x14ac:dyDescent="0.35">
      <c r="A281" s="13">
        <v>46249</v>
      </c>
      <c r="B281" t="s">
        <v>70</v>
      </c>
      <c r="C281" t="s">
        <v>164</v>
      </c>
      <c r="D281" s="14">
        <v>10.5</v>
      </c>
    </row>
    <row r="282" spans="1:4" x14ac:dyDescent="0.35">
      <c r="A282" s="13">
        <v>46249</v>
      </c>
      <c r="B282" t="s">
        <v>70</v>
      </c>
      <c r="C282" t="s">
        <v>167</v>
      </c>
      <c r="D282" s="14">
        <v>13.4</v>
      </c>
    </row>
    <row r="283" spans="1:4" x14ac:dyDescent="0.35">
      <c r="A283" s="13">
        <v>46249</v>
      </c>
      <c r="B283" t="s">
        <v>70</v>
      </c>
      <c r="C283" t="s">
        <v>169</v>
      </c>
      <c r="D283" s="14">
        <v>10.1</v>
      </c>
    </row>
    <row r="284" spans="1:4" x14ac:dyDescent="0.35">
      <c r="A284" s="13">
        <v>46249</v>
      </c>
      <c r="B284" t="s">
        <v>70</v>
      </c>
      <c r="C284" t="s">
        <v>170</v>
      </c>
      <c r="D284" s="14">
        <v>19.8</v>
      </c>
    </row>
    <row r="285" spans="1:4" x14ac:dyDescent="0.35">
      <c r="A285" s="13">
        <v>46249</v>
      </c>
      <c r="B285" t="s">
        <v>70</v>
      </c>
      <c r="C285" t="s">
        <v>171</v>
      </c>
      <c r="D285" s="14">
        <v>15.7</v>
      </c>
    </row>
    <row r="286" spans="1:4" x14ac:dyDescent="0.35">
      <c r="A286" s="13">
        <v>46249</v>
      </c>
      <c r="B286" t="s">
        <v>70</v>
      </c>
      <c r="C286" t="s">
        <v>172</v>
      </c>
      <c r="D286" s="14">
        <v>10.199999999999999</v>
      </c>
    </row>
    <row r="287" spans="1:4" x14ac:dyDescent="0.35">
      <c r="A287" s="13">
        <v>46249</v>
      </c>
      <c r="B287" t="s">
        <v>70</v>
      </c>
      <c r="C287" t="s">
        <v>173</v>
      </c>
      <c r="D287" s="14">
        <v>18.5</v>
      </c>
    </row>
    <row r="288" spans="1:4" x14ac:dyDescent="0.35">
      <c r="A288" s="13">
        <v>46249</v>
      </c>
      <c r="B288" t="s">
        <v>70</v>
      </c>
      <c r="C288" t="s">
        <v>174</v>
      </c>
      <c r="D288" s="14">
        <v>22.6</v>
      </c>
    </row>
    <row r="289" spans="1:4" x14ac:dyDescent="0.35">
      <c r="A289" s="13">
        <v>46249</v>
      </c>
      <c r="B289" t="s">
        <v>70</v>
      </c>
      <c r="C289" t="s">
        <v>175</v>
      </c>
      <c r="D289" s="14">
        <v>15.6</v>
      </c>
    </row>
    <row r="290" spans="1:4" x14ac:dyDescent="0.35">
      <c r="A290" s="13">
        <v>46249</v>
      </c>
      <c r="B290" t="s">
        <v>70</v>
      </c>
      <c r="C290" t="s">
        <v>176</v>
      </c>
      <c r="D290" s="14">
        <v>12.2</v>
      </c>
    </row>
    <row r="291" spans="1:4" x14ac:dyDescent="0.35">
      <c r="A291" s="13">
        <v>46249</v>
      </c>
      <c r="B291" t="s">
        <v>73</v>
      </c>
      <c r="C291" t="s">
        <v>177</v>
      </c>
      <c r="D291" s="14">
        <v>13.3</v>
      </c>
    </row>
    <row r="292" spans="1:4" x14ac:dyDescent="0.35">
      <c r="A292" s="13">
        <v>46249</v>
      </c>
      <c r="B292" t="s">
        <v>73</v>
      </c>
      <c r="C292" t="s">
        <v>178</v>
      </c>
      <c r="D292" s="14">
        <v>11.5</v>
      </c>
    </row>
    <row r="293" spans="1:4" x14ac:dyDescent="0.35">
      <c r="A293" s="13">
        <v>46249</v>
      </c>
      <c r="B293" t="s">
        <v>73</v>
      </c>
      <c r="C293" t="s">
        <v>179</v>
      </c>
      <c r="D293" s="14">
        <v>17.100000000000001</v>
      </c>
    </row>
    <row r="294" spans="1:4" x14ac:dyDescent="0.35">
      <c r="A294" s="13">
        <v>46249</v>
      </c>
      <c r="B294" t="s">
        <v>73</v>
      </c>
      <c r="C294" t="s">
        <v>180</v>
      </c>
      <c r="D294" s="14">
        <v>9.6</v>
      </c>
    </row>
    <row r="295" spans="1:4" x14ac:dyDescent="0.35">
      <c r="A295" s="13">
        <v>46249</v>
      </c>
      <c r="B295" t="s">
        <v>73</v>
      </c>
      <c r="C295" t="s">
        <v>181</v>
      </c>
      <c r="D295" s="14">
        <v>10.9</v>
      </c>
    </row>
    <row r="296" spans="1:4" x14ac:dyDescent="0.35">
      <c r="A296" s="13">
        <v>46249</v>
      </c>
      <c r="B296" t="s">
        <v>73</v>
      </c>
      <c r="C296" t="s">
        <v>182</v>
      </c>
      <c r="D296" s="14">
        <v>14.3</v>
      </c>
    </row>
    <row r="297" spans="1:4" x14ac:dyDescent="0.35">
      <c r="A297" s="13">
        <v>46249</v>
      </c>
      <c r="B297" t="s">
        <v>73</v>
      </c>
      <c r="C297" t="s">
        <v>183</v>
      </c>
      <c r="D297" s="14">
        <v>21.4</v>
      </c>
    </row>
    <row r="298" spans="1:4" x14ac:dyDescent="0.35">
      <c r="A298" s="13">
        <v>46249</v>
      </c>
      <c r="B298" t="s">
        <v>73</v>
      </c>
      <c r="C298" t="s">
        <v>184</v>
      </c>
      <c r="D298" s="14">
        <v>17</v>
      </c>
    </row>
    <row r="299" spans="1:4" x14ac:dyDescent="0.35">
      <c r="A299" s="13">
        <v>46249</v>
      </c>
      <c r="B299" t="s">
        <v>73</v>
      </c>
      <c r="C299" t="s">
        <v>185</v>
      </c>
      <c r="D299" s="14">
        <v>10.7</v>
      </c>
    </row>
    <row r="300" spans="1:4" x14ac:dyDescent="0.35">
      <c r="A300" s="13">
        <v>46249</v>
      </c>
      <c r="B300" t="s">
        <v>73</v>
      </c>
      <c r="C300" t="s">
        <v>186</v>
      </c>
      <c r="D300" s="14">
        <v>15.5</v>
      </c>
    </row>
    <row r="301" spans="1:4" x14ac:dyDescent="0.35">
      <c r="A301" s="13">
        <v>46249</v>
      </c>
      <c r="B301" t="s">
        <v>73</v>
      </c>
      <c r="C301" t="s">
        <v>187</v>
      </c>
      <c r="D301" s="14">
        <v>8.3000000000000007</v>
      </c>
    </row>
    <row r="302" spans="1:4" x14ac:dyDescent="0.35">
      <c r="A302" s="13">
        <v>46249</v>
      </c>
      <c r="B302" t="s">
        <v>73</v>
      </c>
      <c r="C302" t="s">
        <v>189</v>
      </c>
      <c r="D302" s="14">
        <v>11.5</v>
      </c>
    </row>
    <row r="303" spans="1:4" x14ac:dyDescent="0.35">
      <c r="A303" s="13">
        <v>46249</v>
      </c>
      <c r="B303" t="s">
        <v>73</v>
      </c>
      <c r="C303" t="s">
        <v>190</v>
      </c>
      <c r="D303" s="14">
        <v>13.4</v>
      </c>
    </row>
    <row r="304" spans="1:4" x14ac:dyDescent="0.35">
      <c r="A304" s="13">
        <v>46249</v>
      </c>
      <c r="B304" t="s">
        <v>73</v>
      </c>
      <c r="C304" t="s">
        <v>191</v>
      </c>
      <c r="D304" s="14">
        <v>12.6</v>
      </c>
    </row>
    <row r="305" spans="1:4" x14ac:dyDescent="0.35">
      <c r="A305" s="13">
        <v>46249</v>
      </c>
      <c r="B305" t="s">
        <v>73</v>
      </c>
      <c r="C305" t="s">
        <v>192</v>
      </c>
      <c r="D305" s="14">
        <v>8</v>
      </c>
    </row>
    <row r="306" spans="1:4" x14ac:dyDescent="0.35">
      <c r="A306" s="13">
        <v>46249</v>
      </c>
      <c r="B306" t="s">
        <v>73</v>
      </c>
      <c r="C306" t="s">
        <v>193</v>
      </c>
      <c r="D306" s="14">
        <v>16</v>
      </c>
    </row>
    <row r="307" spans="1:4" x14ac:dyDescent="0.35">
      <c r="A307" s="13">
        <v>46249</v>
      </c>
      <c r="B307" t="s">
        <v>73</v>
      </c>
      <c r="C307" t="s">
        <v>194</v>
      </c>
      <c r="D307" s="14">
        <v>10.3</v>
      </c>
    </row>
    <row r="308" spans="1:4" x14ac:dyDescent="0.35">
      <c r="A308" s="13">
        <v>46249</v>
      </c>
      <c r="B308" t="s">
        <v>73</v>
      </c>
      <c r="C308" t="s">
        <v>195</v>
      </c>
      <c r="D308" s="14">
        <v>16.100000000000001</v>
      </c>
    </row>
    <row r="309" spans="1:4" x14ac:dyDescent="0.35">
      <c r="A309" s="13">
        <v>46249</v>
      </c>
      <c r="B309" t="s">
        <v>73</v>
      </c>
      <c r="C309" t="s">
        <v>196</v>
      </c>
      <c r="D309" s="14">
        <v>8.6999999999999993</v>
      </c>
    </row>
    <row r="310" spans="1:4" x14ac:dyDescent="0.35">
      <c r="A310" s="13">
        <v>46249</v>
      </c>
      <c r="B310" t="s">
        <v>3</v>
      </c>
      <c r="C310" t="s">
        <v>197</v>
      </c>
      <c r="D310" s="14">
        <v>14.6</v>
      </c>
    </row>
    <row r="311" spans="1:4" x14ac:dyDescent="0.35">
      <c r="A311" s="13">
        <v>46249</v>
      </c>
      <c r="B311" t="s">
        <v>3</v>
      </c>
      <c r="C311" t="s">
        <v>198</v>
      </c>
      <c r="D311" s="14">
        <v>12.9</v>
      </c>
    </row>
    <row r="312" spans="1:4" x14ac:dyDescent="0.35">
      <c r="A312" s="13">
        <v>46249</v>
      </c>
      <c r="B312" t="s">
        <v>3</v>
      </c>
      <c r="C312" t="s">
        <v>199</v>
      </c>
      <c r="D312" s="14">
        <v>20</v>
      </c>
    </row>
    <row r="313" spans="1:4" x14ac:dyDescent="0.35">
      <c r="A313" s="13">
        <v>46249</v>
      </c>
      <c r="B313" t="s">
        <v>3</v>
      </c>
      <c r="C313" t="s">
        <v>200</v>
      </c>
      <c r="D313" s="14">
        <v>14.4</v>
      </c>
    </row>
    <row r="314" spans="1:4" x14ac:dyDescent="0.35">
      <c r="A314" s="13">
        <v>46249</v>
      </c>
      <c r="B314" t="s">
        <v>3</v>
      </c>
      <c r="C314" t="s">
        <v>201</v>
      </c>
      <c r="D314" s="14">
        <v>22.8</v>
      </c>
    </row>
    <row r="315" spans="1:4" x14ac:dyDescent="0.35">
      <c r="A315" s="13">
        <v>46249</v>
      </c>
      <c r="B315" t="s">
        <v>3</v>
      </c>
      <c r="C315" t="s">
        <v>202</v>
      </c>
      <c r="D315" s="14">
        <v>9.3000000000000007</v>
      </c>
    </row>
    <row r="316" spans="1:4" x14ac:dyDescent="0.35">
      <c r="A316" s="13">
        <v>46249</v>
      </c>
      <c r="B316" t="s">
        <v>3</v>
      </c>
      <c r="C316" t="s">
        <v>203</v>
      </c>
      <c r="D316" s="14">
        <v>15.7</v>
      </c>
    </row>
    <row r="317" spans="1:4" x14ac:dyDescent="0.35">
      <c r="A317" s="13">
        <v>46249</v>
      </c>
      <c r="B317" t="s">
        <v>3</v>
      </c>
      <c r="C317" t="s">
        <v>204</v>
      </c>
      <c r="D317" s="14">
        <v>8.9</v>
      </c>
    </row>
    <row r="318" spans="1:4" x14ac:dyDescent="0.35">
      <c r="A318" s="13">
        <v>46249</v>
      </c>
      <c r="B318" t="s">
        <v>3</v>
      </c>
      <c r="C318" t="s">
        <v>205</v>
      </c>
      <c r="D318" s="14">
        <v>25.5</v>
      </c>
    </row>
    <row r="319" spans="1:4" x14ac:dyDescent="0.35">
      <c r="A319" s="13">
        <v>46249</v>
      </c>
      <c r="B319" t="s">
        <v>3</v>
      </c>
      <c r="C319" t="s">
        <v>206</v>
      </c>
      <c r="D319" s="14">
        <v>24</v>
      </c>
    </row>
    <row r="320" spans="1:4" x14ac:dyDescent="0.35">
      <c r="A320" s="13">
        <v>46249</v>
      </c>
      <c r="B320" t="s">
        <v>3</v>
      </c>
      <c r="C320" t="s">
        <v>207</v>
      </c>
      <c r="D320" s="14">
        <v>24.4</v>
      </c>
    </row>
    <row r="321" spans="1:4" x14ac:dyDescent="0.35">
      <c r="A321" s="13">
        <v>46249</v>
      </c>
      <c r="B321" t="s">
        <v>3</v>
      </c>
      <c r="C321" t="s">
        <v>208</v>
      </c>
      <c r="D321" s="14">
        <v>23.5</v>
      </c>
    </row>
    <row r="322" spans="1:4" x14ac:dyDescent="0.35">
      <c r="A322" s="13">
        <v>46249</v>
      </c>
      <c r="B322" t="s">
        <v>3</v>
      </c>
      <c r="C322" t="s">
        <v>209</v>
      </c>
      <c r="D322" s="14">
        <v>22.3</v>
      </c>
    </row>
    <row r="323" spans="1:4" x14ac:dyDescent="0.35">
      <c r="A323" s="13">
        <v>46249</v>
      </c>
      <c r="B323" t="s">
        <v>3</v>
      </c>
      <c r="C323" t="s">
        <v>210</v>
      </c>
      <c r="D323" s="14">
        <v>14.2</v>
      </c>
    </row>
    <row r="324" spans="1:4" x14ac:dyDescent="0.35">
      <c r="A324" s="13">
        <v>46249</v>
      </c>
      <c r="B324" t="s">
        <v>3</v>
      </c>
      <c r="C324" t="s">
        <v>211</v>
      </c>
      <c r="D324" s="14">
        <v>15.6</v>
      </c>
    </row>
    <row r="325" spans="1:4" x14ac:dyDescent="0.35">
      <c r="A325" s="13">
        <v>46249</v>
      </c>
      <c r="B325" t="s">
        <v>3</v>
      </c>
      <c r="C325" t="s">
        <v>212</v>
      </c>
      <c r="D325" s="14">
        <v>21.9</v>
      </c>
    </row>
    <row r="326" spans="1:4" x14ac:dyDescent="0.35">
      <c r="A326" s="13">
        <v>46249</v>
      </c>
      <c r="B326" t="s">
        <v>3</v>
      </c>
      <c r="C326" t="s">
        <v>213</v>
      </c>
      <c r="D326" s="14">
        <v>12.7</v>
      </c>
    </row>
    <row r="327" spans="1:4" x14ac:dyDescent="0.35">
      <c r="A327" s="13">
        <v>46249</v>
      </c>
      <c r="B327" t="s">
        <v>3</v>
      </c>
      <c r="C327" t="s">
        <v>214</v>
      </c>
      <c r="D327" s="14">
        <v>15.1</v>
      </c>
    </row>
    <row r="328" spans="1:4" x14ac:dyDescent="0.35">
      <c r="A328" s="13">
        <v>46249</v>
      </c>
      <c r="B328" t="s">
        <v>3</v>
      </c>
      <c r="C328" t="s">
        <v>215</v>
      </c>
      <c r="D328" s="14">
        <v>10.9</v>
      </c>
    </row>
    <row r="329" spans="1:4" x14ac:dyDescent="0.35">
      <c r="A329" s="13">
        <v>46249</v>
      </c>
      <c r="B329" t="s">
        <v>77</v>
      </c>
      <c r="C329" t="s">
        <v>216</v>
      </c>
      <c r="D329" s="14">
        <v>13.2</v>
      </c>
    </row>
    <row r="330" spans="1:4" x14ac:dyDescent="0.35">
      <c r="A330" s="13">
        <v>46249</v>
      </c>
      <c r="B330" t="s">
        <v>77</v>
      </c>
      <c r="C330" t="s">
        <v>217</v>
      </c>
      <c r="D330" s="14">
        <v>15</v>
      </c>
    </row>
    <row r="331" spans="1:4" x14ac:dyDescent="0.35">
      <c r="A331" s="13">
        <v>46249</v>
      </c>
      <c r="B331" t="s">
        <v>77</v>
      </c>
      <c r="C331" t="s">
        <v>218</v>
      </c>
      <c r="D331" s="14">
        <v>15.1</v>
      </c>
    </row>
    <row r="332" spans="1:4" x14ac:dyDescent="0.35">
      <c r="A332" s="13">
        <v>46249</v>
      </c>
      <c r="B332" t="s">
        <v>77</v>
      </c>
      <c r="C332" t="s">
        <v>219</v>
      </c>
      <c r="D332" s="14">
        <v>8.6999999999999993</v>
      </c>
    </row>
    <row r="333" spans="1:4" x14ac:dyDescent="0.35">
      <c r="A333" s="13">
        <v>46249</v>
      </c>
      <c r="B333" t="s">
        <v>77</v>
      </c>
      <c r="C333" t="s">
        <v>220</v>
      </c>
      <c r="D333" s="14">
        <v>13.1</v>
      </c>
    </row>
    <row r="334" spans="1:4" x14ac:dyDescent="0.35">
      <c r="A334" s="13">
        <v>46249</v>
      </c>
      <c r="B334" t="s">
        <v>77</v>
      </c>
      <c r="C334" t="s">
        <v>221</v>
      </c>
      <c r="D334" s="14">
        <v>31.4</v>
      </c>
    </row>
    <row r="335" spans="1:4" x14ac:dyDescent="0.35">
      <c r="A335" s="13">
        <v>46249</v>
      </c>
      <c r="B335" t="s">
        <v>77</v>
      </c>
      <c r="C335" t="s">
        <v>222</v>
      </c>
      <c r="D335" s="14">
        <v>14.2</v>
      </c>
    </row>
    <row r="336" spans="1:4" x14ac:dyDescent="0.35">
      <c r="A336" s="13">
        <v>46249</v>
      </c>
      <c r="B336" t="s">
        <v>77</v>
      </c>
      <c r="C336" t="s">
        <v>223</v>
      </c>
      <c r="D336" s="14">
        <v>20.6</v>
      </c>
    </row>
    <row r="337" spans="1:4" x14ac:dyDescent="0.35">
      <c r="A337" s="13">
        <v>46249</v>
      </c>
      <c r="B337" t="s">
        <v>77</v>
      </c>
      <c r="C337" t="s">
        <v>224</v>
      </c>
      <c r="D337" s="14">
        <v>14.7</v>
      </c>
    </row>
    <row r="338" spans="1:4" x14ac:dyDescent="0.35">
      <c r="A338" s="13">
        <v>46249</v>
      </c>
      <c r="B338" t="s">
        <v>77</v>
      </c>
      <c r="C338" t="s">
        <v>225</v>
      </c>
      <c r="D338" s="14">
        <v>12.2</v>
      </c>
    </row>
    <row r="339" spans="1:4" x14ac:dyDescent="0.35">
      <c r="A339" s="13">
        <v>46249</v>
      </c>
      <c r="B339" t="s">
        <v>77</v>
      </c>
      <c r="C339" t="s">
        <v>226</v>
      </c>
      <c r="D339" s="14">
        <v>20.5</v>
      </c>
    </row>
    <row r="340" spans="1:4" x14ac:dyDescent="0.35">
      <c r="A340" s="13">
        <v>46249</v>
      </c>
      <c r="B340" t="s">
        <v>77</v>
      </c>
      <c r="C340" t="s">
        <v>227</v>
      </c>
      <c r="D340" s="14">
        <v>15.8</v>
      </c>
    </row>
    <row r="341" spans="1:4" x14ac:dyDescent="0.35">
      <c r="A341" s="13">
        <v>46249</v>
      </c>
      <c r="B341" t="s">
        <v>77</v>
      </c>
      <c r="C341" t="s">
        <v>228</v>
      </c>
      <c r="D341" s="14">
        <v>24.5</v>
      </c>
    </row>
    <row r="342" spans="1:4" x14ac:dyDescent="0.35">
      <c r="A342" s="13">
        <v>46249</v>
      </c>
      <c r="B342" t="s">
        <v>77</v>
      </c>
      <c r="C342" t="s">
        <v>229</v>
      </c>
      <c r="D342" s="14">
        <v>8.1</v>
      </c>
    </row>
    <row r="343" spans="1:4" x14ac:dyDescent="0.35">
      <c r="A343" s="13">
        <v>46249</v>
      </c>
      <c r="B343" t="s">
        <v>77</v>
      </c>
      <c r="C343" t="s">
        <v>230</v>
      </c>
      <c r="D343" s="14">
        <v>9.4</v>
      </c>
    </row>
    <row r="344" spans="1:4" x14ac:dyDescent="0.35">
      <c r="A344" s="13">
        <v>46249</v>
      </c>
      <c r="B344" t="s">
        <v>80</v>
      </c>
      <c r="C344" t="s">
        <v>231</v>
      </c>
      <c r="D344" s="14">
        <v>15.6</v>
      </c>
    </row>
    <row r="345" spans="1:4" x14ac:dyDescent="0.35">
      <c r="A345" s="13">
        <v>46249</v>
      </c>
      <c r="B345" t="s">
        <v>80</v>
      </c>
      <c r="C345" t="s">
        <v>232</v>
      </c>
      <c r="D345" s="14">
        <v>23.8</v>
      </c>
    </row>
    <row r="346" spans="1:4" x14ac:dyDescent="0.35">
      <c r="A346" s="13">
        <v>46249</v>
      </c>
      <c r="B346" t="s">
        <v>80</v>
      </c>
      <c r="C346" t="s">
        <v>233</v>
      </c>
      <c r="D346" s="14">
        <v>12.3</v>
      </c>
    </row>
    <row r="347" spans="1:4" x14ac:dyDescent="0.35">
      <c r="A347" s="13">
        <v>46249</v>
      </c>
      <c r="B347" t="s">
        <v>80</v>
      </c>
      <c r="C347" t="s">
        <v>234</v>
      </c>
      <c r="D347" s="14">
        <v>8.3000000000000007</v>
      </c>
    </row>
    <row r="348" spans="1:4" x14ac:dyDescent="0.35">
      <c r="A348" s="13">
        <v>46249</v>
      </c>
      <c r="B348" t="s">
        <v>80</v>
      </c>
      <c r="C348" t="s">
        <v>235</v>
      </c>
      <c r="D348" s="14">
        <v>18.600000000000001</v>
      </c>
    </row>
    <row r="349" spans="1:4" x14ac:dyDescent="0.35">
      <c r="A349" s="13">
        <v>46249</v>
      </c>
      <c r="B349" t="s">
        <v>80</v>
      </c>
      <c r="C349" t="s">
        <v>236</v>
      </c>
      <c r="D349" s="14">
        <v>20.5</v>
      </c>
    </row>
    <row r="350" spans="1:4" x14ac:dyDescent="0.35">
      <c r="A350" s="13">
        <v>46249</v>
      </c>
      <c r="B350" t="s">
        <v>80</v>
      </c>
      <c r="C350" t="s">
        <v>237</v>
      </c>
      <c r="D350" s="14">
        <v>14.1</v>
      </c>
    </row>
    <row r="351" spans="1:4" x14ac:dyDescent="0.35">
      <c r="A351" s="13">
        <v>46249</v>
      </c>
      <c r="B351" t="s">
        <v>80</v>
      </c>
      <c r="C351" t="s">
        <v>238</v>
      </c>
      <c r="D351" s="14">
        <v>18.8</v>
      </c>
    </row>
    <row r="352" spans="1:4" x14ac:dyDescent="0.35">
      <c r="A352" s="13">
        <v>46249</v>
      </c>
      <c r="B352" t="s">
        <v>80</v>
      </c>
      <c r="C352" t="s">
        <v>239</v>
      </c>
      <c r="D352" s="14">
        <v>9.5</v>
      </c>
    </row>
    <row r="353" spans="1:4" x14ac:dyDescent="0.35">
      <c r="A353" s="13">
        <v>46249</v>
      </c>
      <c r="B353" t="s">
        <v>80</v>
      </c>
      <c r="C353" t="s">
        <v>240</v>
      </c>
      <c r="D353" s="14">
        <v>20.7</v>
      </c>
    </row>
    <row r="354" spans="1:4" x14ac:dyDescent="0.35">
      <c r="A354" s="13">
        <v>46249</v>
      </c>
      <c r="B354" t="s">
        <v>80</v>
      </c>
      <c r="C354" t="s">
        <v>241</v>
      </c>
      <c r="D354" s="14">
        <v>13.1</v>
      </c>
    </row>
    <row r="355" spans="1:4" x14ac:dyDescent="0.35">
      <c r="A355" s="13">
        <v>46249</v>
      </c>
      <c r="B355" t="s">
        <v>80</v>
      </c>
      <c r="C355" t="s">
        <v>242</v>
      </c>
      <c r="D355" s="14">
        <v>29.9</v>
      </c>
    </row>
    <row r="356" spans="1:4" x14ac:dyDescent="0.35">
      <c r="A356" s="13">
        <v>46249</v>
      </c>
      <c r="B356" t="s">
        <v>80</v>
      </c>
      <c r="C356" t="s">
        <v>243</v>
      </c>
      <c r="D356" s="14">
        <v>23.8</v>
      </c>
    </row>
    <row r="357" spans="1:4" x14ac:dyDescent="0.35">
      <c r="A357" s="13">
        <v>46249</v>
      </c>
      <c r="B357" t="s">
        <v>80</v>
      </c>
      <c r="C357" t="s">
        <v>244</v>
      </c>
      <c r="D357" s="14">
        <v>16.5</v>
      </c>
    </row>
    <row r="358" spans="1:4" x14ac:dyDescent="0.35">
      <c r="A358" s="13">
        <v>46249</v>
      </c>
      <c r="B358" t="s">
        <v>80</v>
      </c>
      <c r="C358" t="s">
        <v>245</v>
      </c>
      <c r="D358" s="14">
        <v>15.7</v>
      </c>
    </row>
    <row r="359" spans="1:4" x14ac:dyDescent="0.35">
      <c r="A359" s="13">
        <v>46249</v>
      </c>
      <c r="B359" t="s">
        <v>80</v>
      </c>
      <c r="C359" t="s">
        <v>246</v>
      </c>
      <c r="D359" s="14">
        <v>16.3</v>
      </c>
    </row>
    <row r="360" spans="1:4" x14ac:dyDescent="0.35">
      <c r="A360" s="13">
        <v>46249</v>
      </c>
      <c r="B360" t="s">
        <v>80</v>
      </c>
      <c r="C360" t="s">
        <v>247</v>
      </c>
      <c r="D360" s="14">
        <v>28.8</v>
      </c>
    </row>
    <row r="361" spans="1:4" x14ac:dyDescent="0.35">
      <c r="A361" s="13">
        <v>46249</v>
      </c>
      <c r="B361" t="s">
        <v>82</v>
      </c>
      <c r="C361" t="s">
        <v>248</v>
      </c>
      <c r="D361" s="14">
        <v>23.8</v>
      </c>
    </row>
    <row r="362" spans="1:4" x14ac:dyDescent="0.35">
      <c r="A362" s="13">
        <v>46249</v>
      </c>
      <c r="B362" t="s">
        <v>82</v>
      </c>
      <c r="C362" t="s">
        <v>249</v>
      </c>
      <c r="D362" s="14">
        <v>10.6</v>
      </c>
    </row>
    <row r="363" spans="1:4" x14ac:dyDescent="0.35">
      <c r="A363" s="13">
        <v>46249</v>
      </c>
      <c r="B363" t="s">
        <v>82</v>
      </c>
      <c r="C363" t="s">
        <v>250</v>
      </c>
      <c r="D363" s="14">
        <v>16.899999999999999</v>
      </c>
    </row>
    <row r="364" spans="1:4" x14ac:dyDescent="0.35">
      <c r="A364" s="13">
        <v>46249</v>
      </c>
      <c r="B364" t="s">
        <v>82</v>
      </c>
      <c r="C364" t="s">
        <v>251</v>
      </c>
      <c r="D364" s="14">
        <v>11.8</v>
      </c>
    </row>
    <row r="365" spans="1:4" x14ac:dyDescent="0.35">
      <c r="A365" s="13">
        <v>46249</v>
      </c>
      <c r="B365" t="s">
        <v>82</v>
      </c>
      <c r="C365" t="s">
        <v>252</v>
      </c>
      <c r="D365" s="14">
        <v>10.7</v>
      </c>
    </row>
    <row r="366" spans="1:4" x14ac:dyDescent="0.35">
      <c r="A366" s="13">
        <v>46249</v>
      </c>
      <c r="B366" t="s">
        <v>82</v>
      </c>
      <c r="C366" t="s">
        <v>253</v>
      </c>
      <c r="D366" s="14">
        <v>17.8</v>
      </c>
    </row>
    <row r="367" spans="1:4" x14ac:dyDescent="0.35">
      <c r="A367" s="13">
        <v>46249</v>
      </c>
      <c r="B367" t="s">
        <v>82</v>
      </c>
      <c r="C367" t="s">
        <v>254</v>
      </c>
      <c r="D367" s="14">
        <v>8.8000000000000007</v>
      </c>
    </row>
    <row r="368" spans="1:4" x14ac:dyDescent="0.35">
      <c r="A368" s="13">
        <v>46249</v>
      </c>
      <c r="B368" t="s">
        <v>82</v>
      </c>
      <c r="C368" t="s">
        <v>255</v>
      </c>
      <c r="D368" s="14">
        <v>10.8</v>
      </c>
    </row>
    <row r="369" spans="1:4" x14ac:dyDescent="0.35">
      <c r="A369" s="13">
        <v>46249</v>
      </c>
      <c r="B369" t="s">
        <v>82</v>
      </c>
      <c r="C369" t="s">
        <v>256</v>
      </c>
      <c r="D369" s="14">
        <v>19.2</v>
      </c>
    </row>
    <row r="370" spans="1:4" x14ac:dyDescent="0.35">
      <c r="A370" s="13">
        <v>46249</v>
      </c>
      <c r="B370" t="s">
        <v>82</v>
      </c>
      <c r="C370" t="s">
        <v>257</v>
      </c>
      <c r="D370" s="14">
        <v>17.3</v>
      </c>
    </row>
    <row r="371" spans="1:4" x14ac:dyDescent="0.35">
      <c r="A371" s="13">
        <v>46249</v>
      </c>
      <c r="B371" t="s">
        <v>82</v>
      </c>
      <c r="C371" t="s">
        <v>258</v>
      </c>
      <c r="D371" s="14">
        <v>24.6</v>
      </c>
    </row>
    <row r="372" spans="1:4" x14ac:dyDescent="0.35">
      <c r="A372" s="13">
        <v>46249</v>
      </c>
      <c r="B372" t="s">
        <v>82</v>
      </c>
      <c r="C372" t="s">
        <v>259</v>
      </c>
      <c r="D372" s="14">
        <v>11.6</v>
      </c>
    </row>
    <row r="373" spans="1:4" x14ac:dyDescent="0.35">
      <c r="A373" s="13">
        <v>46249</v>
      </c>
      <c r="B373" t="s">
        <v>82</v>
      </c>
      <c r="C373" t="s">
        <v>260</v>
      </c>
      <c r="D373" s="14">
        <v>11.7</v>
      </c>
    </row>
    <row r="374" spans="1:4" x14ac:dyDescent="0.35">
      <c r="A374" s="13">
        <v>46249</v>
      </c>
      <c r="B374" t="s">
        <v>82</v>
      </c>
      <c r="C374" t="s">
        <v>261</v>
      </c>
      <c r="D374" s="14">
        <v>17.100000000000001</v>
      </c>
    </row>
    <row r="375" spans="1:4" x14ac:dyDescent="0.35">
      <c r="A375" s="13">
        <v>46249</v>
      </c>
      <c r="B375" t="s">
        <v>82</v>
      </c>
      <c r="C375" t="s">
        <v>262</v>
      </c>
      <c r="D375" s="14">
        <v>23.3</v>
      </c>
    </row>
    <row r="376" spans="1:4" x14ac:dyDescent="0.35">
      <c r="A376" s="13">
        <v>46249</v>
      </c>
      <c r="B376" t="s">
        <v>82</v>
      </c>
      <c r="C376" t="s">
        <v>263</v>
      </c>
      <c r="D376" s="14">
        <v>10.3</v>
      </c>
    </row>
    <row r="377" spans="1:4" x14ac:dyDescent="0.35">
      <c r="A377" s="13">
        <v>46249</v>
      </c>
      <c r="B377" t="s">
        <v>82</v>
      </c>
      <c r="C377" t="s">
        <v>264</v>
      </c>
      <c r="D377" s="14">
        <v>25.9</v>
      </c>
    </row>
    <row r="378" spans="1:4" x14ac:dyDescent="0.35">
      <c r="A378" s="13">
        <v>46249</v>
      </c>
      <c r="B378" t="s">
        <v>82</v>
      </c>
      <c r="C378" t="s">
        <v>265</v>
      </c>
      <c r="D378" s="14">
        <v>17.7</v>
      </c>
    </row>
    <row r="379" spans="1:4" x14ac:dyDescent="0.35">
      <c r="A379" s="13">
        <v>46249</v>
      </c>
      <c r="B379" t="s">
        <v>85</v>
      </c>
      <c r="C379" t="s">
        <v>266</v>
      </c>
      <c r="D379" s="14">
        <v>11.6</v>
      </c>
    </row>
    <row r="380" spans="1:4" x14ac:dyDescent="0.35">
      <c r="A380" s="13">
        <v>46249</v>
      </c>
      <c r="B380" t="s">
        <v>85</v>
      </c>
      <c r="C380" t="s">
        <v>267</v>
      </c>
      <c r="D380" s="14">
        <v>7.2</v>
      </c>
    </row>
    <row r="381" spans="1:4" x14ac:dyDescent="0.35">
      <c r="A381" s="13">
        <v>46249</v>
      </c>
      <c r="B381" t="s">
        <v>85</v>
      </c>
      <c r="C381" t="s">
        <v>268</v>
      </c>
      <c r="D381" s="14">
        <v>22.8</v>
      </c>
    </row>
    <row r="382" spans="1:4" x14ac:dyDescent="0.35">
      <c r="A382" s="13">
        <v>46249</v>
      </c>
      <c r="B382" t="s">
        <v>85</v>
      </c>
      <c r="C382" t="s">
        <v>269</v>
      </c>
      <c r="D382" s="14">
        <v>23.1</v>
      </c>
    </row>
    <row r="383" spans="1:4" x14ac:dyDescent="0.35">
      <c r="A383" s="13">
        <v>46249</v>
      </c>
      <c r="B383" t="s">
        <v>85</v>
      </c>
      <c r="C383" t="s">
        <v>270</v>
      </c>
      <c r="D383" s="14">
        <v>19.100000000000001</v>
      </c>
    </row>
    <row r="384" spans="1:4" x14ac:dyDescent="0.35">
      <c r="A384" s="13">
        <v>46249</v>
      </c>
      <c r="B384" t="s">
        <v>85</v>
      </c>
      <c r="C384" t="s">
        <v>271</v>
      </c>
      <c r="D384" s="14">
        <v>14</v>
      </c>
    </row>
    <row r="385" spans="1:4" x14ac:dyDescent="0.35">
      <c r="A385" s="13">
        <v>46249</v>
      </c>
      <c r="B385" t="s">
        <v>85</v>
      </c>
      <c r="C385" t="s">
        <v>272</v>
      </c>
      <c r="D385" s="14">
        <v>19.399999999999999</v>
      </c>
    </row>
    <row r="386" spans="1:4" x14ac:dyDescent="0.35">
      <c r="A386" s="13">
        <v>46249</v>
      </c>
      <c r="B386" t="s">
        <v>85</v>
      </c>
      <c r="C386" t="s">
        <v>273</v>
      </c>
      <c r="D386" s="14">
        <v>9.6</v>
      </c>
    </row>
    <row r="387" spans="1:4" x14ac:dyDescent="0.35">
      <c r="A387" s="13">
        <v>46249</v>
      </c>
      <c r="B387" t="s">
        <v>85</v>
      </c>
      <c r="C387" t="s">
        <v>274</v>
      </c>
      <c r="D387" s="14">
        <v>9</v>
      </c>
    </row>
    <row r="388" spans="1:4" x14ac:dyDescent="0.35">
      <c r="A388" s="13">
        <v>46249</v>
      </c>
      <c r="B388" t="s">
        <v>85</v>
      </c>
      <c r="C388" t="s">
        <v>275</v>
      </c>
      <c r="D388" s="14">
        <v>17.7</v>
      </c>
    </row>
    <row r="389" spans="1:4" x14ac:dyDescent="0.35">
      <c r="A389" s="13">
        <v>46249</v>
      </c>
      <c r="B389" t="s">
        <v>85</v>
      </c>
      <c r="C389" t="s">
        <v>276</v>
      </c>
      <c r="D389" s="14">
        <v>11.9</v>
      </c>
    </row>
    <row r="390" spans="1:4" x14ac:dyDescent="0.35">
      <c r="A390" s="13">
        <v>46249</v>
      </c>
      <c r="B390" t="s">
        <v>85</v>
      </c>
      <c r="C390" t="s">
        <v>277</v>
      </c>
      <c r="D390" s="14">
        <v>14.6</v>
      </c>
    </row>
    <row r="391" spans="1:4" x14ac:dyDescent="0.35">
      <c r="A391" s="13">
        <v>46249</v>
      </c>
      <c r="B391" t="s">
        <v>85</v>
      </c>
      <c r="C391" t="s">
        <v>278</v>
      </c>
      <c r="D391" s="14">
        <v>17.3</v>
      </c>
    </row>
    <row r="392" spans="1:4" x14ac:dyDescent="0.35">
      <c r="A392" s="13">
        <v>46249</v>
      </c>
      <c r="B392" t="s">
        <v>85</v>
      </c>
      <c r="C392" t="s">
        <v>279</v>
      </c>
      <c r="D392" s="14">
        <v>11.7</v>
      </c>
    </row>
    <row r="393" spans="1:4" x14ac:dyDescent="0.35">
      <c r="A393" s="13">
        <v>46249</v>
      </c>
      <c r="B393" t="s">
        <v>85</v>
      </c>
      <c r="C393" t="s">
        <v>280</v>
      </c>
      <c r="D393" s="14">
        <v>15.5</v>
      </c>
    </row>
    <row r="394" spans="1:4" x14ac:dyDescent="0.35">
      <c r="A394" s="13">
        <v>46249</v>
      </c>
      <c r="B394" t="s">
        <v>85</v>
      </c>
      <c r="C394" t="s">
        <v>281</v>
      </c>
      <c r="D394" s="14">
        <v>12.6</v>
      </c>
    </row>
    <row r="395" spans="1:4" x14ac:dyDescent="0.35">
      <c r="A395" s="13">
        <v>46249</v>
      </c>
      <c r="B395" t="s">
        <v>87</v>
      </c>
      <c r="C395" t="s">
        <v>282</v>
      </c>
      <c r="D395" s="14">
        <v>7.9</v>
      </c>
    </row>
    <row r="396" spans="1:4" x14ac:dyDescent="0.35">
      <c r="A396" s="13">
        <v>46249</v>
      </c>
      <c r="B396" t="s">
        <v>87</v>
      </c>
      <c r="C396" t="s">
        <v>283</v>
      </c>
      <c r="D396" s="14">
        <v>15</v>
      </c>
    </row>
    <row r="397" spans="1:4" x14ac:dyDescent="0.35">
      <c r="A397" s="13">
        <v>46249</v>
      </c>
      <c r="B397" t="s">
        <v>87</v>
      </c>
      <c r="C397" t="s">
        <v>284</v>
      </c>
      <c r="D397" s="14">
        <v>12.9</v>
      </c>
    </row>
    <row r="398" spans="1:4" x14ac:dyDescent="0.35">
      <c r="A398" s="13">
        <v>46249</v>
      </c>
      <c r="B398" t="s">
        <v>87</v>
      </c>
      <c r="C398" t="s">
        <v>285</v>
      </c>
      <c r="D398" s="14">
        <v>18.600000000000001</v>
      </c>
    </row>
    <row r="399" spans="1:4" x14ac:dyDescent="0.35">
      <c r="A399" s="13">
        <v>46249</v>
      </c>
      <c r="B399" t="s">
        <v>87</v>
      </c>
      <c r="C399" t="s">
        <v>286</v>
      </c>
      <c r="D399" s="14">
        <v>13.3</v>
      </c>
    </row>
    <row r="400" spans="1:4" x14ac:dyDescent="0.35">
      <c r="A400" s="13">
        <v>46249</v>
      </c>
      <c r="B400" t="s">
        <v>87</v>
      </c>
      <c r="C400" t="s">
        <v>287</v>
      </c>
      <c r="D400" s="14">
        <v>17.2</v>
      </c>
    </row>
    <row r="401" spans="1:4" x14ac:dyDescent="0.35">
      <c r="A401" s="13">
        <v>46249</v>
      </c>
      <c r="B401" t="s">
        <v>87</v>
      </c>
      <c r="C401" t="s">
        <v>288</v>
      </c>
      <c r="D401" s="14">
        <v>10.9</v>
      </c>
    </row>
    <row r="402" spans="1:4" x14ac:dyDescent="0.35">
      <c r="A402" s="13">
        <v>46249</v>
      </c>
      <c r="B402" t="s">
        <v>87</v>
      </c>
      <c r="C402" t="s">
        <v>289</v>
      </c>
      <c r="D402" s="14">
        <v>11.8</v>
      </c>
    </row>
    <row r="403" spans="1:4" x14ac:dyDescent="0.35">
      <c r="A403" s="13">
        <v>46249</v>
      </c>
      <c r="B403" t="s">
        <v>87</v>
      </c>
      <c r="C403" t="s">
        <v>290</v>
      </c>
      <c r="D403" s="14">
        <v>17.7</v>
      </c>
    </row>
    <row r="404" spans="1:4" x14ac:dyDescent="0.35">
      <c r="A404" s="13">
        <v>46249</v>
      </c>
      <c r="B404" t="s">
        <v>87</v>
      </c>
      <c r="C404" t="s">
        <v>291</v>
      </c>
      <c r="D404" s="14">
        <v>13.7</v>
      </c>
    </row>
    <row r="405" spans="1:4" x14ac:dyDescent="0.35">
      <c r="A405" s="13">
        <v>46249</v>
      </c>
      <c r="B405" t="s">
        <v>87</v>
      </c>
      <c r="C405" t="s">
        <v>292</v>
      </c>
      <c r="D405" s="14">
        <v>11.5</v>
      </c>
    </row>
    <row r="406" spans="1:4" x14ac:dyDescent="0.35">
      <c r="A406" s="13">
        <v>46249</v>
      </c>
      <c r="B406" t="s">
        <v>87</v>
      </c>
      <c r="C406" t="s">
        <v>293</v>
      </c>
      <c r="D406" s="14">
        <v>10.7</v>
      </c>
    </row>
    <row r="407" spans="1:4" x14ac:dyDescent="0.35">
      <c r="A407" s="13">
        <v>46249</v>
      </c>
      <c r="B407" t="s">
        <v>87</v>
      </c>
      <c r="C407" t="s">
        <v>294</v>
      </c>
      <c r="D407" s="14">
        <v>10.5</v>
      </c>
    </row>
    <row r="408" spans="1:4" x14ac:dyDescent="0.35">
      <c r="A408" s="13">
        <v>46249</v>
      </c>
      <c r="B408" t="s">
        <v>87</v>
      </c>
      <c r="C408" t="s">
        <v>295</v>
      </c>
      <c r="D408" s="14">
        <v>13.1</v>
      </c>
    </row>
    <row r="409" spans="1:4" x14ac:dyDescent="0.35">
      <c r="A409" s="13">
        <v>46249</v>
      </c>
      <c r="B409" t="s">
        <v>87</v>
      </c>
      <c r="C409" t="s">
        <v>296</v>
      </c>
      <c r="D409" s="14">
        <v>19.7</v>
      </c>
    </row>
    <row r="410" spans="1:4" x14ac:dyDescent="0.35">
      <c r="A410" s="13">
        <v>46249</v>
      </c>
      <c r="B410" t="s">
        <v>87</v>
      </c>
      <c r="C410" t="s">
        <v>297</v>
      </c>
      <c r="D410" s="14">
        <v>14.3</v>
      </c>
    </row>
    <row r="411" spans="1:4" x14ac:dyDescent="0.35">
      <c r="A411" s="13">
        <v>46249</v>
      </c>
      <c r="B411" t="s">
        <v>77</v>
      </c>
      <c r="C411" t="s">
        <v>298</v>
      </c>
      <c r="D411" s="14">
        <v>0</v>
      </c>
    </row>
    <row r="412" spans="1:4" x14ac:dyDescent="0.35">
      <c r="A412" s="13">
        <v>46249</v>
      </c>
      <c r="B412" t="s">
        <v>85</v>
      </c>
      <c r="C412" t="s">
        <v>299</v>
      </c>
      <c r="D412" s="14">
        <v>0</v>
      </c>
    </row>
    <row r="413" spans="1:4" x14ac:dyDescent="0.35">
      <c r="A413" s="13">
        <v>46256</v>
      </c>
      <c r="B413" t="s">
        <v>70</v>
      </c>
      <c r="C413" t="s">
        <v>155</v>
      </c>
      <c r="D413" s="14">
        <v>25.3</v>
      </c>
    </row>
    <row r="414" spans="1:4" x14ac:dyDescent="0.35">
      <c r="A414" s="13">
        <v>46256</v>
      </c>
      <c r="B414" t="s">
        <v>70</v>
      </c>
      <c r="C414" t="s">
        <v>158</v>
      </c>
      <c r="D414" s="14">
        <v>21.9</v>
      </c>
    </row>
    <row r="415" spans="1:4" x14ac:dyDescent="0.35">
      <c r="A415" s="13">
        <v>46256</v>
      </c>
      <c r="B415" t="s">
        <v>70</v>
      </c>
      <c r="C415" t="s">
        <v>159</v>
      </c>
      <c r="D415" s="14">
        <v>16.7</v>
      </c>
    </row>
    <row r="416" spans="1:4" x14ac:dyDescent="0.35">
      <c r="A416" s="13">
        <v>46256</v>
      </c>
      <c r="B416" t="s">
        <v>70</v>
      </c>
      <c r="C416" t="s">
        <v>162</v>
      </c>
      <c r="D416" s="14">
        <v>23.9</v>
      </c>
    </row>
    <row r="417" spans="1:4" x14ac:dyDescent="0.35">
      <c r="A417" s="13">
        <v>46256</v>
      </c>
      <c r="B417" t="s">
        <v>70</v>
      </c>
      <c r="C417" t="s">
        <v>164</v>
      </c>
      <c r="D417" s="14">
        <v>10.5</v>
      </c>
    </row>
    <row r="418" spans="1:4" x14ac:dyDescent="0.35">
      <c r="A418" s="13">
        <v>46256</v>
      </c>
      <c r="B418" t="s">
        <v>70</v>
      </c>
      <c r="C418" t="s">
        <v>167</v>
      </c>
      <c r="D418" s="14">
        <v>13.4</v>
      </c>
    </row>
    <row r="419" spans="1:4" x14ac:dyDescent="0.35">
      <c r="A419" s="13">
        <v>46256</v>
      </c>
      <c r="B419" t="s">
        <v>70</v>
      </c>
      <c r="C419" t="s">
        <v>169</v>
      </c>
      <c r="D419" s="14">
        <v>10.1</v>
      </c>
    </row>
    <row r="420" spans="1:4" x14ac:dyDescent="0.35">
      <c r="A420" s="13">
        <v>46256</v>
      </c>
      <c r="B420" t="s">
        <v>70</v>
      </c>
      <c r="C420" t="s">
        <v>170</v>
      </c>
      <c r="D420" s="14">
        <v>19.8</v>
      </c>
    </row>
    <row r="421" spans="1:4" x14ac:dyDescent="0.35">
      <c r="A421" s="13">
        <v>46256</v>
      </c>
      <c r="B421" t="s">
        <v>70</v>
      </c>
      <c r="C421" t="s">
        <v>171</v>
      </c>
      <c r="D421" s="14">
        <v>15.7</v>
      </c>
    </row>
    <row r="422" spans="1:4" x14ac:dyDescent="0.35">
      <c r="A422" s="13">
        <v>46256</v>
      </c>
      <c r="B422" t="s">
        <v>70</v>
      </c>
      <c r="C422" t="s">
        <v>172</v>
      </c>
      <c r="D422" s="14">
        <v>10.199999999999999</v>
      </c>
    </row>
    <row r="423" spans="1:4" x14ac:dyDescent="0.35">
      <c r="A423" s="13">
        <v>46256</v>
      </c>
      <c r="B423" t="s">
        <v>70</v>
      </c>
      <c r="C423" t="s">
        <v>173</v>
      </c>
      <c r="D423" s="14">
        <v>18.5</v>
      </c>
    </row>
    <row r="424" spans="1:4" x14ac:dyDescent="0.35">
      <c r="A424" s="13">
        <v>46256</v>
      </c>
      <c r="B424" t="s">
        <v>70</v>
      </c>
      <c r="C424" t="s">
        <v>174</v>
      </c>
      <c r="D424" s="14">
        <v>22.5</v>
      </c>
    </row>
    <row r="425" spans="1:4" x14ac:dyDescent="0.35">
      <c r="A425" s="13">
        <v>46256</v>
      </c>
      <c r="B425" t="s">
        <v>70</v>
      </c>
      <c r="C425" t="s">
        <v>175</v>
      </c>
      <c r="D425" s="14">
        <v>15.5</v>
      </c>
    </row>
    <row r="426" spans="1:4" x14ac:dyDescent="0.35">
      <c r="A426" s="13">
        <v>46256</v>
      </c>
      <c r="B426" t="s">
        <v>70</v>
      </c>
      <c r="C426" t="s">
        <v>176</v>
      </c>
      <c r="D426" s="14">
        <v>12.1</v>
      </c>
    </row>
    <row r="427" spans="1:4" x14ac:dyDescent="0.35">
      <c r="A427" s="13">
        <v>46256</v>
      </c>
      <c r="B427" t="s">
        <v>73</v>
      </c>
      <c r="C427" t="s">
        <v>177</v>
      </c>
      <c r="D427" s="14">
        <v>13</v>
      </c>
    </row>
    <row r="428" spans="1:4" x14ac:dyDescent="0.35">
      <c r="A428" s="13">
        <v>46256</v>
      </c>
      <c r="B428" t="s">
        <v>73</v>
      </c>
      <c r="C428" t="s">
        <v>178</v>
      </c>
      <c r="D428" s="14">
        <v>11.3</v>
      </c>
    </row>
    <row r="429" spans="1:4" x14ac:dyDescent="0.35">
      <c r="A429" s="13">
        <v>46256</v>
      </c>
      <c r="B429" t="s">
        <v>73</v>
      </c>
      <c r="C429" t="s">
        <v>179</v>
      </c>
      <c r="D429" s="14">
        <v>16.8</v>
      </c>
    </row>
    <row r="430" spans="1:4" x14ac:dyDescent="0.35">
      <c r="A430" s="13">
        <v>46256</v>
      </c>
      <c r="B430" t="s">
        <v>73</v>
      </c>
      <c r="C430" t="s">
        <v>180</v>
      </c>
      <c r="D430" s="14">
        <v>9.4</v>
      </c>
    </row>
    <row r="431" spans="1:4" x14ac:dyDescent="0.35">
      <c r="A431" s="13">
        <v>46256</v>
      </c>
      <c r="B431" t="s">
        <v>73</v>
      </c>
      <c r="C431" t="s">
        <v>181</v>
      </c>
      <c r="D431" s="14">
        <v>10.7</v>
      </c>
    </row>
    <row r="432" spans="1:4" x14ac:dyDescent="0.35">
      <c r="A432" s="13">
        <v>46256</v>
      </c>
      <c r="B432" t="s">
        <v>73</v>
      </c>
      <c r="C432" t="s">
        <v>182</v>
      </c>
      <c r="D432" s="14">
        <v>14</v>
      </c>
    </row>
    <row r="433" spans="1:4" x14ac:dyDescent="0.35">
      <c r="A433" s="13">
        <v>46256</v>
      </c>
      <c r="B433" t="s">
        <v>73</v>
      </c>
      <c r="C433" t="s">
        <v>183</v>
      </c>
      <c r="D433" s="14">
        <v>21</v>
      </c>
    </row>
    <row r="434" spans="1:4" x14ac:dyDescent="0.35">
      <c r="A434" s="13">
        <v>46256</v>
      </c>
      <c r="B434" t="s">
        <v>73</v>
      </c>
      <c r="C434" t="s">
        <v>184</v>
      </c>
      <c r="D434" s="14">
        <v>16.7</v>
      </c>
    </row>
    <row r="435" spans="1:4" x14ac:dyDescent="0.35">
      <c r="A435" s="13">
        <v>46256</v>
      </c>
      <c r="B435" t="s">
        <v>73</v>
      </c>
      <c r="C435" t="s">
        <v>185</v>
      </c>
      <c r="D435" s="14">
        <v>10.5</v>
      </c>
    </row>
    <row r="436" spans="1:4" x14ac:dyDescent="0.35">
      <c r="A436" s="13">
        <v>46256</v>
      </c>
      <c r="B436" t="s">
        <v>73</v>
      </c>
      <c r="C436" t="s">
        <v>186</v>
      </c>
      <c r="D436" s="14">
        <v>15.2</v>
      </c>
    </row>
    <row r="437" spans="1:4" x14ac:dyDescent="0.35">
      <c r="A437" s="13">
        <v>46256</v>
      </c>
      <c r="B437" t="s">
        <v>73</v>
      </c>
      <c r="C437" t="s">
        <v>187</v>
      </c>
      <c r="D437" s="14">
        <v>8.1999999999999993</v>
      </c>
    </row>
    <row r="438" spans="1:4" x14ac:dyDescent="0.35">
      <c r="A438" s="13">
        <v>46256</v>
      </c>
      <c r="B438" t="s">
        <v>73</v>
      </c>
      <c r="C438" t="s">
        <v>189</v>
      </c>
      <c r="D438" s="14">
        <v>11.3</v>
      </c>
    </row>
    <row r="439" spans="1:4" x14ac:dyDescent="0.35">
      <c r="A439" s="13">
        <v>46256</v>
      </c>
      <c r="B439" t="s">
        <v>73</v>
      </c>
      <c r="C439" t="s">
        <v>190</v>
      </c>
      <c r="D439" s="14">
        <v>13.1</v>
      </c>
    </row>
    <row r="440" spans="1:4" x14ac:dyDescent="0.35">
      <c r="A440" s="13">
        <v>46256</v>
      </c>
      <c r="B440" t="s">
        <v>73</v>
      </c>
      <c r="C440" t="s">
        <v>191</v>
      </c>
      <c r="D440" s="14">
        <v>12.4</v>
      </c>
    </row>
    <row r="441" spans="1:4" x14ac:dyDescent="0.35">
      <c r="A441" s="13">
        <v>46256</v>
      </c>
      <c r="B441" t="s">
        <v>73</v>
      </c>
      <c r="C441" t="s">
        <v>192</v>
      </c>
      <c r="D441" s="14">
        <v>7.9</v>
      </c>
    </row>
    <row r="442" spans="1:4" x14ac:dyDescent="0.35">
      <c r="A442" s="13">
        <v>46256</v>
      </c>
      <c r="B442" t="s">
        <v>73</v>
      </c>
      <c r="C442" t="s">
        <v>193</v>
      </c>
      <c r="D442" s="14">
        <v>15.7</v>
      </c>
    </row>
    <row r="443" spans="1:4" x14ac:dyDescent="0.35">
      <c r="A443" s="13">
        <v>46256</v>
      </c>
      <c r="B443" t="s">
        <v>73</v>
      </c>
      <c r="C443" t="s">
        <v>194</v>
      </c>
      <c r="D443" s="14">
        <v>10.1</v>
      </c>
    </row>
    <row r="444" spans="1:4" x14ac:dyDescent="0.35">
      <c r="A444" s="13">
        <v>46256</v>
      </c>
      <c r="B444" t="s">
        <v>73</v>
      </c>
      <c r="C444" t="s">
        <v>195</v>
      </c>
      <c r="D444" s="14">
        <v>15.8</v>
      </c>
    </row>
    <row r="445" spans="1:4" x14ac:dyDescent="0.35">
      <c r="A445" s="13">
        <v>46256</v>
      </c>
      <c r="B445" t="s">
        <v>73</v>
      </c>
      <c r="C445" t="s">
        <v>196</v>
      </c>
      <c r="D445" s="14">
        <v>8.6</v>
      </c>
    </row>
    <row r="446" spans="1:4" x14ac:dyDescent="0.35">
      <c r="A446" s="13">
        <v>46256</v>
      </c>
      <c r="B446" t="s">
        <v>3</v>
      </c>
      <c r="C446" t="s">
        <v>197</v>
      </c>
      <c r="D446" s="14">
        <v>14.3</v>
      </c>
    </row>
    <row r="447" spans="1:4" x14ac:dyDescent="0.35">
      <c r="A447" s="13">
        <v>46256</v>
      </c>
      <c r="B447" t="s">
        <v>3</v>
      </c>
      <c r="C447" t="s">
        <v>198</v>
      </c>
      <c r="D447" s="14">
        <v>12.6</v>
      </c>
    </row>
    <row r="448" spans="1:4" x14ac:dyDescent="0.35">
      <c r="A448" s="13">
        <v>46256</v>
      </c>
      <c r="B448" t="s">
        <v>3</v>
      </c>
      <c r="C448" t="s">
        <v>199</v>
      </c>
      <c r="D448" s="14">
        <v>19.5</v>
      </c>
    </row>
    <row r="449" spans="1:4" x14ac:dyDescent="0.35">
      <c r="A449" s="13">
        <v>46256</v>
      </c>
      <c r="B449" t="s">
        <v>3</v>
      </c>
      <c r="C449" t="s">
        <v>200</v>
      </c>
      <c r="D449" s="14">
        <v>14</v>
      </c>
    </row>
    <row r="450" spans="1:4" x14ac:dyDescent="0.35">
      <c r="A450" s="13">
        <v>46256</v>
      </c>
      <c r="B450" t="s">
        <v>3</v>
      </c>
      <c r="C450" t="s">
        <v>201</v>
      </c>
      <c r="D450" s="14">
        <v>22.3</v>
      </c>
    </row>
    <row r="451" spans="1:4" x14ac:dyDescent="0.35">
      <c r="A451" s="13">
        <v>46256</v>
      </c>
      <c r="B451" t="s">
        <v>3</v>
      </c>
      <c r="C451" t="s">
        <v>202</v>
      </c>
      <c r="D451" s="14">
        <v>9.1</v>
      </c>
    </row>
    <row r="452" spans="1:4" x14ac:dyDescent="0.35">
      <c r="A452" s="13">
        <v>46256</v>
      </c>
      <c r="B452" t="s">
        <v>3</v>
      </c>
      <c r="C452" t="s">
        <v>203</v>
      </c>
      <c r="D452" s="14">
        <v>15.3</v>
      </c>
    </row>
    <row r="453" spans="1:4" x14ac:dyDescent="0.35">
      <c r="A453" s="13">
        <v>46256</v>
      </c>
      <c r="B453" t="s">
        <v>3</v>
      </c>
      <c r="C453" t="s">
        <v>204</v>
      </c>
      <c r="D453" s="14">
        <v>8.6999999999999993</v>
      </c>
    </row>
    <row r="454" spans="1:4" x14ac:dyDescent="0.35">
      <c r="A454" s="13">
        <v>46256</v>
      </c>
      <c r="B454" t="s">
        <v>3</v>
      </c>
      <c r="C454" t="s">
        <v>205</v>
      </c>
      <c r="D454" s="14">
        <v>24.9</v>
      </c>
    </row>
    <row r="455" spans="1:4" x14ac:dyDescent="0.35">
      <c r="A455" s="13">
        <v>46256</v>
      </c>
      <c r="B455" t="s">
        <v>3</v>
      </c>
      <c r="C455" t="s">
        <v>206</v>
      </c>
      <c r="D455" s="14">
        <v>23.5</v>
      </c>
    </row>
    <row r="456" spans="1:4" x14ac:dyDescent="0.35">
      <c r="A456" s="13">
        <v>46256</v>
      </c>
      <c r="B456" t="s">
        <v>3</v>
      </c>
      <c r="C456" t="s">
        <v>207</v>
      </c>
      <c r="D456" s="14">
        <v>23.8</v>
      </c>
    </row>
    <row r="457" spans="1:4" x14ac:dyDescent="0.35">
      <c r="A457" s="13">
        <v>46256</v>
      </c>
      <c r="B457" t="s">
        <v>3</v>
      </c>
      <c r="C457" t="s">
        <v>208</v>
      </c>
      <c r="D457" s="14">
        <v>23</v>
      </c>
    </row>
    <row r="458" spans="1:4" x14ac:dyDescent="0.35">
      <c r="A458" s="13">
        <v>46256</v>
      </c>
      <c r="B458" t="s">
        <v>3</v>
      </c>
      <c r="C458" t="s">
        <v>209</v>
      </c>
      <c r="D458" s="14">
        <v>21.7</v>
      </c>
    </row>
    <row r="459" spans="1:4" x14ac:dyDescent="0.35">
      <c r="A459" s="13">
        <v>46256</v>
      </c>
      <c r="B459" t="s">
        <v>3</v>
      </c>
      <c r="C459" t="s">
        <v>210</v>
      </c>
      <c r="D459" s="14">
        <v>13.9</v>
      </c>
    </row>
    <row r="460" spans="1:4" x14ac:dyDescent="0.35">
      <c r="A460" s="13">
        <v>46256</v>
      </c>
      <c r="B460" t="s">
        <v>3</v>
      </c>
      <c r="C460" t="s">
        <v>211</v>
      </c>
      <c r="D460" s="14">
        <v>15.3</v>
      </c>
    </row>
    <row r="461" spans="1:4" x14ac:dyDescent="0.35">
      <c r="A461" s="13">
        <v>46256</v>
      </c>
      <c r="B461" t="s">
        <v>3</v>
      </c>
      <c r="C461" t="s">
        <v>212</v>
      </c>
      <c r="D461" s="14">
        <v>21.4</v>
      </c>
    </row>
    <row r="462" spans="1:4" x14ac:dyDescent="0.35">
      <c r="A462" s="13">
        <v>46256</v>
      </c>
      <c r="B462" t="s">
        <v>3</v>
      </c>
      <c r="C462" t="s">
        <v>213</v>
      </c>
      <c r="D462" s="14">
        <v>12.4</v>
      </c>
    </row>
    <row r="463" spans="1:4" x14ac:dyDescent="0.35">
      <c r="A463" s="13">
        <v>46256</v>
      </c>
      <c r="B463" t="s">
        <v>3</v>
      </c>
      <c r="C463" t="s">
        <v>214</v>
      </c>
      <c r="D463" s="14">
        <v>14.8</v>
      </c>
    </row>
    <row r="464" spans="1:4" x14ac:dyDescent="0.35">
      <c r="A464" s="13">
        <v>46256</v>
      </c>
      <c r="B464" t="s">
        <v>3</v>
      </c>
      <c r="C464" t="s">
        <v>215</v>
      </c>
      <c r="D464" s="14">
        <v>10.7</v>
      </c>
    </row>
    <row r="465" spans="1:4" x14ac:dyDescent="0.35">
      <c r="A465" s="13">
        <v>46256</v>
      </c>
      <c r="B465" t="s">
        <v>77</v>
      </c>
      <c r="C465" t="s">
        <v>216</v>
      </c>
      <c r="D465" s="14">
        <v>12.9</v>
      </c>
    </row>
    <row r="466" spans="1:4" x14ac:dyDescent="0.35">
      <c r="A466" s="13">
        <v>46256</v>
      </c>
      <c r="B466" t="s">
        <v>77</v>
      </c>
      <c r="C466" t="s">
        <v>217</v>
      </c>
      <c r="D466" s="14">
        <v>14.7</v>
      </c>
    </row>
    <row r="467" spans="1:4" x14ac:dyDescent="0.35">
      <c r="A467" s="13">
        <v>46256</v>
      </c>
      <c r="B467" t="s">
        <v>77</v>
      </c>
      <c r="C467" t="s">
        <v>218</v>
      </c>
      <c r="D467" s="14">
        <v>14.8</v>
      </c>
    </row>
    <row r="468" spans="1:4" x14ac:dyDescent="0.35">
      <c r="A468" s="13">
        <v>46256</v>
      </c>
      <c r="B468" t="s">
        <v>77</v>
      </c>
      <c r="C468" t="s">
        <v>219</v>
      </c>
      <c r="D468" s="14">
        <v>8.5</v>
      </c>
    </row>
    <row r="469" spans="1:4" x14ac:dyDescent="0.35">
      <c r="A469" s="13">
        <v>46256</v>
      </c>
      <c r="B469" t="s">
        <v>77</v>
      </c>
      <c r="C469" t="s">
        <v>220</v>
      </c>
      <c r="D469" s="14">
        <v>12.8</v>
      </c>
    </row>
    <row r="470" spans="1:4" x14ac:dyDescent="0.35">
      <c r="A470" s="13">
        <v>46256</v>
      </c>
      <c r="B470" t="s">
        <v>77</v>
      </c>
      <c r="C470" t="s">
        <v>221</v>
      </c>
      <c r="D470" s="14">
        <v>30.7</v>
      </c>
    </row>
    <row r="471" spans="1:4" x14ac:dyDescent="0.35">
      <c r="A471" s="13">
        <v>46256</v>
      </c>
      <c r="B471" t="s">
        <v>77</v>
      </c>
      <c r="C471" t="s">
        <v>222</v>
      </c>
      <c r="D471" s="14">
        <v>13.9</v>
      </c>
    </row>
    <row r="472" spans="1:4" x14ac:dyDescent="0.35">
      <c r="A472" s="13">
        <v>46256</v>
      </c>
      <c r="B472" t="s">
        <v>77</v>
      </c>
      <c r="C472" t="s">
        <v>223</v>
      </c>
      <c r="D472" s="14">
        <v>20.2</v>
      </c>
    </row>
    <row r="473" spans="1:4" x14ac:dyDescent="0.35">
      <c r="A473" s="13">
        <v>46256</v>
      </c>
      <c r="B473" t="s">
        <v>77</v>
      </c>
      <c r="C473" t="s">
        <v>224</v>
      </c>
      <c r="D473" s="14">
        <v>14.4</v>
      </c>
    </row>
    <row r="474" spans="1:4" x14ac:dyDescent="0.35">
      <c r="A474" s="13">
        <v>46256</v>
      </c>
      <c r="B474" t="s">
        <v>77</v>
      </c>
      <c r="C474" t="s">
        <v>225</v>
      </c>
      <c r="D474" s="14">
        <v>11.9</v>
      </c>
    </row>
    <row r="475" spans="1:4" x14ac:dyDescent="0.35">
      <c r="A475" s="13">
        <v>46256</v>
      </c>
      <c r="B475" t="s">
        <v>77</v>
      </c>
      <c r="C475" t="s">
        <v>226</v>
      </c>
      <c r="D475" s="14">
        <v>20</v>
      </c>
    </row>
    <row r="476" spans="1:4" x14ac:dyDescent="0.35">
      <c r="A476" s="13">
        <v>46256</v>
      </c>
      <c r="B476" t="s">
        <v>77</v>
      </c>
      <c r="C476" t="s">
        <v>227</v>
      </c>
      <c r="D476" s="14">
        <v>15.5</v>
      </c>
    </row>
    <row r="477" spans="1:4" x14ac:dyDescent="0.35">
      <c r="A477" s="13">
        <v>46256</v>
      </c>
      <c r="B477" t="s">
        <v>77</v>
      </c>
      <c r="C477" t="s">
        <v>228</v>
      </c>
      <c r="D477" s="14">
        <v>23.9</v>
      </c>
    </row>
    <row r="478" spans="1:4" x14ac:dyDescent="0.35">
      <c r="A478" s="13">
        <v>46256</v>
      </c>
      <c r="B478" t="s">
        <v>77</v>
      </c>
      <c r="C478" t="s">
        <v>229</v>
      </c>
      <c r="D478" s="14">
        <v>7.9</v>
      </c>
    </row>
    <row r="479" spans="1:4" x14ac:dyDescent="0.35">
      <c r="A479" s="13">
        <v>46256</v>
      </c>
      <c r="B479" t="s">
        <v>77</v>
      </c>
      <c r="C479" t="s">
        <v>230</v>
      </c>
      <c r="D479" s="14">
        <v>9.1999999999999993</v>
      </c>
    </row>
    <row r="480" spans="1:4" x14ac:dyDescent="0.35">
      <c r="A480" s="13">
        <v>46256</v>
      </c>
      <c r="B480" t="s">
        <v>80</v>
      </c>
      <c r="C480" t="s">
        <v>231</v>
      </c>
      <c r="D480" s="14">
        <v>15.2</v>
      </c>
    </row>
    <row r="481" spans="1:4" x14ac:dyDescent="0.35">
      <c r="A481" s="13">
        <v>46256</v>
      </c>
      <c r="B481" t="s">
        <v>80</v>
      </c>
      <c r="C481" t="s">
        <v>232</v>
      </c>
      <c r="D481" s="14">
        <v>23</v>
      </c>
    </row>
    <row r="482" spans="1:4" x14ac:dyDescent="0.35">
      <c r="A482" s="13">
        <v>46256</v>
      </c>
      <c r="B482" t="s">
        <v>80</v>
      </c>
      <c r="C482" t="s">
        <v>233</v>
      </c>
      <c r="D482" s="14">
        <v>11.9</v>
      </c>
    </row>
    <row r="483" spans="1:4" x14ac:dyDescent="0.35">
      <c r="A483" s="13">
        <v>46256</v>
      </c>
      <c r="B483" t="s">
        <v>80</v>
      </c>
      <c r="C483" t="s">
        <v>234</v>
      </c>
      <c r="D483" s="14">
        <v>8</v>
      </c>
    </row>
    <row r="484" spans="1:4" x14ac:dyDescent="0.35">
      <c r="A484" s="13">
        <v>46256</v>
      </c>
      <c r="B484" t="s">
        <v>80</v>
      </c>
      <c r="C484" t="s">
        <v>235</v>
      </c>
      <c r="D484" s="14">
        <v>18</v>
      </c>
    </row>
    <row r="485" spans="1:4" x14ac:dyDescent="0.35">
      <c r="A485" s="13">
        <v>46256</v>
      </c>
      <c r="B485" t="s">
        <v>80</v>
      </c>
      <c r="C485" t="s">
        <v>236</v>
      </c>
      <c r="D485" s="14">
        <v>19.899999999999999</v>
      </c>
    </row>
    <row r="486" spans="1:4" x14ac:dyDescent="0.35">
      <c r="A486" s="13">
        <v>46256</v>
      </c>
      <c r="B486" t="s">
        <v>80</v>
      </c>
      <c r="C486" t="s">
        <v>237</v>
      </c>
      <c r="D486" s="14">
        <v>13.6</v>
      </c>
    </row>
    <row r="487" spans="1:4" x14ac:dyDescent="0.35">
      <c r="A487" s="13">
        <v>46256</v>
      </c>
      <c r="B487" t="s">
        <v>80</v>
      </c>
      <c r="C487" t="s">
        <v>238</v>
      </c>
      <c r="D487" s="14">
        <v>18.2</v>
      </c>
    </row>
    <row r="488" spans="1:4" x14ac:dyDescent="0.35">
      <c r="A488" s="13">
        <v>46256</v>
      </c>
      <c r="B488" t="s">
        <v>80</v>
      </c>
      <c r="C488" t="s">
        <v>239</v>
      </c>
      <c r="D488" s="14">
        <v>9.1999999999999993</v>
      </c>
    </row>
    <row r="489" spans="1:4" x14ac:dyDescent="0.35">
      <c r="A489" s="13">
        <v>46256</v>
      </c>
      <c r="B489" t="s">
        <v>80</v>
      </c>
      <c r="C489" t="s">
        <v>240</v>
      </c>
      <c r="D489" s="14">
        <v>20.100000000000001</v>
      </c>
    </row>
    <row r="490" spans="1:4" x14ac:dyDescent="0.35">
      <c r="A490" s="13">
        <v>46256</v>
      </c>
      <c r="B490" t="s">
        <v>80</v>
      </c>
      <c r="C490" t="s">
        <v>241</v>
      </c>
      <c r="D490" s="14">
        <v>12.7</v>
      </c>
    </row>
    <row r="491" spans="1:4" x14ac:dyDescent="0.35">
      <c r="A491" s="13">
        <v>46256</v>
      </c>
      <c r="B491" t="s">
        <v>80</v>
      </c>
      <c r="C491" t="s">
        <v>242</v>
      </c>
      <c r="D491" s="14">
        <v>29</v>
      </c>
    </row>
    <row r="492" spans="1:4" x14ac:dyDescent="0.35">
      <c r="A492" s="13">
        <v>46256</v>
      </c>
      <c r="B492" t="s">
        <v>80</v>
      </c>
      <c r="C492" t="s">
        <v>243</v>
      </c>
      <c r="D492" s="14">
        <v>23</v>
      </c>
    </row>
    <row r="493" spans="1:4" x14ac:dyDescent="0.35">
      <c r="A493" s="13">
        <v>46256</v>
      </c>
      <c r="B493" t="s">
        <v>80</v>
      </c>
      <c r="C493" t="s">
        <v>244</v>
      </c>
      <c r="D493" s="14">
        <v>16</v>
      </c>
    </row>
    <row r="494" spans="1:4" x14ac:dyDescent="0.35">
      <c r="A494" s="13">
        <v>46256</v>
      </c>
      <c r="B494" t="s">
        <v>80</v>
      </c>
      <c r="C494" t="s">
        <v>245</v>
      </c>
      <c r="D494" s="14">
        <v>15.2</v>
      </c>
    </row>
    <row r="495" spans="1:4" x14ac:dyDescent="0.35">
      <c r="A495" s="13">
        <v>46256</v>
      </c>
      <c r="B495" t="s">
        <v>80</v>
      </c>
      <c r="C495" t="s">
        <v>246</v>
      </c>
      <c r="D495" s="14">
        <v>15.8</v>
      </c>
    </row>
    <row r="496" spans="1:4" x14ac:dyDescent="0.35">
      <c r="A496" s="13">
        <v>46256</v>
      </c>
      <c r="B496" t="s">
        <v>80</v>
      </c>
      <c r="C496" t="s">
        <v>247</v>
      </c>
      <c r="D496" s="14">
        <v>27.9</v>
      </c>
    </row>
    <row r="497" spans="1:4" x14ac:dyDescent="0.35">
      <c r="A497" s="13">
        <v>46256</v>
      </c>
      <c r="B497" t="s">
        <v>82</v>
      </c>
      <c r="C497" t="s">
        <v>248</v>
      </c>
      <c r="D497" s="14">
        <v>22.6</v>
      </c>
    </row>
    <row r="498" spans="1:4" x14ac:dyDescent="0.35">
      <c r="A498" s="13">
        <v>46256</v>
      </c>
      <c r="B498" t="s">
        <v>82</v>
      </c>
      <c r="C498" t="s">
        <v>249</v>
      </c>
      <c r="D498" s="14">
        <v>10</v>
      </c>
    </row>
    <row r="499" spans="1:4" x14ac:dyDescent="0.35">
      <c r="A499" s="13">
        <v>46256</v>
      </c>
      <c r="B499" t="s">
        <v>82</v>
      </c>
      <c r="C499" t="s">
        <v>250</v>
      </c>
      <c r="D499" s="14">
        <v>16</v>
      </c>
    </row>
    <row r="500" spans="1:4" x14ac:dyDescent="0.35">
      <c r="A500" s="13">
        <v>46256</v>
      </c>
      <c r="B500" t="s">
        <v>82</v>
      </c>
      <c r="C500" t="s">
        <v>251</v>
      </c>
      <c r="D500" s="14">
        <v>11.2</v>
      </c>
    </row>
    <row r="501" spans="1:4" x14ac:dyDescent="0.35">
      <c r="A501" s="13">
        <v>46256</v>
      </c>
      <c r="B501" t="s">
        <v>82</v>
      </c>
      <c r="C501" t="s">
        <v>252</v>
      </c>
      <c r="D501" s="14">
        <v>10.1</v>
      </c>
    </row>
    <row r="502" spans="1:4" x14ac:dyDescent="0.35">
      <c r="A502" s="13">
        <v>46256</v>
      </c>
      <c r="B502" t="s">
        <v>82</v>
      </c>
      <c r="C502" t="s">
        <v>253</v>
      </c>
      <c r="D502" s="14">
        <v>16.899999999999999</v>
      </c>
    </row>
    <row r="503" spans="1:4" x14ac:dyDescent="0.35">
      <c r="A503" s="13">
        <v>46256</v>
      </c>
      <c r="B503" t="s">
        <v>82</v>
      </c>
      <c r="C503" t="s">
        <v>254</v>
      </c>
      <c r="D503" s="14">
        <v>8.4</v>
      </c>
    </row>
    <row r="504" spans="1:4" x14ac:dyDescent="0.35">
      <c r="A504" s="13">
        <v>46256</v>
      </c>
      <c r="B504" t="s">
        <v>82</v>
      </c>
      <c r="C504" t="s">
        <v>255</v>
      </c>
      <c r="D504" s="14">
        <v>10.3</v>
      </c>
    </row>
    <row r="505" spans="1:4" x14ac:dyDescent="0.35">
      <c r="A505" s="13">
        <v>46256</v>
      </c>
      <c r="B505" t="s">
        <v>82</v>
      </c>
      <c r="C505" t="s">
        <v>256</v>
      </c>
      <c r="D505" s="14">
        <v>18.2</v>
      </c>
    </row>
    <row r="506" spans="1:4" x14ac:dyDescent="0.35">
      <c r="A506" s="13">
        <v>46256</v>
      </c>
      <c r="B506" t="s">
        <v>82</v>
      </c>
      <c r="C506" t="s">
        <v>257</v>
      </c>
      <c r="D506" s="14">
        <v>16.399999999999999</v>
      </c>
    </row>
    <row r="507" spans="1:4" x14ac:dyDescent="0.35">
      <c r="A507" s="13">
        <v>46256</v>
      </c>
      <c r="B507" t="s">
        <v>82</v>
      </c>
      <c r="C507" t="s">
        <v>258</v>
      </c>
      <c r="D507" s="14">
        <v>23.3</v>
      </c>
    </row>
    <row r="508" spans="1:4" x14ac:dyDescent="0.35">
      <c r="A508" s="13">
        <v>46256</v>
      </c>
      <c r="B508" t="s">
        <v>82</v>
      </c>
      <c r="C508" t="s">
        <v>259</v>
      </c>
      <c r="D508" s="14">
        <v>11</v>
      </c>
    </row>
    <row r="509" spans="1:4" x14ac:dyDescent="0.35">
      <c r="A509" s="13">
        <v>46256</v>
      </c>
      <c r="B509" t="s">
        <v>82</v>
      </c>
      <c r="C509" t="s">
        <v>260</v>
      </c>
      <c r="D509" s="14">
        <v>11.1</v>
      </c>
    </row>
    <row r="510" spans="1:4" x14ac:dyDescent="0.35">
      <c r="A510" s="13">
        <v>46256</v>
      </c>
      <c r="B510" t="s">
        <v>82</v>
      </c>
      <c r="C510" t="s">
        <v>261</v>
      </c>
      <c r="D510" s="14">
        <v>16.2</v>
      </c>
    </row>
    <row r="511" spans="1:4" x14ac:dyDescent="0.35">
      <c r="A511" s="13">
        <v>46256</v>
      </c>
      <c r="B511" t="s">
        <v>82</v>
      </c>
      <c r="C511" t="s">
        <v>262</v>
      </c>
      <c r="D511" s="14">
        <v>22.1</v>
      </c>
    </row>
    <row r="512" spans="1:4" x14ac:dyDescent="0.35">
      <c r="A512" s="13">
        <v>46256</v>
      </c>
      <c r="B512" t="s">
        <v>82</v>
      </c>
      <c r="C512" t="s">
        <v>263</v>
      </c>
      <c r="D512" s="14">
        <v>9.6999999999999993</v>
      </c>
    </row>
    <row r="513" spans="1:4" x14ac:dyDescent="0.35">
      <c r="A513" s="13">
        <v>46256</v>
      </c>
      <c r="B513" t="s">
        <v>82</v>
      </c>
      <c r="C513" t="s">
        <v>264</v>
      </c>
      <c r="D513" s="14">
        <v>24.6</v>
      </c>
    </row>
    <row r="514" spans="1:4" x14ac:dyDescent="0.35">
      <c r="A514" s="13">
        <v>46256</v>
      </c>
      <c r="B514" t="s">
        <v>82</v>
      </c>
      <c r="C514" t="s">
        <v>265</v>
      </c>
      <c r="D514" s="14">
        <v>16.7</v>
      </c>
    </row>
    <row r="515" spans="1:4" x14ac:dyDescent="0.35">
      <c r="A515" s="13">
        <v>46256</v>
      </c>
      <c r="B515" t="s">
        <v>85</v>
      </c>
      <c r="C515" t="s">
        <v>266</v>
      </c>
      <c r="D515" s="14">
        <v>11.3</v>
      </c>
    </row>
    <row r="516" spans="1:4" x14ac:dyDescent="0.35">
      <c r="A516" s="13">
        <v>46256</v>
      </c>
      <c r="B516" t="s">
        <v>85</v>
      </c>
      <c r="C516" t="s">
        <v>267</v>
      </c>
      <c r="D516" s="14">
        <v>7</v>
      </c>
    </row>
    <row r="517" spans="1:4" x14ac:dyDescent="0.35">
      <c r="A517" s="13">
        <v>46256</v>
      </c>
      <c r="B517" t="s">
        <v>85</v>
      </c>
      <c r="C517" t="s">
        <v>268</v>
      </c>
      <c r="D517" s="14">
        <v>22.2</v>
      </c>
    </row>
    <row r="518" spans="1:4" x14ac:dyDescent="0.35">
      <c r="A518" s="13">
        <v>46256</v>
      </c>
      <c r="B518" t="s">
        <v>85</v>
      </c>
      <c r="C518" t="s">
        <v>269</v>
      </c>
      <c r="D518" s="14">
        <v>22.5</v>
      </c>
    </row>
    <row r="519" spans="1:4" x14ac:dyDescent="0.35">
      <c r="A519" s="13">
        <v>46256</v>
      </c>
      <c r="B519" t="s">
        <v>85</v>
      </c>
      <c r="C519" t="s">
        <v>270</v>
      </c>
      <c r="D519" s="14">
        <v>18.600000000000001</v>
      </c>
    </row>
    <row r="520" spans="1:4" x14ac:dyDescent="0.35">
      <c r="A520" s="13">
        <v>46256</v>
      </c>
      <c r="B520" t="s">
        <v>85</v>
      </c>
      <c r="C520" t="s">
        <v>271</v>
      </c>
      <c r="D520" s="14">
        <v>13.6</v>
      </c>
    </row>
    <row r="521" spans="1:4" x14ac:dyDescent="0.35">
      <c r="A521" s="13">
        <v>46256</v>
      </c>
      <c r="B521" t="s">
        <v>85</v>
      </c>
      <c r="C521" t="s">
        <v>272</v>
      </c>
      <c r="D521" s="14">
        <v>18.8</v>
      </c>
    </row>
    <row r="522" spans="1:4" x14ac:dyDescent="0.35">
      <c r="A522" s="13">
        <v>46256</v>
      </c>
      <c r="B522" t="s">
        <v>85</v>
      </c>
      <c r="C522" t="s">
        <v>273</v>
      </c>
      <c r="D522" s="14">
        <v>9.3000000000000007</v>
      </c>
    </row>
    <row r="523" spans="1:4" x14ac:dyDescent="0.35">
      <c r="A523" s="13">
        <v>46256</v>
      </c>
      <c r="B523" t="s">
        <v>85</v>
      </c>
      <c r="C523" t="s">
        <v>274</v>
      </c>
      <c r="D523" s="14">
        <v>8.8000000000000007</v>
      </c>
    </row>
    <row r="524" spans="1:4" x14ac:dyDescent="0.35">
      <c r="A524" s="13">
        <v>46256</v>
      </c>
      <c r="B524" t="s">
        <v>85</v>
      </c>
      <c r="C524" t="s">
        <v>275</v>
      </c>
      <c r="D524" s="14">
        <v>17.2</v>
      </c>
    </row>
    <row r="525" spans="1:4" x14ac:dyDescent="0.35">
      <c r="A525" s="13">
        <v>46256</v>
      </c>
      <c r="B525" t="s">
        <v>85</v>
      </c>
      <c r="C525" t="s">
        <v>276</v>
      </c>
      <c r="D525" s="14">
        <v>11.6</v>
      </c>
    </row>
    <row r="526" spans="1:4" x14ac:dyDescent="0.35">
      <c r="A526" s="13">
        <v>46256</v>
      </c>
      <c r="B526" t="s">
        <v>85</v>
      </c>
      <c r="C526" t="s">
        <v>277</v>
      </c>
      <c r="D526" s="14">
        <v>14.2</v>
      </c>
    </row>
    <row r="527" spans="1:4" x14ac:dyDescent="0.35">
      <c r="A527" s="13">
        <v>46256</v>
      </c>
      <c r="B527" t="s">
        <v>85</v>
      </c>
      <c r="C527" t="s">
        <v>278</v>
      </c>
      <c r="D527" s="14">
        <v>16.8</v>
      </c>
    </row>
    <row r="528" spans="1:4" x14ac:dyDescent="0.35">
      <c r="A528" s="13">
        <v>46256</v>
      </c>
      <c r="B528" t="s">
        <v>85</v>
      </c>
      <c r="C528" t="s">
        <v>279</v>
      </c>
      <c r="D528" s="14">
        <v>11.4</v>
      </c>
    </row>
    <row r="529" spans="1:4" x14ac:dyDescent="0.35">
      <c r="A529" s="13">
        <v>46256</v>
      </c>
      <c r="B529" t="s">
        <v>85</v>
      </c>
      <c r="C529" t="s">
        <v>280</v>
      </c>
      <c r="D529" s="14">
        <v>15.1</v>
      </c>
    </row>
    <row r="530" spans="1:4" x14ac:dyDescent="0.35">
      <c r="A530" s="13">
        <v>46256</v>
      </c>
      <c r="B530" t="s">
        <v>85</v>
      </c>
      <c r="C530" t="s">
        <v>281</v>
      </c>
      <c r="D530" s="14">
        <v>12.3</v>
      </c>
    </row>
    <row r="531" spans="1:4" x14ac:dyDescent="0.35">
      <c r="A531" s="13">
        <v>46256</v>
      </c>
      <c r="B531" t="s">
        <v>87</v>
      </c>
      <c r="C531" t="s">
        <v>282</v>
      </c>
      <c r="D531" s="14">
        <v>8</v>
      </c>
    </row>
    <row r="532" spans="1:4" x14ac:dyDescent="0.35">
      <c r="A532" s="13">
        <v>46256</v>
      </c>
      <c r="B532" t="s">
        <v>87</v>
      </c>
      <c r="C532" t="s">
        <v>283</v>
      </c>
      <c r="D532" s="14">
        <v>15.2</v>
      </c>
    </row>
    <row r="533" spans="1:4" x14ac:dyDescent="0.35">
      <c r="A533" s="13">
        <v>46256</v>
      </c>
      <c r="B533" t="s">
        <v>87</v>
      </c>
      <c r="C533" t="s">
        <v>284</v>
      </c>
      <c r="D533" s="14">
        <v>13</v>
      </c>
    </row>
    <row r="534" spans="1:4" x14ac:dyDescent="0.35">
      <c r="A534" s="13">
        <v>46256</v>
      </c>
      <c r="B534" t="s">
        <v>87</v>
      </c>
      <c r="C534" t="s">
        <v>285</v>
      </c>
      <c r="D534" s="14">
        <v>18.8</v>
      </c>
    </row>
    <row r="535" spans="1:4" x14ac:dyDescent="0.35">
      <c r="A535" s="13">
        <v>46256</v>
      </c>
      <c r="B535" t="s">
        <v>87</v>
      </c>
      <c r="C535" t="s">
        <v>286</v>
      </c>
      <c r="D535" s="14">
        <v>13.5</v>
      </c>
    </row>
    <row r="536" spans="1:4" x14ac:dyDescent="0.35">
      <c r="A536" s="13">
        <v>46256</v>
      </c>
      <c r="B536" t="s">
        <v>87</v>
      </c>
      <c r="C536" t="s">
        <v>287</v>
      </c>
      <c r="D536" s="14">
        <v>17.399999999999999</v>
      </c>
    </row>
    <row r="537" spans="1:4" x14ac:dyDescent="0.35">
      <c r="A537" s="13">
        <v>46256</v>
      </c>
      <c r="B537" t="s">
        <v>87</v>
      </c>
      <c r="C537" t="s">
        <v>288</v>
      </c>
      <c r="D537" s="14">
        <v>11</v>
      </c>
    </row>
    <row r="538" spans="1:4" x14ac:dyDescent="0.35">
      <c r="A538" s="13">
        <v>46256</v>
      </c>
      <c r="B538" t="s">
        <v>87</v>
      </c>
      <c r="C538" t="s">
        <v>289</v>
      </c>
      <c r="D538" s="14">
        <v>12</v>
      </c>
    </row>
    <row r="539" spans="1:4" x14ac:dyDescent="0.35">
      <c r="A539" s="13">
        <v>46256</v>
      </c>
      <c r="B539" t="s">
        <v>87</v>
      </c>
      <c r="C539" t="s">
        <v>290</v>
      </c>
      <c r="D539" s="14">
        <v>18</v>
      </c>
    </row>
    <row r="540" spans="1:4" x14ac:dyDescent="0.35">
      <c r="A540" s="13">
        <v>46256</v>
      </c>
      <c r="B540" t="s">
        <v>87</v>
      </c>
      <c r="C540" t="s">
        <v>291</v>
      </c>
      <c r="D540" s="14">
        <v>13.9</v>
      </c>
    </row>
    <row r="541" spans="1:4" x14ac:dyDescent="0.35">
      <c r="A541" s="13">
        <v>46256</v>
      </c>
      <c r="B541" t="s">
        <v>87</v>
      </c>
      <c r="C541" t="s">
        <v>292</v>
      </c>
      <c r="D541" s="14">
        <v>11.7</v>
      </c>
    </row>
    <row r="542" spans="1:4" x14ac:dyDescent="0.35">
      <c r="A542" s="13">
        <v>46256</v>
      </c>
      <c r="B542" t="s">
        <v>87</v>
      </c>
      <c r="C542" t="s">
        <v>293</v>
      </c>
      <c r="D542" s="14">
        <v>10.8</v>
      </c>
    </row>
    <row r="543" spans="1:4" x14ac:dyDescent="0.35">
      <c r="A543" s="13">
        <v>46256</v>
      </c>
      <c r="B543" t="s">
        <v>87</v>
      </c>
      <c r="C543" t="s">
        <v>294</v>
      </c>
      <c r="D543" s="14">
        <v>10.7</v>
      </c>
    </row>
    <row r="544" spans="1:4" x14ac:dyDescent="0.35">
      <c r="A544" s="13">
        <v>46256</v>
      </c>
      <c r="B544" t="s">
        <v>87</v>
      </c>
      <c r="C544" t="s">
        <v>295</v>
      </c>
      <c r="D544" s="14">
        <v>13.3</v>
      </c>
    </row>
    <row r="545" spans="1:4" x14ac:dyDescent="0.35">
      <c r="A545" s="13">
        <v>46256</v>
      </c>
      <c r="B545" t="s">
        <v>87</v>
      </c>
      <c r="C545" t="s">
        <v>296</v>
      </c>
      <c r="D545" s="14">
        <v>20</v>
      </c>
    </row>
    <row r="546" spans="1:4" x14ac:dyDescent="0.35">
      <c r="A546" s="13">
        <v>46256</v>
      </c>
      <c r="B546" t="s">
        <v>87</v>
      </c>
      <c r="C546" t="s">
        <v>297</v>
      </c>
      <c r="D546" s="14">
        <v>14.5</v>
      </c>
    </row>
    <row r="547" spans="1:4" x14ac:dyDescent="0.35">
      <c r="A547" s="13">
        <v>46256</v>
      </c>
      <c r="B547" t="s">
        <v>77</v>
      </c>
      <c r="C547" t="s">
        <v>298</v>
      </c>
      <c r="D547" s="14">
        <v>0</v>
      </c>
    </row>
    <row r="548" spans="1:4" x14ac:dyDescent="0.35">
      <c r="A548" s="13">
        <v>46256</v>
      </c>
      <c r="B548" t="s">
        <v>85</v>
      </c>
      <c r="C548" t="s">
        <v>299</v>
      </c>
      <c r="D548" s="14">
        <v>0</v>
      </c>
    </row>
    <row r="549" spans="1:4" x14ac:dyDescent="0.35">
      <c r="A549" s="13">
        <v>46263</v>
      </c>
      <c r="B549" t="s">
        <v>70</v>
      </c>
      <c r="C549" t="s">
        <v>155</v>
      </c>
      <c r="D549" s="14">
        <v>24.7</v>
      </c>
    </row>
    <row r="550" spans="1:4" x14ac:dyDescent="0.35">
      <c r="A550" s="13">
        <v>46263</v>
      </c>
      <c r="B550" t="s">
        <v>70</v>
      </c>
      <c r="C550" t="s">
        <v>158</v>
      </c>
      <c r="D550" s="14">
        <v>21.4</v>
      </c>
    </row>
    <row r="551" spans="1:4" x14ac:dyDescent="0.35">
      <c r="A551" s="13">
        <v>46263</v>
      </c>
      <c r="B551" t="s">
        <v>70</v>
      </c>
      <c r="C551" t="s">
        <v>159</v>
      </c>
      <c r="D551" s="14">
        <v>16.3</v>
      </c>
    </row>
    <row r="552" spans="1:4" x14ac:dyDescent="0.35">
      <c r="A552" s="13">
        <v>46263</v>
      </c>
      <c r="B552" t="s">
        <v>70</v>
      </c>
      <c r="C552" t="s">
        <v>162</v>
      </c>
      <c r="D552" s="14">
        <v>23.4</v>
      </c>
    </row>
    <row r="553" spans="1:4" x14ac:dyDescent="0.35">
      <c r="A553" s="13">
        <v>46263</v>
      </c>
      <c r="B553" t="s">
        <v>70</v>
      </c>
      <c r="C553" t="s">
        <v>164</v>
      </c>
      <c r="D553" s="14">
        <v>10.199999999999999</v>
      </c>
    </row>
    <row r="554" spans="1:4" x14ac:dyDescent="0.35">
      <c r="A554" s="13">
        <v>46263</v>
      </c>
      <c r="B554" t="s">
        <v>70</v>
      </c>
      <c r="C554" t="s">
        <v>167</v>
      </c>
      <c r="D554" s="14">
        <v>13.1</v>
      </c>
    </row>
    <row r="555" spans="1:4" x14ac:dyDescent="0.35">
      <c r="A555" s="13">
        <v>46263</v>
      </c>
      <c r="B555" t="s">
        <v>70</v>
      </c>
      <c r="C555" t="s">
        <v>169</v>
      </c>
      <c r="D555" s="14">
        <v>9.8000000000000007</v>
      </c>
    </row>
    <row r="556" spans="1:4" x14ac:dyDescent="0.35">
      <c r="A556" s="13">
        <v>46263</v>
      </c>
      <c r="B556" t="s">
        <v>70</v>
      </c>
      <c r="C556" t="s">
        <v>170</v>
      </c>
      <c r="D556" s="14">
        <v>19.3</v>
      </c>
    </row>
    <row r="557" spans="1:4" x14ac:dyDescent="0.35">
      <c r="A557" s="13">
        <v>46263</v>
      </c>
      <c r="B557" t="s">
        <v>70</v>
      </c>
      <c r="C557" t="s">
        <v>171</v>
      </c>
      <c r="D557" s="14">
        <v>15.3</v>
      </c>
    </row>
    <row r="558" spans="1:4" x14ac:dyDescent="0.35">
      <c r="A558" s="13">
        <v>46263</v>
      </c>
      <c r="B558" t="s">
        <v>70</v>
      </c>
      <c r="C558" t="s">
        <v>172</v>
      </c>
      <c r="D558" s="14">
        <v>9.9</v>
      </c>
    </row>
    <row r="559" spans="1:4" x14ac:dyDescent="0.35">
      <c r="A559" s="13">
        <v>46263</v>
      </c>
      <c r="B559" t="s">
        <v>70</v>
      </c>
      <c r="C559" t="s">
        <v>173</v>
      </c>
      <c r="D559" s="14">
        <v>18.100000000000001</v>
      </c>
    </row>
    <row r="560" spans="1:4" x14ac:dyDescent="0.35">
      <c r="A560" s="13">
        <v>46263</v>
      </c>
      <c r="B560" t="s">
        <v>70</v>
      </c>
      <c r="C560" t="s">
        <v>174</v>
      </c>
      <c r="D560" s="14">
        <v>22</v>
      </c>
    </row>
    <row r="561" spans="1:4" x14ac:dyDescent="0.35">
      <c r="A561" s="13">
        <v>46263</v>
      </c>
      <c r="B561" t="s">
        <v>70</v>
      </c>
      <c r="C561" t="s">
        <v>175</v>
      </c>
      <c r="D561" s="14">
        <v>15.2</v>
      </c>
    </row>
    <row r="562" spans="1:4" x14ac:dyDescent="0.35">
      <c r="A562" s="13">
        <v>46263</v>
      </c>
      <c r="B562" t="s">
        <v>70</v>
      </c>
      <c r="C562" t="s">
        <v>176</v>
      </c>
      <c r="D562" s="14">
        <v>11.8</v>
      </c>
    </row>
    <row r="563" spans="1:4" x14ac:dyDescent="0.35">
      <c r="A563" s="13">
        <v>46263</v>
      </c>
      <c r="B563" t="s">
        <v>73</v>
      </c>
      <c r="C563" t="s">
        <v>177</v>
      </c>
      <c r="D563" s="14">
        <v>12.5</v>
      </c>
    </row>
    <row r="564" spans="1:4" x14ac:dyDescent="0.35">
      <c r="A564" s="13">
        <v>46263</v>
      </c>
      <c r="B564" t="s">
        <v>73</v>
      </c>
      <c r="C564" t="s">
        <v>178</v>
      </c>
      <c r="D564" s="14">
        <v>10.9</v>
      </c>
    </row>
    <row r="565" spans="1:4" x14ac:dyDescent="0.35">
      <c r="A565" s="13">
        <v>46263</v>
      </c>
      <c r="B565" t="s">
        <v>73</v>
      </c>
      <c r="C565" t="s">
        <v>179</v>
      </c>
      <c r="D565" s="14">
        <v>16.100000000000001</v>
      </c>
    </row>
    <row r="566" spans="1:4" x14ac:dyDescent="0.35">
      <c r="A566" s="13">
        <v>46263</v>
      </c>
      <c r="B566" t="s">
        <v>73</v>
      </c>
      <c r="C566" t="s">
        <v>180</v>
      </c>
      <c r="D566" s="14">
        <v>9.1</v>
      </c>
    </row>
    <row r="567" spans="1:4" x14ac:dyDescent="0.35">
      <c r="A567" s="13">
        <v>46263</v>
      </c>
      <c r="B567" t="s">
        <v>73</v>
      </c>
      <c r="C567" t="s">
        <v>181</v>
      </c>
      <c r="D567" s="14">
        <v>10.3</v>
      </c>
    </row>
    <row r="568" spans="1:4" x14ac:dyDescent="0.35">
      <c r="A568" s="13">
        <v>46263</v>
      </c>
      <c r="B568" t="s">
        <v>73</v>
      </c>
      <c r="C568" t="s">
        <v>182</v>
      </c>
      <c r="D568" s="14">
        <v>13.5</v>
      </c>
    </row>
    <row r="569" spans="1:4" x14ac:dyDescent="0.35">
      <c r="A569" s="13">
        <v>46263</v>
      </c>
      <c r="B569" t="s">
        <v>73</v>
      </c>
      <c r="C569" t="s">
        <v>183</v>
      </c>
      <c r="D569" s="14">
        <v>20.2</v>
      </c>
    </row>
    <row r="570" spans="1:4" x14ac:dyDescent="0.35">
      <c r="A570" s="13">
        <v>46263</v>
      </c>
      <c r="B570" t="s">
        <v>73</v>
      </c>
      <c r="C570" t="s">
        <v>184</v>
      </c>
      <c r="D570" s="14">
        <v>16.100000000000001</v>
      </c>
    </row>
    <row r="571" spans="1:4" x14ac:dyDescent="0.35">
      <c r="A571" s="13">
        <v>46263</v>
      </c>
      <c r="B571" t="s">
        <v>73</v>
      </c>
      <c r="C571" t="s">
        <v>185</v>
      </c>
      <c r="D571" s="14">
        <v>10.1</v>
      </c>
    </row>
    <row r="572" spans="1:4" x14ac:dyDescent="0.35">
      <c r="A572" s="13">
        <v>46263</v>
      </c>
      <c r="B572" t="s">
        <v>73</v>
      </c>
      <c r="C572" t="s">
        <v>186</v>
      </c>
      <c r="D572" s="14">
        <v>14.6</v>
      </c>
    </row>
    <row r="573" spans="1:4" x14ac:dyDescent="0.35">
      <c r="A573" s="13">
        <v>46263</v>
      </c>
      <c r="B573" t="s">
        <v>73</v>
      </c>
      <c r="C573" t="s">
        <v>187</v>
      </c>
      <c r="D573" s="14">
        <v>7.9</v>
      </c>
    </row>
    <row r="574" spans="1:4" x14ac:dyDescent="0.35">
      <c r="A574" s="13">
        <v>46263</v>
      </c>
      <c r="B574" t="s">
        <v>73</v>
      </c>
      <c r="C574" t="s">
        <v>189</v>
      </c>
      <c r="D574" s="14">
        <v>10.9</v>
      </c>
    </row>
    <row r="575" spans="1:4" x14ac:dyDescent="0.35">
      <c r="A575" s="13">
        <v>46263</v>
      </c>
      <c r="B575" t="s">
        <v>73</v>
      </c>
      <c r="C575" t="s">
        <v>190</v>
      </c>
      <c r="D575" s="14">
        <v>12.6</v>
      </c>
    </row>
    <row r="576" spans="1:4" x14ac:dyDescent="0.35">
      <c r="A576" s="13">
        <v>46263</v>
      </c>
      <c r="B576" t="s">
        <v>73</v>
      </c>
      <c r="C576" t="s">
        <v>191</v>
      </c>
      <c r="D576" s="14">
        <v>11.9</v>
      </c>
    </row>
    <row r="577" spans="1:4" x14ac:dyDescent="0.35">
      <c r="A577" s="13">
        <v>46263</v>
      </c>
      <c r="B577" t="s">
        <v>73</v>
      </c>
      <c r="C577" t="s">
        <v>192</v>
      </c>
      <c r="D577" s="14">
        <v>7.6</v>
      </c>
    </row>
    <row r="578" spans="1:4" x14ac:dyDescent="0.35">
      <c r="A578" s="13">
        <v>46263</v>
      </c>
      <c r="B578" t="s">
        <v>73</v>
      </c>
      <c r="C578" t="s">
        <v>193</v>
      </c>
      <c r="D578" s="14">
        <v>15.1</v>
      </c>
    </row>
    <row r="579" spans="1:4" x14ac:dyDescent="0.35">
      <c r="A579" s="13">
        <v>46263</v>
      </c>
      <c r="B579" t="s">
        <v>73</v>
      </c>
      <c r="C579" t="s">
        <v>194</v>
      </c>
      <c r="D579" s="14">
        <v>9.6999999999999993</v>
      </c>
    </row>
    <row r="580" spans="1:4" x14ac:dyDescent="0.35">
      <c r="A580" s="13">
        <v>46263</v>
      </c>
      <c r="B580" t="s">
        <v>73</v>
      </c>
      <c r="C580" t="s">
        <v>195</v>
      </c>
      <c r="D580" s="14">
        <v>15.2</v>
      </c>
    </row>
    <row r="581" spans="1:4" x14ac:dyDescent="0.35">
      <c r="A581" s="13">
        <v>46263</v>
      </c>
      <c r="B581" t="s">
        <v>73</v>
      </c>
      <c r="C581" t="s">
        <v>196</v>
      </c>
      <c r="D581" s="14">
        <v>8.3000000000000007</v>
      </c>
    </row>
    <row r="582" spans="1:4" x14ac:dyDescent="0.35">
      <c r="A582" s="13">
        <v>46263</v>
      </c>
      <c r="B582" t="s">
        <v>3</v>
      </c>
      <c r="C582" t="s">
        <v>197</v>
      </c>
      <c r="D582" s="14">
        <v>13.9</v>
      </c>
    </row>
    <row r="583" spans="1:4" x14ac:dyDescent="0.35">
      <c r="A583" s="13">
        <v>46263</v>
      </c>
      <c r="B583" t="s">
        <v>3</v>
      </c>
      <c r="C583" t="s">
        <v>198</v>
      </c>
      <c r="D583" s="14">
        <v>12.3</v>
      </c>
    </row>
    <row r="584" spans="1:4" x14ac:dyDescent="0.35">
      <c r="A584" s="13">
        <v>46263</v>
      </c>
      <c r="B584" t="s">
        <v>3</v>
      </c>
      <c r="C584" t="s">
        <v>199</v>
      </c>
      <c r="D584" s="14">
        <v>19.100000000000001</v>
      </c>
    </row>
    <row r="585" spans="1:4" x14ac:dyDescent="0.35">
      <c r="A585" s="13">
        <v>46263</v>
      </c>
      <c r="B585" t="s">
        <v>3</v>
      </c>
      <c r="C585" t="s">
        <v>200</v>
      </c>
      <c r="D585" s="14">
        <v>13.7</v>
      </c>
    </row>
    <row r="586" spans="1:4" x14ac:dyDescent="0.35">
      <c r="A586" s="13">
        <v>46263</v>
      </c>
      <c r="B586" t="s">
        <v>3</v>
      </c>
      <c r="C586" t="s">
        <v>201</v>
      </c>
      <c r="D586" s="14">
        <v>21.8</v>
      </c>
    </row>
    <row r="587" spans="1:4" x14ac:dyDescent="0.35">
      <c r="A587" s="13">
        <v>46263</v>
      </c>
      <c r="B587" t="s">
        <v>3</v>
      </c>
      <c r="C587" t="s">
        <v>202</v>
      </c>
      <c r="D587" s="14">
        <v>8.9</v>
      </c>
    </row>
    <row r="588" spans="1:4" x14ac:dyDescent="0.35">
      <c r="A588" s="13">
        <v>46263</v>
      </c>
      <c r="B588" t="s">
        <v>3</v>
      </c>
      <c r="C588" t="s">
        <v>203</v>
      </c>
      <c r="D588" s="14">
        <v>15</v>
      </c>
    </row>
    <row r="589" spans="1:4" x14ac:dyDescent="0.35">
      <c r="A589" s="13">
        <v>46263</v>
      </c>
      <c r="B589" t="s">
        <v>3</v>
      </c>
      <c r="C589" t="s">
        <v>204</v>
      </c>
      <c r="D589" s="14">
        <v>8.5</v>
      </c>
    </row>
    <row r="590" spans="1:4" x14ac:dyDescent="0.35">
      <c r="A590" s="13">
        <v>46263</v>
      </c>
      <c r="B590" t="s">
        <v>3</v>
      </c>
      <c r="C590" t="s">
        <v>205</v>
      </c>
      <c r="D590" s="14">
        <v>24.3</v>
      </c>
    </row>
    <row r="591" spans="1:4" x14ac:dyDescent="0.35">
      <c r="A591" s="13">
        <v>46263</v>
      </c>
      <c r="B591" t="s">
        <v>3</v>
      </c>
      <c r="C591" t="s">
        <v>206</v>
      </c>
      <c r="D591" s="14">
        <v>22.9</v>
      </c>
    </row>
    <row r="592" spans="1:4" x14ac:dyDescent="0.35">
      <c r="A592" s="13">
        <v>46263</v>
      </c>
      <c r="B592" t="s">
        <v>3</v>
      </c>
      <c r="C592" t="s">
        <v>207</v>
      </c>
      <c r="D592" s="14">
        <v>23.2</v>
      </c>
    </row>
    <row r="593" spans="1:4" x14ac:dyDescent="0.35">
      <c r="A593" s="13">
        <v>46263</v>
      </c>
      <c r="B593" t="s">
        <v>3</v>
      </c>
      <c r="C593" t="s">
        <v>208</v>
      </c>
      <c r="D593" s="14">
        <v>22.4</v>
      </c>
    </row>
    <row r="594" spans="1:4" x14ac:dyDescent="0.35">
      <c r="A594" s="13">
        <v>46263</v>
      </c>
      <c r="B594" t="s">
        <v>3</v>
      </c>
      <c r="C594" t="s">
        <v>209</v>
      </c>
      <c r="D594" s="14">
        <v>21.2</v>
      </c>
    </row>
    <row r="595" spans="1:4" x14ac:dyDescent="0.35">
      <c r="A595" s="13">
        <v>46263</v>
      </c>
      <c r="B595" t="s">
        <v>3</v>
      </c>
      <c r="C595" t="s">
        <v>210</v>
      </c>
      <c r="D595" s="14">
        <v>13.6</v>
      </c>
    </row>
    <row r="596" spans="1:4" x14ac:dyDescent="0.35">
      <c r="A596" s="13">
        <v>46263</v>
      </c>
      <c r="B596" t="s">
        <v>3</v>
      </c>
      <c r="C596" t="s">
        <v>211</v>
      </c>
      <c r="D596" s="14">
        <v>14.9</v>
      </c>
    </row>
    <row r="597" spans="1:4" x14ac:dyDescent="0.35">
      <c r="A597" s="13">
        <v>46263</v>
      </c>
      <c r="B597" t="s">
        <v>3</v>
      </c>
      <c r="C597" t="s">
        <v>212</v>
      </c>
      <c r="D597" s="14">
        <v>20.9</v>
      </c>
    </row>
    <row r="598" spans="1:4" x14ac:dyDescent="0.35">
      <c r="A598" s="13">
        <v>46263</v>
      </c>
      <c r="B598" t="s">
        <v>3</v>
      </c>
      <c r="C598" t="s">
        <v>213</v>
      </c>
      <c r="D598" s="14">
        <v>12.1</v>
      </c>
    </row>
    <row r="599" spans="1:4" x14ac:dyDescent="0.35">
      <c r="A599" s="13">
        <v>46263</v>
      </c>
      <c r="B599" t="s">
        <v>3</v>
      </c>
      <c r="C599" t="s">
        <v>214</v>
      </c>
      <c r="D599" s="14">
        <v>14.5</v>
      </c>
    </row>
    <row r="600" spans="1:4" x14ac:dyDescent="0.35">
      <c r="A600" s="13">
        <v>46263</v>
      </c>
      <c r="B600" t="s">
        <v>3</v>
      </c>
      <c r="C600" t="s">
        <v>215</v>
      </c>
      <c r="D600" s="14">
        <v>10.4</v>
      </c>
    </row>
    <row r="601" spans="1:4" x14ac:dyDescent="0.35">
      <c r="A601" s="13">
        <v>46263</v>
      </c>
      <c r="B601" t="s">
        <v>77</v>
      </c>
      <c r="C601" t="s">
        <v>216</v>
      </c>
      <c r="D601" s="14">
        <v>12.5</v>
      </c>
    </row>
    <row r="602" spans="1:4" x14ac:dyDescent="0.35">
      <c r="A602" s="13">
        <v>46263</v>
      </c>
      <c r="B602" t="s">
        <v>77</v>
      </c>
      <c r="C602" t="s">
        <v>217</v>
      </c>
      <c r="D602" s="14">
        <v>14.3</v>
      </c>
    </row>
    <row r="603" spans="1:4" x14ac:dyDescent="0.35">
      <c r="A603" s="13">
        <v>46263</v>
      </c>
      <c r="B603" t="s">
        <v>77</v>
      </c>
      <c r="C603" t="s">
        <v>218</v>
      </c>
      <c r="D603" s="14">
        <v>14.3</v>
      </c>
    </row>
    <row r="604" spans="1:4" x14ac:dyDescent="0.35">
      <c r="A604" s="13">
        <v>46263</v>
      </c>
      <c r="B604" t="s">
        <v>77</v>
      </c>
      <c r="C604" t="s">
        <v>219</v>
      </c>
      <c r="D604" s="14">
        <v>8.1999999999999993</v>
      </c>
    </row>
    <row r="605" spans="1:4" x14ac:dyDescent="0.35">
      <c r="A605" s="13">
        <v>46263</v>
      </c>
      <c r="B605" t="s">
        <v>77</v>
      </c>
      <c r="C605" t="s">
        <v>220</v>
      </c>
      <c r="D605" s="14">
        <v>12.4</v>
      </c>
    </row>
    <row r="606" spans="1:4" x14ac:dyDescent="0.35">
      <c r="A606" s="13">
        <v>46263</v>
      </c>
      <c r="B606" t="s">
        <v>77</v>
      </c>
      <c r="C606" t="s">
        <v>221</v>
      </c>
      <c r="D606" s="14">
        <v>29.8</v>
      </c>
    </row>
    <row r="607" spans="1:4" x14ac:dyDescent="0.35">
      <c r="A607" s="13">
        <v>46263</v>
      </c>
      <c r="B607" t="s">
        <v>77</v>
      </c>
      <c r="C607" t="s">
        <v>222</v>
      </c>
      <c r="D607" s="14">
        <v>13.5</v>
      </c>
    </row>
    <row r="608" spans="1:4" x14ac:dyDescent="0.35">
      <c r="A608" s="13">
        <v>46263</v>
      </c>
      <c r="B608" t="s">
        <v>77</v>
      </c>
      <c r="C608" t="s">
        <v>223</v>
      </c>
      <c r="D608" s="14">
        <v>19.600000000000001</v>
      </c>
    </row>
    <row r="609" spans="1:4" x14ac:dyDescent="0.35">
      <c r="A609" s="13">
        <v>46263</v>
      </c>
      <c r="B609" t="s">
        <v>77</v>
      </c>
      <c r="C609" t="s">
        <v>224</v>
      </c>
      <c r="D609" s="14">
        <v>14</v>
      </c>
    </row>
    <row r="610" spans="1:4" x14ac:dyDescent="0.35">
      <c r="A610" s="13">
        <v>46263</v>
      </c>
      <c r="B610" t="s">
        <v>77</v>
      </c>
      <c r="C610" t="s">
        <v>225</v>
      </c>
      <c r="D610" s="14">
        <v>11.6</v>
      </c>
    </row>
    <row r="611" spans="1:4" x14ac:dyDescent="0.35">
      <c r="A611" s="13">
        <v>46263</v>
      </c>
      <c r="B611" t="s">
        <v>77</v>
      </c>
      <c r="C611" t="s">
        <v>226</v>
      </c>
      <c r="D611" s="14">
        <v>19.399999999999999</v>
      </c>
    </row>
    <row r="612" spans="1:4" x14ac:dyDescent="0.35">
      <c r="A612" s="13">
        <v>46263</v>
      </c>
      <c r="B612" t="s">
        <v>77</v>
      </c>
      <c r="C612" t="s">
        <v>227</v>
      </c>
      <c r="D612" s="14">
        <v>15</v>
      </c>
    </row>
    <row r="613" spans="1:4" x14ac:dyDescent="0.35">
      <c r="A613" s="13">
        <v>46263</v>
      </c>
      <c r="B613" t="s">
        <v>77</v>
      </c>
      <c r="C613" t="s">
        <v>228</v>
      </c>
      <c r="D613" s="14">
        <v>23.2</v>
      </c>
    </row>
    <row r="614" spans="1:4" x14ac:dyDescent="0.35">
      <c r="A614" s="13">
        <v>46263</v>
      </c>
      <c r="B614" t="s">
        <v>77</v>
      </c>
      <c r="C614" t="s">
        <v>229</v>
      </c>
      <c r="D614" s="14">
        <v>7.7</v>
      </c>
    </row>
    <row r="615" spans="1:4" x14ac:dyDescent="0.35">
      <c r="A615" s="13">
        <v>46263</v>
      </c>
      <c r="B615" t="s">
        <v>77</v>
      </c>
      <c r="C615" t="s">
        <v>230</v>
      </c>
      <c r="D615" s="14">
        <v>8.9</v>
      </c>
    </row>
    <row r="616" spans="1:4" x14ac:dyDescent="0.35">
      <c r="A616" s="13">
        <v>46263</v>
      </c>
      <c r="B616" t="s">
        <v>80</v>
      </c>
      <c r="C616" t="s">
        <v>231</v>
      </c>
      <c r="D616" s="14">
        <v>14.4</v>
      </c>
    </row>
    <row r="617" spans="1:4" x14ac:dyDescent="0.35">
      <c r="A617" s="13">
        <v>46263</v>
      </c>
      <c r="B617" t="s">
        <v>80</v>
      </c>
      <c r="C617" t="s">
        <v>232</v>
      </c>
      <c r="D617" s="14">
        <v>21.9</v>
      </c>
    </row>
    <row r="618" spans="1:4" x14ac:dyDescent="0.35">
      <c r="A618" s="13">
        <v>46263</v>
      </c>
      <c r="B618" t="s">
        <v>80</v>
      </c>
      <c r="C618" t="s">
        <v>233</v>
      </c>
      <c r="D618" s="14">
        <v>11.3</v>
      </c>
    </row>
    <row r="619" spans="1:4" x14ac:dyDescent="0.35">
      <c r="A619" s="13">
        <v>46263</v>
      </c>
      <c r="B619" t="s">
        <v>80</v>
      </c>
      <c r="C619" t="s">
        <v>234</v>
      </c>
      <c r="D619" s="14">
        <v>7.6</v>
      </c>
    </row>
    <row r="620" spans="1:4" x14ac:dyDescent="0.35">
      <c r="A620" s="13">
        <v>46263</v>
      </c>
      <c r="B620" t="s">
        <v>80</v>
      </c>
      <c r="C620" t="s">
        <v>235</v>
      </c>
      <c r="D620" s="14">
        <v>17.100000000000001</v>
      </c>
    </row>
    <row r="621" spans="1:4" x14ac:dyDescent="0.35">
      <c r="A621" s="13">
        <v>46263</v>
      </c>
      <c r="B621" t="s">
        <v>80</v>
      </c>
      <c r="C621" t="s">
        <v>236</v>
      </c>
      <c r="D621" s="14">
        <v>18.8</v>
      </c>
    </row>
    <row r="622" spans="1:4" x14ac:dyDescent="0.35">
      <c r="A622" s="13">
        <v>46263</v>
      </c>
      <c r="B622" t="s">
        <v>80</v>
      </c>
      <c r="C622" t="s">
        <v>237</v>
      </c>
      <c r="D622" s="14">
        <v>12.9</v>
      </c>
    </row>
    <row r="623" spans="1:4" x14ac:dyDescent="0.35">
      <c r="A623" s="13">
        <v>46263</v>
      </c>
      <c r="B623" t="s">
        <v>80</v>
      </c>
      <c r="C623" t="s">
        <v>238</v>
      </c>
      <c r="D623" s="14">
        <v>17.3</v>
      </c>
    </row>
    <row r="624" spans="1:4" x14ac:dyDescent="0.35">
      <c r="A624" s="13">
        <v>46263</v>
      </c>
      <c r="B624" t="s">
        <v>80</v>
      </c>
      <c r="C624" t="s">
        <v>239</v>
      </c>
      <c r="D624" s="14">
        <v>8.6999999999999993</v>
      </c>
    </row>
    <row r="625" spans="1:4" x14ac:dyDescent="0.35">
      <c r="A625" s="13">
        <v>46263</v>
      </c>
      <c r="B625" t="s">
        <v>80</v>
      </c>
      <c r="C625" t="s">
        <v>240</v>
      </c>
      <c r="D625" s="14">
        <v>19</v>
      </c>
    </row>
    <row r="626" spans="1:4" x14ac:dyDescent="0.35">
      <c r="A626" s="13">
        <v>46263</v>
      </c>
      <c r="B626" t="s">
        <v>80</v>
      </c>
      <c r="C626" t="s">
        <v>241</v>
      </c>
      <c r="D626" s="14">
        <v>12.1</v>
      </c>
    </row>
    <row r="627" spans="1:4" x14ac:dyDescent="0.35">
      <c r="A627" s="13">
        <v>46263</v>
      </c>
      <c r="B627" t="s">
        <v>80</v>
      </c>
      <c r="C627" t="s">
        <v>242</v>
      </c>
      <c r="D627" s="14">
        <v>27.5</v>
      </c>
    </row>
    <row r="628" spans="1:4" x14ac:dyDescent="0.35">
      <c r="A628" s="13">
        <v>46263</v>
      </c>
      <c r="B628" t="s">
        <v>80</v>
      </c>
      <c r="C628" t="s">
        <v>243</v>
      </c>
      <c r="D628" s="14">
        <v>21.9</v>
      </c>
    </row>
    <row r="629" spans="1:4" x14ac:dyDescent="0.35">
      <c r="A629" s="13">
        <v>46263</v>
      </c>
      <c r="B629" t="s">
        <v>80</v>
      </c>
      <c r="C629" t="s">
        <v>244</v>
      </c>
      <c r="D629" s="14">
        <v>15.2</v>
      </c>
    </row>
    <row r="630" spans="1:4" x14ac:dyDescent="0.35">
      <c r="A630" s="13">
        <v>46263</v>
      </c>
      <c r="B630" t="s">
        <v>80</v>
      </c>
      <c r="C630" t="s">
        <v>245</v>
      </c>
      <c r="D630" s="14">
        <v>14.4</v>
      </c>
    </row>
    <row r="631" spans="1:4" x14ac:dyDescent="0.35">
      <c r="A631" s="13">
        <v>46263</v>
      </c>
      <c r="B631" t="s">
        <v>80</v>
      </c>
      <c r="C631" t="s">
        <v>246</v>
      </c>
      <c r="D631" s="14">
        <v>15</v>
      </c>
    </row>
    <row r="632" spans="1:4" x14ac:dyDescent="0.35">
      <c r="A632" s="13">
        <v>46263</v>
      </c>
      <c r="B632" t="s">
        <v>80</v>
      </c>
      <c r="C632" t="s">
        <v>247</v>
      </c>
      <c r="D632" s="14">
        <v>26.5</v>
      </c>
    </row>
    <row r="633" spans="1:4" x14ac:dyDescent="0.35">
      <c r="A633" s="13">
        <v>46263</v>
      </c>
      <c r="B633" t="s">
        <v>82</v>
      </c>
      <c r="C633" t="s">
        <v>248</v>
      </c>
      <c r="D633" s="14">
        <v>22.4</v>
      </c>
    </row>
    <row r="634" spans="1:4" x14ac:dyDescent="0.35">
      <c r="A634" s="13">
        <v>46263</v>
      </c>
      <c r="B634" t="s">
        <v>82</v>
      </c>
      <c r="C634" t="s">
        <v>249</v>
      </c>
      <c r="D634" s="14">
        <v>9.9</v>
      </c>
    </row>
    <row r="635" spans="1:4" x14ac:dyDescent="0.35">
      <c r="A635" s="13">
        <v>46263</v>
      </c>
      <c r="B635" t="s">
        <v>82</v>
      </c>
      <c r="C635" t="s">
        <v>250</v>
      </c>
      <c r="D635" s="14">
        <v>15.8</v>
      </c>
    </row>
    <row r="636" spans="1:4" x14ac:dyDescent="0.35">
      <c r="A636" s="13">
        <v>46263</v>
      </c>
      <c r="B636" t="s">
        <v>82</v>
      </c>
      <c r="C636" t="s">
        <v>251</v>
      </c>
      <c r="D636" s="14">
        <v>11.1</v>
      </c>
    </row>
    <row r="637" spans="1:4" x14ac:dyDescent="0.35">
      <c r="A637" s="13">
        <v>46263</v>
      </c>
      <c r="B637" t="s">
        <v>82</v>
      </c>
      <c r="C637" t="s">
        <v>252</v>
      </c>
      <c r="D637" s="14">
        <v>10</v>
      </c>
    </row>
    <row r="638" spans="1:4" x14ac:dyDescent="0.35">
      <c r="A638" s="13">
        <v>46263</v>
      </c>
      <c r="B638" t="s">
        <v>82</v>
      </c>
      <c r="C638" t="s">
        <v>253</v>
      </c>
      <c r="D638" s="14">
        <v>16.7</v>
      </c>
    </row>
    <row r="639" spans="1:4" x14ac:dyDescent="0.35">
      <c r="A639" s="13">
        <v>46263</v>
      </c>
      <c r="B639" t="s">
        <v>82</v>
      </c>
      <c r="C639" t="s">
        <v>254</v>
      </c>
      <c r="D639" s="14">
        <v>8.3000000000000007</v>
      </c>
    </row>
    <row r="640" spans="1:4" x14ac:dyDescent="0.35">
      <c r="A640" s="13">
        <v>46263</v>
      </c>
      <c r="B640" t="s">
        <v>82</v>
      </c>
      <c r="C640" t="s">
        <v>255</v>
      </c>
      <c r="D640" s="14">
        <v>10.199999999999999</v>
      </c>
    </row>
    <row r="641" spans="1:4" x14ac:dyDescent="0.35">
      <c r="A641" s="13">
        <v>46263</v>
      </c>
      <c r="B641" t="s">
        <v>82</v>
      </c>
      <c r="C641" t="s">
        <v>256</v>
      </c>
      <c r="D641" s="14">
        <v>18</v>
      </c>
    </row>
    <row r="642" spans="1:4" x14ac:dyDescent="0.35">
      <c r="A642" s="13">
        <v>46263</v>
      </c>
      <c r="B642" t="s">
        <v>82</v>
      </c>
      <c r="C642" t="s">
        <v>257</v>
      </c>
      <c r="D642" s="14">
        <v>16.2</v>
      </c>
    </row>
    <row r="643" spans="1:4" x14ac:dyDescent="0.35">
      <c r="A643" s="13">
        <v>46263</v>
      </c>
      <c r="B643" t="s">
        <v>82</v>
      </c>
      <c r="C643" t="s">
        <v>258</v>
      </c>
      <c r="D643" s="14">
        <v>23</v>
      </c>
    </row>
    <row r="644" spans="1:4" x14ac:dyDescent="0.35">
      <c r="A644" s="13">
        <v>46263</v>
      </c>
      <c r="B644" t="s">
        <v>82</v>
      </c>
      <c r="C644" t="s">
        <v>259</v>
      </c>
      <c r="D644" s="14">
        <v>10.9</v>
      </c>
    </row>
    <row r="645" spans="1:4" x14ac:dyDescent="0.35">
      <c r="A645" s="13">
        <v>46263</v>
      </c>
      <c r="B645" t="s">
        <v>82</v>
      </c>
      <c r="C645" t="s">
        <v>260</v>
      </c>
      <c r="D645" s="14">
        <v>11</v>
      </c>
    </row>
    <row r="646" spans="1:4" x14ac:dyDescent="0.35">
      <c r="A646" s="13">
        <v>46263</v>
      </c>
      <c r="B646" t="s">
        <v>82</v>
      </c>
      <c r="C646" t="s">
        <v>261</v>
      </c>
      <c r="D646" s="14">
        <v>16</v>
      </c>
    </row>
    <row r="647" spans="1:4" x14ac:dyDescent="0.35">
      <c r="A647" s="13">
        <v>46263</v>
      </c>
      <c r="B647" t="s">
        <v>82</v>
      </c>
      <c r="C647" t="s">
        <v>262</v>
      </c>
      <c r="D647" s="14">
        <v>21.8</v>
      </c>
    </row>
    <row r="648" spans="1:4" x14ac:dyDescent="0.35">
      <c r="A648" s="13">
        <v>46263</v>
      </c>
      <c r="B648" t="s">
        <v>82</v>
      </c>
      <c r="C648" t="s">
        <v>263</v>
      </c>
      <c r="D648" s="14">
        <v>9.6</v>
      </c>
    </row>
    <row r="649" spans="1:4" x14ac:dyDescent="0.35">
      <c r="A649" s="13">
        <v>46263</v>
      </c>
      <c r="B649" t="s">
        <v>82</v>
      </c>
      <c r="C649" t="s">
        <v>264</v>
      </c>
      <c r="D649" s="14">
        <v>24.3</v>
      </c>
    </row>
    <row r="650" spans="1:4" x14ac:dyDescent="0.35">
      <c r="A650" s="13">
        <v>46263</v>
      </c>
      <c r="B650" t="s">
        <v>82</v>
      </c>
      <c r="C650" t="s">
        <v>265</v>
      </c>
      <c r="D650" s="14">
        <v>16.600000000000001</v>
      </c>
    </row>
    <row r="651" spans="1:4" x14ac:dyDescent="0.35">
      <c r="A651" s="13">
        <v>46263</v>
      </c>
      <c r="B651" t="s">
        <v>85</v>
      </c>
      <c r="C651" t="s">
        <v>266</v>
      </c>
      <c r="D651" s="14">
        <v>10.9</v>
      </c>
    </row>
    <row r="652" spans="1:4" x14ac:dyDescent="0.35">
      <c r="A652" s="13">
        <v>46263</v>
      </c>
      <c r="B652" t="s">
        <v>85</v>
      </c>
      <c r="C652" t="s">
        <v>267</v>
      </c>
      <c r="D652" s="14">
        <v>6.7</v>
      </c>
    </row>
    <row r="653" spans="1:4" x14ac:dyDescent="0.35">
      <c r="A653" s="13">
        <v>46263</v>
      </c>
      <c r="B653" t="s">
        <v>85</v>
      </c>
      <c r="C653" t="s">
        <v>268</v>
      </c>
      <c r="D653" s="14">
        <v>21.3</v>
      </c>
    </row>
    <row r="654" spans="1:4" x14ac:dyDescent="0.35">
      <c r="A654" s="13">
        <v>46263</v>
      </c>
      <c r="B654" t="s">
        <v>85</v>
      </c>
      <c r="C654" t="s">
        <v>269</v>
      </c>
      <c r="D654" s="14">
        <v>21.6</v>
      </c>
    </row>
    <row r="655" spans="1:4" x14ac:dyDescent="0.35">
      <c r="A655" s="13">
        <v>46263</v>
      </c>
      <c r="B655" t="s">
        <v>85</v>
      </c>
      <c r="C655" t="s">
        <v>270</v>
      </c>
      <c r="D655" s="14">
        <v>17.899999999999999</v>
      </c>
    </row>
    <row r="656" spans="1:4" x14ac:dyDescent="0.35">
      <c r="A656" s="13">
        <v>46263</v>
      </c>
      <c r="B656" t="s">
        <v>85</v>
      </c>
      <c r="C656" t="s">
        <v>271</v>
      </c>
      <c r="D656" s="14">
        <v>13.1</v>
      </c>
    </row>
    <row r="657" spans="1:4" x14ac:dyDescent="0.35">
      <c r="A657" s="13">
        <v>46263</v>
      </c>
      <c r="B657" t="s">
        <v>85</v>
      </c>
      <c r="C657" t="s">
        <v>272</v>
      </c>
      <c r="D657" s="14">
        <v>18.100000000000001</v>
      </c>
    </row>
    <row r="658" spans="1:4" x14ac:dyDescent="0.35">
      <c r="A658" s="13">
        <v>46263</v>
      </c>
      <c r="B658" t="s">
        <v>85</v>
      </c>
      <c r="C658" t="s">
        <v>273</v>
      </c>
      <c r="D658" s="14">
        <v>9</v>
      </c>
    </row>
    <row r="659" spans="1:4" x14ac:dyDescent="0.35">
      <c r="A659" s="13">
        <v>46263</v>
      </c>
      <c r="B659" t="s">
        <v>85</v>
      </c>
      <c r="C659" t="s">
        <v>274</v>
      </c>
      <c r="D659" s="14">
        <v>8.5</v>
      </c>
    </row>
    <row r="660" spans="1:4" x14ac:dyDescent="0.35">
      <c r="A660" s="13">
        <v>46263</v>
      </c>
      <c r="B660" t="s">
        <v>85</v>
      </c>
      <c r="C660" t="s">
        <v>275</v>
      </c>
      <c r="D660" s="14">
        <v>16.600000000000001</v>
      </c>
    </row>
    <row r="661" spans="1:4" x14ac:dyDescent="0.35">
      <c r="A661" s="13">
        <v>46263</v>
      </c>
      <c r="B661" t="s">
        <v>85</v>
      </c>
      <c r="C661" t="s">
        <v>276</v>
      </c>
      <c r="D661" s="14">
        <v>11.2</v>
      </c>
    </row>
    <row r="662" spans="1:4" x14ac:dyDescent="0.35">
      <c r="A662" s="13">
        <v>46263</v>
      </c>
      <c r="B662" t="s">
        <v>85</v>
      </c>
      <c r="C662" t="s">
        <v>277</v>
      </c>
      <c r="D662" s="14">
        <v>13.7</v>
      </c>
    </row>
    <row r="663" spans="1:4" x14ac:dyDescent="0.35">
      <c r="A663" s="13">
        <v>46263</v>
      </c>
      <c r="B663" t="s">
        <v>85</v>
      </c>
      <c r="C663" t="s">
        <v>278</v>
      </c>
      <c r="D663" s="14">
        <v>16.2</v>
      </c>
    </row>
    <row r="664" spans="1:4" x14ac:dyDescent="0.35">
      <c r="A664" s="13">
        <v>46263</v>
      </c>
      <c r="B664" t="s">
        <v>85</v>
      </c>
      <c r="C664" t="s">
        <v>279</v>
      </c>
      <c r="D664" s="14">
        <v>10.9</v>
      </c>
    </row>
    <row r="665" spans="1:4" x14ac:dyDescent="0.35">
      <c r="A665" s="13">
        <v>46263</v>
      </c>
      <c r="B665" t="s">
        <v>85</v>
      </c>
      <c r="C665" t="s">
        <v>280</v>
      </c>
      <c r="D665" s="14">
        <v>14.5</v>
      </c>
    </row>
    <row r="666" spans="1:4" x14ac:dyDescent="0.35">
      <c r="A666" s="13">
        <v>46263</v>
      </c>
      <c r="B666" t="s">
        <v>85</v>
      </c>
      <c r="C666" t="s">
        <v>281</v>
      </c>
      <c r="D666" s="14">
        <v>11.8</v>
      </c>
    </row>
    <row r="667" spans="1:4" x14ac:dyDescent="0.35">
      <c r="A667" s="13">
        <v>46263</v>
      </c>
      <c r="B667" t="s">
        <v>87</v>
      </c>
      <c r="C667" t="s">
        <v>282</v>
      </c>
      <c r="D667" s="14">
        <v>7.7</v>
      </c>
    </row>
    <row r="668" spans="1:4" x14ac:dyDescent="0.35">
      <c r="A668" s="13">
        <v>46263</v>
      </c>
      <c r="B668" t="s">
        <v>87</v>
      </c>
      <c r="C668" t="s">
        <v>283</v>
      </c>
      <c r="D668" s="14">
        <v>14.5</v>
      </c>
    </row>
    <row r="669" spans="1:4" x14ac:dyDescent="0.35">
      <c r="A669" s="13">
        <v>46263</v>
      </c>
      <c r="B669" t="s">
        <v>87</v>
      </c>
      <c r="C669" t="s">
        <v>284</v>
      </c>
      <c r="D669" s="14">
        <v>12.4</v>
      </c>
    </row>
    <row r="670" spans="1:4" x14ac:dyDescent="0.35">
      <c r="A670" s="13">
        <v>46263</v>
      </c>
      <c r="B670" t="s">
        <v>87</v>
      </c>
      <c r="C670" t="s">
        <v>285</v>
      </c>
      <c r="D670" s="14">
        <v>18</v>
      </c>
    </row>
    <row r="671" spans="1:4" x14ac:dyDescent="0.35">
      <c r="A671" s="13">
        <v>46263</v>
      </c>
      <c r="B671" t="s">
        <v>87</v>
      </c>
      <c r="C671" t="s">
        <v>286</v>
      </c>
      <c r="D671" s="14">
        <v>12.9</v>
      </c>
    </row>
    <row r="672" spans="1:4" x14ac:dyDescent="0.35">
      <c r="A672" s="13">
        <v>46263</v>
      </c>
      <c r="B672" t="s">
        <v>87</v>
      </c>
      <c r="C672" t="s">
        <v>287</v>
      </c>
      <c r="D672" s="14">
        <v>16.600000000000001</v>
      </c>
    </row>
    <row r="673" spans="1:4" x14ac:dyDescent="0.35">
      <c r="A673" s="13">
        <v>46263</v>
      </c>
      <c r="B673" t="s">
        <v>87</v>
      </c>
      <c r="C673" t="s">
        <v>288</v>
      </c>
      <c r="D673" s="14">
        <v>10.5</v>
      </c>
    </row>
    <row r="674" spans="1:4" x14ac:dyDescent="0.35">
      <c r="A674" s="13">
        <v>46263</v>
      </c>
      <c r="B674" t="s">
        <v>87</v>
      </c>
      <c r="C674" t="s">
        <v>289</v>
      </c>
      <c r="D674" s="14">
        <v>11.4</v>
      </c>
    </row>
    <row r="675" spans="1:4" x14ac:dyDescent="0.35">
      <c r="A675" s="13">
        <v>46263</v>
      </c>
      <c r="B675" t="s">
        <v>87</v>
      </c>
      <c r="C675" t="s">
        <v>290</v>
      </c>
      <c r="D675" s="14">
        <v>17.2</v>
      </c>
    </row>
    <row r="676" spans="1:4" x14ac:dyDescent="0.35">
      <c r="A676" s="13">
        <v>46263</v>
      </c>
      <c r="B676" t="s">
        <v>87</v>
      </c>
      <c r="C676" t="s">
        <v>291</v>
      </c>
      <c r="D676" s="14">
        <v>13.3</v>
      </c>
    </row>
    <row r="677" spans="1:4" x14ac:dyDescent="0.35">
      <c r="A677" s="13">
        <v>46263</v>
      </c>
      <c r="B677" t="s">
        <v>87</v>
      </c>
      <c r="C677" t="s">
        <v>292</v>
      </c>
      <c r="D677" s="14">
        <v>11.1</v>
      </c>
    </row>
    <row r="678" spans="1:4" x14ac:dyDescent="0.35">
      <c r="A678" s="13">
        <v>46263</v>
      </c>
      <c r="B678" t="s">
        <v>87</v>
      </c>
      <c r="C678" t="s">
        <v>293</v>
      </c>
      <c r="D678" s="14">
        <v>10.3</v>
      </c>
    </row>
    <row r="679" spans="1:4" x14ac:dyDescent="0.35">
      <c r="A679" s="13">
        <v>46263</v>
      </c>
      <c r="B679" t="s">
        <v>87</v>
      </c>
      <c r="C679" t="s">
        <v>294</v>
      </c>
      <c r="D679" s="14">
        <v>10.199999999999999</v>
      </c>
    </row>
    <row r="680" spans="1:4" x14ac:dyDescent="0.35">
      <c r="A680" s="13">
        <v>46263</v>
      </c>
      <c r="B680" t="s">
        <v>87</v>
      </c>
      <c r="C680" t="s">
        <v>295</v>
      </c>
      <c r="D680" s="14">
        <v>12.7</v>
      </c>
    </row>
    <row r="681" spans="1:4" x14ac:dyDescent="0.35">
      <c r="A681" s="13">
        <v>46263</v>
      </c>
      <c r="B681" t="s">
        <v>87</v>
      </c>
      <c r="C681" t="s">
        <v>296</v>
      </c>
      <c r="D681" s="14">
        <v>19.100000000000001</v>
      </c>
    </row>
    <row r="682" spans="1:4" x14ac:dyDescent="0.35">
      <c r="A682" s="13">
        <v>46263</v>
      </c>
      <c r="B682" t="s">
        <v>87</v>
      </c>
      <c r="C682" t="s">
        <v>297</v>
      </c>
      <c r="D682" s="14">
        <v>13.8</v>
      </c>
    </row>
    <row r="683" spans="1:4" x14ac:dyDescent="0.35">
      <c r="A683" s="13">
        <v>46263</v>
      </c>
      <c r="B683" t="s">
        <v>77</v>
      </c>
      <c r="C683" t="s">
        <v>298</v>
      </c>
      <c r="D683" s="14">
        <v>0</v>
      </c>
    </row>
    <row r="684" spans="1:4" x14ac:dyDescent="0.35">
      <c r="A684" s="13">
        <v>46263</v>
      </c>
      <c r="B684" t="s">
        <v>85</v>
      </c>
      <c r="C684" t="s">
        <v>299</v>
      </c>
      <c r="D684" s="14">
        <v>0</v>
      </c>
    </row>
    <row r="685" spans="1:4" x14ac:dyDescent="0.35">
      <c r="A685" s="13">
        <v>46270</v>
      </c>
      <c r="B685" t="s">
        <v>70</v>
      </c>
      <c r="C685" t="s">
        <v>155</v>
      </c>
      <c r="D685" s="14">
        <v>24.5</v>
      </c>
    </row>
    <row r="686" spans="1:4" x14ac:dyDescent="0.35">
      <c r="A686" s="13">
        <v>46270</v>
      </c>
      <c r="B686" t="s">
        <v>70</v>
      </c>
      <c r="C686" t="s">
        <v>158</v>
      </c>
      <c r="D686" s="14">
        <v>21.2</v>
      </c>
    </row>
    <row r="687" spans="1:4" x14ac:dyDescent="0.35">
      <c r="A687" s="13">
        <v>46270</v>
      </c>
      <c r="B687" t="s">
        <v>70</v>
      </c>
      <c r="C687" t="s">
        <v>159</v>
      </c>
      <c r="D687" s="14">
        <v>16.2</v>
      </c>
    </row>
    <row r="688" spans="1:4" x14ac:dyDescent="0.35">
      <c r="A688" s="13">
        <v>46270</v>
      </c>
      <c r="B688" t="s">
        <v>70</v>
      </c>
      <c r="C688" t="s">
        <v>162</v>
      </c>
      <c r="D688" s="14">
        <v>23.2</v>
      </c>
    </row>
    <row r="689" spans="1:4" x14ac:dyDescent="0.35">
      <c r="A689" s="13">
        <v>46270</v>
      </c>
      <c r="B689" t="s">
        <v>70</v>
      </c>
      <c r="C689" t="s">
        <v>164</v>
      </c>
      <c r="D689" s="14">
        <v>10.1</v>
      </c>
    </row>
    <row r="690" spans="1:4" x14ac:dyDescent="0.35">
      <c r="A690" s="13">
        <v>46270</v>
      </c>
      <c r="B690" t="s">
        <v>70</v>
      </c>
      <c r="C690" t="s">
        <v>167</v>
      </c>
      <c r="D690" s="14">
        <v>13</v>
      </c>
    </row>
    <row r="691" spans="1:4" x14ac:dyDescent="0.35">
      <c r="A691" s="13">
        <v>46270</v>
      </c>
      <c r="B691" t="s">
        <v>70</v>
      </c>
      <c r="C691" t="s">
        <v>169</v>
      </c>
      <c r="D691" s="14">
        <v>9.8000000000000007</v>
      </c>
    </row>
    <row r="692" spans="1:4" x14ac:dyDescent="0.35">
      <c r="A692" s="13">
        <v>46270</v>
      </c>
      <c r="B692" t="s">
        <v>70</v>
      </c>
      <c r="C692" t="s">
        <v>170</v>
      </c>
      <c r="D692" s="14">
        <v>19.2</v>
      </c>
    </row>
    <row r="693" spans="1:4" x14ac:dyDescent="0.35">
      <c r="A693" s="13">
        <v>46270</v>
      </c>
      <c r="B693" t="s">
        <v>70</v>
      </c>
      <c r="C693" t="s">
        <v>171</v>
      </c>
      <c r="D693" s="14">
        <v>15.2</v>
      </c>
    </row>
    <row r="694" spans="1:4" x14ac:dyDescent="0.35">
      <c r="A694" s="13">
        <v>46270</v>
      </c>
      <c r="B694" t="s">
        <v>70</v>
      </c>
      <c r="C694" t="s">
        <v>172</v>
      </c>
      <c r="D694" s="14">
        <v>9.8000000000000007</v>
      </c>
    </row>
    <row r="695" spans="1:4" x14ac:dyDescent="0.35">
      <c r="A695" s="13">
        <v>46270</v>
      </c>
      <c r="B695" t="s">
        <v>70</v>
      </c>
      <c r="C695" t="s">
        <v>173</v>
      </c>
      <c r="D695" s="14">
        <v>17.899999999999999</v>
      </c>
    </row>
    <row r="696" spans="1:4" x14ac:dyDescent="0.35">
      <c r="A696" s="13">
        <v>46270</v>
      </c>
      <c r="B696" t="s">
        <v>70</v>
      </c>
      <c r="C696" t="s">
        <v>174</v>
      </c>
      <c r="D696" s="14">
        <v>21.8</v>
      </c>
    </row>
    <row r="697" spans="1:4" x14ac:dyDescent="0.35">
      <c r="A697" s="13">
        <v>46270</v>
      </c>
      <c r="B697" t="s">
        <v>70</v>
      </c>
      <c r="C697" t="s">
        <v>175</v>
      </c>
      <c r="D697" s="14">
        <v>15.1</v>
      </c>
    </row>
    <row r="698" spans="1:4" x14ac:dyDescent="0.35">
      <c r="A698" s="13">
        <v>46270</v>
      </c>
      <c r="B698" t="s">
        <v>70</v>
      </c>
      <c r="C698" t="s">
        <v>176</v>
      </c>
      <c r="D698" s="14">
        <v>11.7</v>
      </c>
    </row>
    <row r="699" spans="1:4" x14ac:dyDescent="0.35">
      <c r="A699" s="13">
        <v>46270</v>
      </c>
      <c r="B699" t="s">
        <v>73</v>
      </c>
      <c r="C699" t="s">
        <v>177</v>
      </c>
      <c r="D699" s="14">
        <v>12.5</v>
      </c>
    </row>
    <row r="700" spans="1:4" x14ac:dyDescent="0.35">
      <c r="A700" s="13">
        <v>46270</v>
      </c>
      <c r="B700" t="s">
        <v>73</v>
      </c>
      <c r="C700" t="s">
        <v>178</v>
      </c>
      <c r="D700" s="14">
        <v>10.8</v>
      </c>
    </row>
    <row r="701" spans="1:4" x14ac:dyDescent="0.35">
      <c r="A701" s="13">
        <v>46270</v>
      </c>
      <c r="B701" t="s">
        <v>73</v>
      </c>
      <c r="C701" t="s">
        <v>179</v>
      </c>
      <c r="D701" s="14">
        <v>16.100000000000001</v>
      </c>
    </row>
    <row r="702" spans="1:4" x14ac:dyDescent="0.35">
      <c r="A702" s="13">
        <v>46270</v>
      </c>
      <c r="B702" t="s">
        <v>73</v>
      </c>
      <c r="C702" t="s">
        <v>180</v>
      </c>
      <c r="D702" s="14">
        <v>9.1</v>
      </c>
    </row>
    <row r="703" spans="1:4" x14ac:dyDescent="0.35">
      <c r="A703" s="13">
        <v>46270</v>
      </c>
      <c r="B703" t="s">
        <v>73</v>
      </c>
      <c r="C703" t="s">
        <v>181</v>
      </c>
      <c r="D703" s="14">
        <v>10.199999999999999</v>
      </c>
    </row>
    <row r="704" spans="1:4" x14ac:dyDescent="0.35">
      <c r="A704" s="13">
        <v>46270</v>
      </c>
      <c r="B704" t="s">
        <v>73</v>
      </c>
      <c r="C704" t="s">
        <v>182</v>
      </c>
      <c r="D704" s="14">
        <v>13.5</v>
      </c>
    </row>
    <row r="705" spans="1:4" x14ac:dyDescent="0.35">
      <c r="A705" s="13">
        <v>46270</v>
      </c>
      <c r="B705" t="s">
        <v>73</v>
      </c>
      <c r="C705" t="s">
        <v>183</v>
      </c>
      <c r="D705" s="14">
        <v>20.100000000000001</v>
      </c>
    </row>
    <row r="706" spans="1:4" x14ac:dyDescent="0.35">
      <c r="A706" s="13">
        <v>46270</v>
      </c>
      <c r="B706" t="s">
        <v>73</v>
      </c>
      <c r="C706" t="s">
        <v>184</v>
      </c>
      <c r="D706" s="14">
        <v>16</v>
      </c>
    </row>
    <row r="707" spans="1:4" x14ac:dyDescent="0.35">
      <c r="A707" s="13">
        <v>46270</v>
      </c>
      <c r="B707" t="s">
        <v>73</v>
      </c>
      <c r="C707" t="s">
        <v>185</v>
      </c>
      <c r="D707" s="14">
        <v>10.1</v>
      </c>
    </row>
    <row r="708" spans="1:4" x14ac:dyDescent="0.35">
      <c r="A708" s="13">
        <v>46270</v>
      </c>
      <c r="B708" t="s">
        <v>73</v>
      </c>
      <c r="C708" t="s">
        <v>186</v>
      </c>
      <c r="D708" s="14">
        <v>14.6</v>
      </c>
    </row>
    <row r="709" spans="1:4" x14ac:dyDescent="0.35">
      <c r="A709" s="13">
        <v>46270</v>
      </c>
      <c r="B709" t="s">
        <v>73</v>
      </c>
      <c r="C709" t="s">
        <v>187</v>
      </c>
      <c r="D709" s="14">
        <v>7.9</v>
      </c>
    </row>
    <row r="710" spans="1:4" x14ac:dyDescent="0.35">
      <c r="A710" s="13">
        <v>46270</v>
      </c>
      <c r="B710" t="s">
        <v>73</v>
      </c>
      <c r="C710" t="s">
        <v>189</v>
      </c>
      <c r="D710" s="14">
        <v>10.8</v>
      </c>
    </row>
    <row r="711" spans="1:4" x14ac:dyDescent="0.35">
      <c r="A711" s="13">
        <v>46270</v>
      </c>
      <c r="B711" t="s">
        <v>73</v>
      </c>
      <c r="C711" t="s">
        <v>190</v>
      </c>
      <c r="D711" s="14">
        <v>12.6</v>
      </c>
    </row>
    <row r="712" spans="1:4" x14ac:dyDescent="0.35">
      <c r="A712" s="13">
        <v>46270</v>
      </c>
      <c r="B712" t="s">
        <v>73</v>
      </c>
      <c r="C712" t="s">
        <v>191</v>
      </c>
      <c r="D712" s="14">
        <v>11.9</v>
      </c>
    </row>
    <row r="713" spans="1:4" x14ac:dyDescent="0.35">
      <c r="A713" s="13">
        <v>46270</v>
      </c>
      <c r="B713" t="s">
        <v>73</v>
      </c>
      <c r="C713" t="s">
        <v>192</v>
      </c>
      <c r="D713" s="14">
        <v>7.6</v>
      </c>
    </row>
    <row r="714" spans="1:4" x14ac:dyDescent="0.35">
      <c r="A714" s="13">
        <v>46270</v>
      </c>
      <c r="B714" t="s">
        <v>73</v>
      </c>
      <c r="C714" t="s">
        <v>193</v>
      </c>
      <c r="D714" s="14">
        <v>15</v>
      </c>
    </row>
    <row r="715" spans="1:4" x14ac:dyDescent="0.35">
      <c r="A715" s="13">
        <v>46270</v>
      </c>
      <c r="B715" t="s">
        <v>73</v>
      </c>
      <c r="C715" t="s">
        <v>194</v>
      </c>
      <c r="D715" s="14">
        <v>9.6</v>
      </c>
    </row>
    <row r="716" spans="1:4" x14ac:dyDescent="0.35">
      <c r="A716" s="13">
        <v>46270</v>
      </c>
      <c r="B716" t="s">
        <v>73</v>
      </c>
      <c r="C716" t="s">
        <v>195</v>
      </c>
      <c r="D716" s="14">
        <v>15.2</v>
      </c>
    </row>
    <row r="717" spans="1:4" x14ac:dyDescent="0.35">
      <c r="A717" s="13">
        <v>46270</v>
      </c>
      <c r="B717" t="s">
        <v>73</v>
      </c>
      <c r="C717" t="s">
        <v>196</v>
      </c>
      <c r="D717" s="14">
        <v>8.1999999999999993</v>
      </c>
    </row>
    <row r="718" spans="1:4" x14ac:dyDescent="0.35">
      <c r="A718" s="13">
        <v>46270</v>
      </c>
      <c r="B718" t="s">
        <v>3</v>
      </c>
      <c r="C718" t="s">
        <v>197</v>
      </c>
      <c r="D718" s="14">
        <v>13.1</v>
      </c>
    </row>
    <row r="719" spans="1:4" x14ac:dyDescent="0.35">
      <c r="A719" s="13">
        <v>46270</v>
      </c>
      <c r="B719" t="s">
        <v>3</v>
      </c>
      <c r="C719" t="s">
        <v>198</v>
      </c>
      <c r="D719" s="14">
        <v>11.6</v>
      </c>
    </row>
    <row r="720" spans="1:4" x14ac:dyDescent="0.35">
      <c r="A720" s="13">
        <v>46270</v>
      </c>
      <c r="B720" t="s">
        <v>3</v>
      </c>
      <c r="C720" t="s">
        <v>199</v>
      </c>
      <c r="D720" s="14">
        <v>18</v>
      </c>
    </row>
    <row r="721" spans="1:4" x14ac:dyDescent="0.35">
      <c r="A721" s="13">
        <v>46270</v>
      </c>
      <c r="B721" t="s">
        <v>3</v>
      </c>
      <c r="C721" t="s">
        <v>200</v>
      </c>
      <c r="D721" s="14">
        <v>12.9</v>
      </c>
    </row>
    <row r="722" spans="1:4" x14ac:dyDescent="0.35">
      <c r="A722" s="13">
        <v>46270</v>
      </c>
      <c r="B722" t="s">
        <v>3</v>
      </c>
      <c r="C722" t="s">
        <v>201</v>
      </c>
      <c r="D722" s="14">
        <v>20.5</v>
      </c>
    </row>
    <row r="723" spans="1:4" x14ac:dyDescent="0.35">
      <c r="A723" s="13">
        <v>46270</v>
      </c>
      <c r="B723" t="s">
        <v>3</v>
      </c>
      <c r="C723" t="s">
        <v>202</v>
      </c>
      <c r="D723" s="14">
        <v>8.4</v>
      </c>
    </row>
    <row r="724" spans="1:4" x14ac:dyDescent="0.35">
      <c r="A724" s="13">
        <v>46270</v>
      </c>
      <c r="B724" t="s">
        <v>3</v>
      </c>
      <c r="C724" t="s">
        <v>203</v>
      </c>
      <c r="D724" s="14">
        <v>14.1</v>
      </c>
    </row>
    <row r="725" spans="1:4" x14ac:dyDescent="0.35">
      <c r="A725" s="13">
        <v>46270</v>
      </c>
      <c r="B725" t="s">
        <v>3</v>
      </c>
      <c r="C725" t="s">
        <v>204</v>
      </c>
      <c r="D725" s="14">
        <v>8</v>
      </c>
    </row>
    <row r="726" spans="1:4" x14ac:dyDescent="0.35">
      <c r="A726" s="13">
        <v>46270</v>
      </c>
      <c r="B726" t="s">
        <v>3</v>
      </c>
      <c r="C726" t="s">
        <v>205</v>
      </c>
      <c r="D726" s="14">
        <v>22.9</v>
      </c>
    </row>
    <row r="727" spans="1:4" x14ac:dyDescent="0.35">
      <c r="A727" s="13">
        <v>46270</v>
      </c>
      <c r="B727" t="s">
        <v>3</v>
      </c>
      <c r="C727" t="s">
        <v>206</v>
      </c>
      <c r="D727" s="14">
        <v>21.7</v>
      </c>
    </row>
    <row r="728" spans="1:4" x14ac:dyDescent="0.35">
      <c r="A728" s="13">
        <v>46270</v>
      </c>
      <c r="B728" t="s">
        <v>3</v>
      </c>
      <c r="C728" t="s">
        <v>207</v>
      </c>
      <c r="D728" s="14">
        <v>21.9</v>
      </c>
    </row>
    <row r="729" spans="1:4" x14ac:dyDescent="0.35">
      <c r="A729" s="13">
        <v>46270</v>
      </c>
      <c r="B729" t="s">
        <v>3</v>
      </c>
      <c r="C729" t="s">
        <v>208</v>
      </c>
      <c r="D729" s="14">
        <v>21.2</v>
      </c>
    </row>
    <row r="730" spans="1:4" x14ac:dyDescent="0.35">
      <c r="A730" s="13">
        <v>46270</v>
      </c>
      <c r="B730" t="s">
        <v>3</v>
      </c>
      <c r="C730" t="s">
        <v>209</v>
      </c>
      <c r="D730" s="14">
        <v>20</v>
      </c>
    </row>
    <row r="731" spans="1:4" x14ac:dyDescent="0.35">
      <c r="A731" s="13">
        <v>46270</v>
      </c>
      <c r="B731" t="s">
        <v>3</v>
      </c>
      <c r="C731" t="s">
        <v>210</v>
      </c>
      <c r="D731" s="14">
        <v>12.8</v>
      </c>
    </row>
    <row r="732" spans="1:4" x14ac:dyDescent="0.35">
      <c r="A732" s="13">
        <v>46270</v>
      </c>
      <c r="B732" t="s">
        <v>3</v>
      </c>
      <c r="C732" t="s">
        <v>211</v>
      </c>
      <c r="D732" s="14">
        <v>14.1</v>
      </c>
    </row>
    <row r="733" spans="1:4" x14ac:dyDescent="0.35">
      <c r="A733" s="13">
        <v>46270</v>
      </c>
      <c r="B733" t="s">
        <v>3</v>
      </c>
      <c r="C733" t="s">
        <v>212</v>
      </c>
      <c r="D733" s="14">
        <v>19.8</v>
      </c>
    </row>
    <row r="734" spans="1:4" x14ac:dyDescent="0.35">
      <c r="A734" s="13">
        <v>46270</v>
      </c>
      <c r="B734" t="s">
        <v>3</v>
      </c>
      <c r="C734" t="s">
        <v>213</v>
      </c>
      <c r="D734" s="14">
        <v>11.5</v>
      </c>
    </row>
    <row r="735" spans="1:4" x14ac:dyDescent="0.35">
      <c r="A735" s="13">
        <v>46270</v>
      </c>
      <c r="B735" t="s">
        <v>3</v>
      </c>
      <c r="C735" t="s">
        <v>214</v>
      </c>
      <c r="D735" s="14">
        <v>13.6</v>
      </c>
    </row>
    <row r="736" spans="1:4" x14ac:dyDescent="0.35">
      <c r="A736" s="13">
        <v>46270</v>
      </c>
      <c r="B736" t="s">
        <v>3</v>
      </c>
      <c r="C736" t="s">
        <v>215</v>
      </c>
      <c r="D736" s="14">
        <v>9.8000000000000007</v>
      </c>
    </row>
    <row r="737" spans="1:4" x14ac:dyDescent="0.35">
      <c r="A737" s="13">
        <v>46270</v>
      </c>
      <c r="B737" t="s">
        <v>77</v>
      </c>
      <c r="C737" t="s">
        <v>216</v>
      </c>
      <c r="D737" s="14">
        <v>12.1</v>
      </c>
    </row>
    <row r="738" spans="1:4" x14ac:dyDescent="0.35">
      <c r="A738" s="13">
        <v>46270</v>
      </c>
      <c r="B738" t="s">
        <v>77</v>
      </c>
      <c r="C738" t="s">
        <v>217</v>
      </c>
      <c r="D738" s="14">
        <v>13.8</v>
      </c>
    </row>
    <row r="739" spans="1:4" x14ac:dyDescent="0.35">
      <c r="A739" s="13">
        <v>46270</v>
      </c>
      <c r="B739" t="s">
        <v>77</v>
      </c>
      <c r="C739" t="s">
        <v>218</v>
      </c>
      <c r="D739" s="14">
        <v>13.9</v>
      </c>
    </row>
    <row r="740" spans="1:4" x14ac:dyDescent="0.35">
      <c r="A740" s="13">
        <v>46270</v>
      </c>
      <c r="B740" t="s">
        <v>77</v>
      </c>
      <c r="C740" t="s">
        <v>219</v>
      </c>
      <c r="D740" s="14">
        <v>7.9</v>
      </c>
    </row>
    <row r="741" spans="1:4" x14ac:dyDescent="0.35">
      <c r="A741" s="13">
        <v>46270</v>
      </c>
      <c r="B741" t="s">
        <v>77</v>
      </c>
      <c r="C741" t="s">
        <v>220</v>
      </c>
      <c r="D741" s="14">
        <v>12</v>
      </c>
    </row>
    <row r="742" spans="1:4" x14ac:dyDescent="0.35">
      <c r="A742" s="13">
        <v>46270</v>
      </c>
      <c r="B742" t="s">
        <v>77</v>
      </c>
      <c r="C742" t="s">
        <v>221</v>
      </c>
      <c r="D742" s="14">
        <v>28.8</v>
      </c>
    </row>
    <row r="743" spans="1:4" x14ac:dyDescent="0.35">
      <c r="A743" s="13">
        <v>46270</v>
      </c>
      <c r="B743" t="s">
        <v>77</v>
      </c>
      <c r="C743" t="s">
        <v>222</v>
      </c>
      <c r="D743" s="14">
        <v>13.1</v>
      </c>
    </row>
    <row r="744" spans="1:4" x14ac:dyDescent="0.35">
      <c r="A744" s="13">
        <v>46270</v>
      </c>
      <c r="B744" t="s">
        <v>77</v>
      </c>
      <c r="C744" t="s">
        <v>223</v>
      </c>
      <c r="D744" s="14">
        <v>18.899999999999999</v>
      </c>
    </row>
    <row r="745" spans="1:4" x14ac:dyDescent="0.35">
      <c r="A745" s="13">
        <v>46270</v>
      </c>
      <c r="B745" t="s">
        <v>77</v>
      </c>
      <c r="C745" t="s">
        <v>224</v>
      </c>
      <c r="D745" s="14">
        <v>13.5</v>
      </c>
    </row>
    <row r="746" spans="1:4" x14ac:dyDescent="0.35">
      <c r="A746" s="13">
        <v>46270</v>
      </c>
      <c r="B746" t="s">
        <v>77</v>
      </c>
      <c r="C746" t="s">
        <v>225</v>
      </c>
      <c r="D746" s="14">
        <v>11.2</v>
      </c>
    </row>
    <row r="747" spans="1:4" x14ac:dyDescent="0.35">
      <c r="A747" s="13">
        <v>46270</v>
      </c>
      <c r="B747" t="s">
        <v>77</v>
      </c>
      <c r="C747" t="s">
        <v>226</v>
      </c>
      <c r="D747" s="14">
        <v>18.8</v>
      </c>
    </row>
    <row r="748" spans="1:4" x14ac:dyDescent="0.35">
      <c r="A748" s="13">
        <v>46270</v>
      </c>
      <c r="B748" t="s">
        <v>77</v>
      </c>
      <c r="C748" t="s">
        <v>227</v>
      </c>
      <c r="D748" s="14">
        <v>14.5</v>
      </c>
    </row>
    <row r="749" spans="1:4" x14ac:dyDescent="0.35">
      <c r="A749" s="13">
        <v>46270</v>
      </c>
      <c r="B749" t="s">
        <v>77</v>
      </c>
      <c r="C749" t="s">
        <v>228</v>
      </c>
      <c r="D749" s="14">
        <v>22.5</v>
      </c>
    </row>
    <row r="750" spans="1:4" x14ac:dyDescent="0.35">
      <c r="A750" s="13">
        <v>46270</v>
      </c>
      <c r="B750" t="s">
        <v>77</v>
      </c>
      <c r="C750" t="s">
        <v>229</v>
      </c>
      <c r="D750" s="14">
        <v>7.4</v>
      </c>
    </row>
    <row r="751" spans="1:4" x14ac:dyDescent="0.35">
      <c r="A751" s="13">
        <v>46270</v>
      </c>
      <c r="B751" t="s">
        <v>77</v>
      </c>
      <c r="C751" t="s">
        <v>230</v>
      </c>
      <c r="D751" s="14">
        <v>8.6</v>
      </c>
    </row>
    <row r="752" spans="1:4" x14ac:dyDescent="0.35">
      <c r="A752" s="13">
        <v>46270</v>
      </c>
      <c r="B752" t="s">
        <v>80</v>
      </c>
      <c r="C752" t="s">
        <v>231</v>
      </c>
      <c r="D752" s="14">
        <v>14.3</v>
      </c>
    </row>
    <row r="753" spans="1:4" x14ac:dyDescent="0.35">
      <c r="A753" s="13">
        <v>46270</v>
      </c>
      <c r="B753" t="s">
        <v>80</v>
      </c>
      <c r="C753" t="s">
        <v>232</v>
      </c>
      <c r="D753" s="14">
        <v>21.8</v>
      </c>
    </row>
    <row r="754" spans="1:4" x14ac:dyDescent="0.35">
      <c r="A754" s="13">
        <v>46270</v>
      </c>
      <c r="B754" t="s">
        <v>80</v>
      </c>
      <c r="C754" t="s">
        <v>233</v>
      </c>
      <c r="D754" s="14">
        <v>11.3</v>
      </c>
    </row>
    <row r="755" spans="1:4" x14ac:dyDescent="0.35">
      <c r="A755" s="13">
        <v>46270</v>
      </c>
      <c r="B755" t="s">
        <v>80</v>
      </c>
      <c r="C755" t="s">
        <v>234</v>
      </c>
      <c r="D755" s="14">
        <v>7.6</v>
      </c>
    </row>
    <row r="756" spans="1:4" x14ac:dyDescent="0.35">
      <c r="A756" s="13">
        <v>46270</v>
      </c>
      <c r="B756" t="s">
        <v>80</v>
      </c>
      <c r="C756" t="s">
        <v>235</v>
      </c>
      <c r="D756" s="14">
        <v>17.100000000000001</v>
      </c>
    </row>
    <row r="757" spans="1:4" x14ac:dyDescent="0.35">
      <c r="A757" s="13">
        <v>46270</v>
      </c>
      <c r="B757" t="s">
        <v>80</v>
      </c>
      <c r="C757" t="s">
        <v>236</v>
      </c>
      <c r="D757" s="14">
        <v>18.8</v>
      </c>
    </row>
    <row r="758" spans="1:4" x14ac:dyDescent="0.35">
      <c r="A758" s="13">
        <v>46270</v>
      </c>
      <c r="B758" t="s">
        <v>80</v>
      </c>
      <c r="C758" t="s">
        <v>237</v>
      </c>
      <c r="D758" s="14">
        <v>12.9</v>
      </c>
    </row>
    <row r="759" spans="1:4" x14ac:dyDescent="0.35">
      <c r="A759" s="13">
        <v>46270</v>
      </c>
      <c r="B759" t="s">
        <v>80</v>
      </c>
      <c r="C759" t="s">
        <v>238</v>
      </c>
      <c r="D759" s="14">
        <v>17.2</v>
      </c>
    </row>
    <row r="760" spans="1:4" x14ac:dyDescent="0.35">
      <c r="A760" s="13">
        <v>46270</v>
      </c>
      <c r="B760" t="s">
        <v>80</v>
      </c>
      <c r="C760" t="s">
        <v>239</v>
      </c>
      <c r="D760" s="14">
        <v>8.6999999999999993</v>
      </c>
    </row>
    <row r="761" spans="1:4" x14ac:dyDescent="0.35">
      <c r="A761" s="13">
        <v>46270</v>
      </c>
      <c r="B761" t="s">
        <v>80</v>
      </c>
      <c r="C761" t="s">
        <v>240</v>
      </c>
      <c r="D761" s="14">
        <v>19</v>
      </c>
    </row>
    <row r="762" spans="1:4" x14ac:dyDescent="0.35">
      <c r="A762" s="13">
        <v>46270</v>
      </c>
      <c r="B762" t="s">
        <v>80</v>
      </c>
      <c r="C762" t="s">
        <v>241</v>
      </c>
      <c r="D762" s="14">
        <v>12</v>
      </c>
    </row>
    <row r="763" spans="1:4" x14ac:dyDescent="0.35">
      <c r="A763" s="13">
        <v>46270</v>
      </c>
      <c r="B763" t="s">
        <v>80</v>
      </c>
      <c r="C763" t="s">
        <v>242</v>
      </c>
      <c r="D763" s="14">
        <v>27.4</v>
      </c>
    </row>
    <row r="764" spans="1:4" x14ac:dyDescent="0.35">
      <c r="A764" s="13">
        <v>46270</v>
      </c>
      <c r="B764" t="s">
        <v>80</v>
      </c>
      <c r="C764" t="s">
        <v>243</v>
      </c>
      <c r="D764" s="14">
        <v>21.8</v>
      </c>
    </row>
    <row r="765" spans="1:4" x14ac:dyDescent="0.35">
      <c r="A765" s="13">
        <v>46270</v>
      </c>
      <c r="B765" t="s">
        <v>80</v>
      </c>
      <c r="C765" t="s">
        <v>244</v>
      </c>
      <c r="D765" s="14">
        <v>15.1</v>
      </c>
    </row>
    <row r="766" spans="1:4" x14ac:dyDescent="0.35">
      <c r="A766" s="13">
        <v>46270</v>
      </c>
      <c r="B766" t="s">
        <v>80</v>
      </c>
      <c r="C766" t="s">
        <v>245</v>
      </c>
      <c r="D766" s="14">
        <v>14.4</v>
      </c>
    </row>
    <row r="767" spans="1:4" x14ac:dyDescent="0.35">
      <c r="A767" s="13">
        <v>46270</v>
      </c>
      <c r="B767" t="s">
        <v>80</v>
      </c>
      <c r="C767" t="s">
        <v>246</v>
      </c>
      <c r="D767" s="14">
        <v>15</v>
      </c>
    </row>
    <row r="768" spans="1:4" x14ac:dyDescent="0.35">
      <c r="A768" s="13">
        <v>46270</v>
      </c>
      <c r="B768" t="s">
        <v>80</v>
      </c>
      <c r="C768" t="s">
        <v>247</v>
      </c>
      <c r="D768" s="14">
        <v>26.4</v>
      </c>
    </row>
    <row r="769" spans="1:4" x14ac:dyDescent="0.35">
      <c r="A769" s="13">
        <v>46270</v>
      </c>
      <c r="B769" t="s">
        <v>82</v>
      </c>
      <c r="C769" t="s">
        <v>248</v>
      </c>
      <c r="D769" s="14">
        <v>21.5</v>
      </c>
    </row>
    <row r="770" spans="1:4" x14ac:dyDescent="0.35">
      <c r="A770" s="13">
        <v>46270</v>
      </c>
      <c r="B770" t="s">
        <v>82</v>
      </c>
      <c r="C770" t="s">
        <v>249</v>
      </c>
      <c r="D770" s="14">
        <v>9.6</v>
      </c>
    </row>
    <row r="771" spans="1:4" x14ac:dyDescent="0.35">
      <c r="A771" s="13">
        <v>46270</v>
      </c>
      <c r="B771" t="s">
        <v>82</v>
      </c>
      <c r="C771" t="s">
        <v>250</v>
      </c>
      <c r="D771" s="14">
        <v>15.2</v>
      </c>
    </row>
    <row r="772" spans="1:4" x14ac:dyDescent="0.35">
      <c r="A772" s="13">
        <v>46270</v>
      </c>
      <c r="B772" t="s">
        <v>82</v>
      </c>
      <c r="C772" t="s">
        <v>251</v>
      </c>
      <c r="D772" s="14">
        <v>10.7</v>
      </c>
    </row>
    <row r="773" spans="1:4" x14ac:dyDescent="0.35">
      <c r="A773" s="13">
        <v>46270</v>
      </c>
      <c r="B773" t="s">
        <v>82</v>
      </c>
      <c r="C773" t="s">
        <v>252</v>
      </c>
      <c r="D773" s="14">
        <v>9.6</v>
      </c>
    </row>
    <row r="774" spans="1:4" x14ac:dyDescent="0.35">
      <c r="A774" s="13">
        <v>46270</v>
      </c>
      <c r="B774" t="s">
        <v>82</v>
      </c>
      <c r="C774" t="s">
        <v>253</v>
      </c>
      <c r="D774" s="14">
        <v>16.100000000000001</v>
      </c>
    </row>
    <row r="775" spans="1:4" x14ac:dyDescent="0.35">
      <c r="A775" s="13">
        <v>46270</v>
      </c>
      <c r="B775" t="s">
        <v>82</v>
      </c>
      <c r="C775" t="s">
        <v>254</v>
      </c>
      <c r="D775" s="14">
        <v>8</v>
      </c>
    </row>
    <row r="776" spans="1:4" x14ac:dyDescent="0.35">
      <c r="A776" s="13">
        <v>46270</v>
      </c>
      <c r="B776" t="s">
        <v>82</v>
      </c>
      <c r="C776" t="s">
        <v>255</v>
      </c>
      <c r="D776" s="14">
        <v>9.8000000000000007</v>
      </c>
    </row>
    <row r="777" spans="1:4" x14ac:dyDescent="0.35">
      <c r="A777" s="13">
        <v>46270</v>
      </c>
      <c r="B777" t="s">
        <v>82</v>
      </c>
      <c r="C777" t="s">
        <v>256</v>
      </c>
      <c r="D777" s="14">
        <v>17.3</v>
      </c>
    </row>
    <row r="778" spans="1:4" x14ac:dyDescent="0.35">
      <c r="A778" s="13">
        <v>46270</v>
      </c>
      <c r="B778" t="s">
        <v>82</v>
      </c>
      <c r="C778" t="s">
        <v>257</v>
      </c>
      <c r="D778" s="14">
        <v>15.6</v>
      </c>
    </row>
    <row r="779" spans="1:4" x14ac:dyDescent="0.35">
      <c r="A779" s="13">
        <v>46270</v>
      </c>
      <c r="B779" t="s">
        <v>82</v>
      </c>
      <c r="C779" t="s">
        <v>258</v>
      </c>
      <c r="D779" s="14">
        <v>22.2</v>
      </c>
    </row>
    <row r="780" spans="1:4" x14ac:dyDescent="0.35">
      <c r="A780" s="13">
        <v>46270</v>
      </c>
      <c r="B780" t="s">
        <v>82</v>
      </c>
      <c r="C780" t="s">
        <v>259</v>
      </c>
      <c r="D780" s="14">
        <v>10.5</v>
      </c>
    </row>
    <row r="781" spans="1:4" x14ac:dyDescent="0.35">
      <c r="A781" s="13">
        <v>46270</v>
      </c>
      <c r="B781" t="s">
        <v>82</v>
      </c>
      <c r="C781" t="s">
        <v>260</v>
      </c>
      <c r="D781" s="14">
        <v>10.6</v>
      </c>
    </row>
    <row r="782" spans="1:4" x14ac:dyDescent="0.35">
      <c r="A782" s="13">
        <v>46270</v>
      </c>
      <c r="B782" t="s">
        <v>82</v>
      </c>
      <c r="C782" t="s">
        <v>261</v>
      </c>
      <c r="D782" s="14">
        <v>15.4</v>
      </c>
    </row>
    <row r="783" spans="1:4" x14ac:dyDescent="0.35">
      <c r="A783" s="13">
        <v>46270</v>
      </c>
      <c r="B783" t="s">
        <v>82</v>
      </c>
      <c r="C783" t="s">
        <v>262</v>
      </c>
      <c r="D783" s="14">
        <v>21</v>
      </c>
    </row>
    <row r="784" spans="1:4" x14ac:dyDescent="0.35">
      <c r="A784" s="13">
        <v>46270</v>
      </c>
      <c r="B784" t="s">
        <v>82</v>
      </c>
      <c r="C784" t="s">
        <v>263</v>
      </c>
      <c r="D784" s="14">
        <v>9.3000000000000007</v>
      </c>
    </row>
    <row r="785" spans="1:4" x14ac:dyDescent="0.35">
      <c r="A785" s="13">
        <v>46270</v>
      </c>
      <c r="B785" t="s">
        <v>82</v>
      </c>
      <c r="C785" t="s">
        <v>264</v>
      </c>
      <c r="D785" s="14">
        <v>23.4</v>
      </c>
    </row>
    <row r="786" spans="1:4" x14ac:dyDescent="0.35">
      <c r="A786" s="13">
        <v>46270</v>
      </c>
      <c r="B786" t="s">
        <v>82</v>
      </c>
      <c r="C786" t="s">
        <v>265</v>
      </c>
      <c r="D786" s="14">
        <v>16</v>
      </c>
    </row>
    <row r="787" spans="1:4" x14ac:dyDescent="0.35">
      <c r="A787" s="13">
        <v>46270</v>
      </c>
      <c r="B787" t="s">
        <v>85</v>
      </c>
      <c r="C787" t="s">
        <v>266</v>
      </c>
      <c r="D787" s="14">
        <v>10.8</v>
      </c>
    </row>
    <row r="788" spans="1:4" x14ac:dyDescent="0.35">
      <c r="A788" s="13">
        <v>46270</v>
      </c>
      <c r="B788" t="s">
        <v>85</v>
      </c>
      <c r="C788" t="s">
        <v>267</v>
      </c>
      <c r="D788" s="14">
        <v>6.7</v>
      </c>
    </row>
    <row r="789" spans="1:4" x14ac:dyDescent="0.35">
      <c r="A789" s="13">
        <v>46270</v>
      </c>
      <c r="B789" t="s">
        <v>85</v>
      </c>
      <c r="C789" t="s">
        <v>268</v>
      </c>
      <c r="D789" s="14">
        <v>21.2</v>
      </c>
    </row>
    <row r="790" spans="1:4" x14ac:dyDescent="0.35">
      <c r="A790" s="13">
        <v>46270</v>
      </c>
      <c r="B790" t="s">
        <v>85</v>
      </c>
      <c r="C790" t="s">
        <v>269</v>
      </c>
      <c r="D790" s="14">
        <v>21.5</v>
      </c>
    </row>
    <row r="791" spans="1:4" x14ac:dyDescent="0.35">
      <c r="A791" s="13">
        <v>46270</v>
      </c>
      <c r="B791" t="s">
        <v>85</v>
      </c>
      <c r="C791" t="s">
        <v>270</v>
      </c>
      <c r="D791" s="14">
        <v>17.8</v>
      </c>
    </row>
    <row r="792" spans="1:4" x14ac:dyDescent="0.35">
      <c r="A792" s="13">
        <v>46270</v>
      </c>
      <c r="B792" t="s">
        <v>85</v>
      </c>
      <c r="C792" t="s">
        <v>271</v>
      </c>
      <c r="D792" s="14">
        <v>13</v>
      </c>
    </row>
    <row r="793" spans="1:4" x14ac:dyDescent="0.35">
      <c r="A793" s="13">
        <v>46270</v>
      </c>
      <c r="B793" t="s">
        <v>85</v>
      </c>
      <c r="C793" t="s">
        <v>272</v>
      </c>
      <c r="D793" s="14">
        <v>18</v>
      </c>
    </row>
    <row r="794" spans="1:4" x14ac:dyDescent="0.35">
      <c r="A794" s="13">
        <v>46270</v>
      </c>
      <c r="B794" t="s">
        <v>85</v>
      </c>
      <c r="C794" t="s">
        <v>273</v>
      </c>
      <c r="D794" s="14">
        <v>8.9</v>
      </c>
    </row>
    <row r="795" spans="1:4" x14ac:dyDescent="0.35">
      <c r="A795" s="13">
        <v>46270</v>
      </c>
      <c r="B795" t="s">
        <v>85</v>
      </c>
      <c r="C795" t="s">
        <v>274</v>
      </c>
      <c r="D795" s="14">
        <v>8.4</v>
      </c>
    </row>
    <row r="796" spans="1:4" x14ac:dyDescent="0.35">
      <c r="A796" s="13">
        <v>46270</v>
      </c>
      <c r="B796" t="s">
        <v>85</v>
      </c>
      <c r="C796" t="s">
        <v>275</v>
      </c>
      <c r="D796" s="14">
        <v>16.5</v>
      </c>
    </row>
    <row r="797" spans="1:4" x14ac:dyDescent="0.35">
      <c r="A797" s="13">
        <v>46270</v>
      </c>
      <c r="B797" t="s">
        <v>85</v>
      </c>
      <c r="C797" t="s">
        <v>276</v>
      </c>
      <c r="D797" s="14">
        <v>11.1</v>
      </c>
    </row>
    <row r="798" spans="1:4" x14ac:dyDescent="0.35">
      <c r="A798" s="13">
        <v>46270</v>
      </c>
      <c r="B798" t="s">
        <v>85</v>
      </c>
      <c r="C798" t="s">
        <v>277</v>
      </c>
      <c r="D798" s="14">
        <v>13.6</v>
      </c>
    </row>
    <row r="799" spans="1:4" x14ac:dyDescent="0.35">
      <c r="A799" s="13">
        <v>46270</v>
      </c>
      <c r="B799" t="s">
        <v>85</v>
      </c>
      <c r="C799" t="s">
        <v>278</v>
      </c>
      <c r="D799" s="14">
        <v>16.100000000000001</v>
      </c>
    </row>
    <row r="800" spans="1:4" x14ac:dyDescent="0.35">
      <c r="A800" s="13">
        <v>46270</v>
      </c>
      <c r="B800" t="s">
        <v>85</v>
      </c>
      <c r="C800" t="s">
        <v>279</v>
      </c>
      <c r="D800" s="14">
        <v>10.9</v>
      </c>
    </row>
    <row r="801" spans="1:4" x14ac:dyDescent="0.35">
      <c r="A801" s="13">
        <v>46270</v>
      </c>
      <c r="B801" t="s">
        <v>85</v>
      </c>
      <c r="C801" t="s">
        <v>280</v>
      </c>
      <c r="D801" s="14">
        <v>14.5</v>
      </c>
    </row>
    <row r="802" spans="1:4" x14ac:dyDescent="0.35">
      <c r="A802" s="13">
        <v>46270</v>
      </c>
      <c r="B802" t="s">
        <v>85</v>
      </c>
      <c r="C802" t="s">
        <v>281</v>
      </c>
      <c r="D802" s="14">
        <v>11.8</v>
      </c>
    </row>
    <row r="803" spans="1:4" x14ac:dyDescent="0.35">
      <c r="A803" s="13">
        <v>46270</v>
      </c>
      <c r="B803" t="s">
        <v>87</v>
      </c>
      <c r="C803" t="s">
        <v>282</v>
      </c>
      <c r="D803" s="14">
        <v>7.5</v>
      </c>
    </row>
    <row r="804" spans="1:4" x14ac:dyDescent="0.35">
      <c r="A804" s="13">
        <v>46270</v>
      </c>
      <c r="B804" t="s">
        <v>87</v>
      </c>
      <c r="C804" t="s">
        <v>283</v>
      </c>
      <c r="D804" s="14">
        <v>14.1</v>
      </c>
    </row>
    <row r="805" spans="1:4" x14ac:dyDescent="0.35">
      <c r="A805" s="13">
        <v>46270</v>
      </c>
      <c r="B805" t="s">
        <v>87</v>
      </c>
      <c r="C805" t="s">
        <v>284</v>
      </c>
      <c r="D805" s="14">
        <v>12.1</v>
      </c>
    </row>
    <row r="806" spans="1:4" x14ac:dyDescent="0.35">
      <c r="A806" s="13">
        <v>46270</v>
      </c>
      <c r="B806" t="s">
        <v>87</v>
      </c>
      <c r="C806" t="s">
        <v>285</v>
      </c>
      <c r="D806" s="14">
        <v>17.5</v>
      </c>
    </row>
    <row r="807" spans="1:4" x14ac:dyDescent="0.35">
      <c r="A807" s="13">
        <v>46270</v>
      </c>
      <c r="B807" t="s">
        <v>87</v>
      </c>
      <c r="C807" t="s">
        <v>286</v>
      </c>
      <c r="D807" s="14">
        <v>12.6</v>
      </c>
    </row>
    <row r="808" spans="1:4" x14ac:dyDescent="0.35">
      <c r="A808" s="13">
        <v>46270</v>
      </c>
      <c r="B808" t="s">
        <v>87</v>
      </c>
      <c r="C808" t="s">
        <v>287</v>
      </c>
      <c r="D808" s="14">
        <v>16.2</v>
      </c>
    </row>
    <row r="809" spans="1:4" x14ac:dyDescent="0.35">
      <c r="A809" s="13">
        <v>46270</v>
      </c>
      <c r="B809" t="s">
        <v>87</v>
      </c>
      <c r="C809" t="s">
        <v>288</v>
      </c>
      <c r="D809" s="14">
        <v>10.3</v>
      </c>
    </row>
    <row r="810" spans="1:4" x14ac:dyDescent="0.35">
      <c r="A810" s="13">
        <v>46270</v>
      </c>
      <c r="B810" t="s">
        <v>87</v>
      </c>
      <c r="C810" t="s">
        <v>289</v>
      </c>
      <c r="D810" s="14">
        <v>11.1</v>
      </c>
    </row>
    <row r="811" spans="1:4" x14ac:dyDescent="0.35">
      <c r="A811" s="13">
        <v>46270</v>
      </c>
      <c r="B811" t="s">
        <v>87</v>
      </c>
      <c r="C811" t="s">
        <v>290</v>
      </c>
      <c r="D811" s="14">
        <v>16.7</v>
      </c>
    </row>
    <row r="812" spans="1:4" x14ac:dyDescent="0.35">
      <c r="A812" s="13">
        <v>46270</v>
      </c>
      <c r="B812" t="s">
        <v>87</v>
      </c>
      <c r="C812" t="s">
        <v>291</v>
      </c>
      <c r="D812" s="14">
        <v>12.9</v>
      </c>
    </row>
    <row r="813" spans="1:4" x14ac:dyDescent="0.35">
      <c r="A813" s="13">
        <v>46270</v>
      </c>
      <c r="B813" t="s">
        <v>87</v>
      </c>
      <c r="C813" t="s">
        <v>292</v>
      </c>
      <c r="D813" s="14">
        <v>10.8</v>
      </c>
    </row>
    <row r="814" spans="1:4" x14ac:dyDescent="0.35">
      <c r="A814" s="13">
        <v>46270</v>
      </c>
      <c r="B814" t="s">
        <v>87</v>
      </c>
      <c r="C814" t="s">
        <v>293</v>
      </c>
      <c r="D814" s="14">
        <v>10</v>
      </c>
    </row>
    <row r="815" spans="1:4" x14ac:dyDescent="0.35">
      <c r="A815" s="13">
        <v>46270</v>
      </c>
      <c r="B815" t="s">
        <v>87</v>
      </c>
      <c r="C815" t="s">
        <v>294</v>
      </c>
      <c r="D815" s="14">
        <v>9.9</v>
      </c>
    </row>
    <row r="816" spans="1:4" x14ac:dyDescent="0.35">
      <c r="A816" s="13">
        <v>46270</v>
      </c>
      <c r="B816" t="s">
        <v>87</v>
      </c>
      <c r="C816" t="s">
        <v>295</v>
      </c>
      <c r="D816" s="14">
        <v>12.3</v>
      </c>
    </row>
    <row r="817" spans="1:4" x14ac:dyDescent="0.35">
      <c r="A817" s="13">
        <v>46270</v>
      </c>
      <c r="B817" t="s">
        <v>87</v>
      </c>
      <c r="C817" t="s">
        <v>296</v>
      </c>
      <c r="D817" s="14">
        <v>18.600000000000001</v>
      </c>
    </row>
    <row r="818" spans="1:4" x14ac:dyDescent="0.35">
      <c r="A818" s="13">
        <v>46270</v>
      </c>
      <c r="B818" t="s">
        <v>87</v>
      </c>
      <c r="C818" t="s">
        <v>297</v>
      </c>
      <c r="D818" s="14">
        <v>13.5</v>
      </c>
    </row>
    <row r="819" spans="1:4" x14ac:dyDescent="0.35">
      <c r="A819" s="13">
        <v>46270</v>
      </c>
      <c r="B819" t="s">
        <v>77</v>
      </c>
      <c r="C819" t="s">
        <v>298</v>
      </c>
      <c r="D819" s="14">
        <v>0</v>
      </c>
    </row>
    <row r="820" spans="1:4" x14ac:dyDescent="0.35">
      <c r="A820" s="13">
        <v>46270</v>
      </c>
      <c r="B820" t="s">
        <v>85</v>
      </c>
      <c r="C820" t="s">
        <v>299</v>
      </c>
      <c r="D820" s="14">
        <v>0</v>
      </c>
    </row>
    <row r="821" spans="1:4" x14ac:dyDescent="0.35">
      <c r="A821" s="13">
        <v>46277</v>
      </c>
      <c r="B821" t="s">
        <v>70</v>
      </c>
      <c r="C821" t="s">
        <v>155</v>
      </c>
      <c r="D821" s="14">
        <v>24.3</v>
      </c>
    </row>
    <row r="822" spans="1:4" x14ac:dyDescent="0.35">
      <c r="A822" s="13">
        <v>46277</v>
      </c>
      <c r="B822" t="s">
        <v>70</v>
      </c>
      <c r="C822" t="s">
        <v>158</v>
      </c>
      <c r="D822" s="14">
        <v>21</v>
      </c>
    </row>
    <row r="823" spans="1:4" x14ac:dyDescent="0.35">
      <c r="A823" s="13">
        <v>46277</v>
      </c>
      <c r="B823" t="s">
        <v>70</v>
      </c>
      <c r="C823" t="s">
        <v>159</v>
      </c>
      <c r="D823" s="14">
        <v>16</v>
      </c>
    </row>
    <row r="824" spans="1:4" x14ac:dyDescent="0.35">
      <c r="A824" s="13">
        <v>46277</v>
      </c>
      <c r="B824" t="s">
        <v>70</v>
      </c>
      <c r="C824" t="s">
        <v>162</v>
      </c>
      <c r="D824" s="14">
        <v>23</v>
      </c>
    </row>
    <row r="825" spans="1:4" x14ac:dyDescent="0.35">
      <c r="A825" s="13">
        <v>46277</v>
      </c>
      <c r="B825" t="s">
        <v>70</v>
      </c>
      <c r="C825" t="s">
        <v>164</v>
      </c>
      <c r="D825" s="14">
        <v>10</v>
      </c>
    </row>
    <row r="826" spans="1:4" x14ac:dyDescent="0.35">
      <c r="A826" s="13">
        <v>46277</v>
      </c>
      <c r="B826" t="s">
        <v>70</v>
      </c>
      <c r="C826" t="s">
        <v>167</v>
      </c>
      <c r="D826" s="14">
        <v>12.9</v>
      </c>
    </row>
    <row r="827" spans="1:4" x14ac:dyDescent="0.35">
      <c r="A827" s="13">
        <v>46277</v>
      </c>
      <c r="B827" t="s">
        <v>70</v>
      </c>
      <c r="C827" t="s">
        <v>169</v>
      </c>
      <c r="D827" s="14">
        <v>9.6999999999999993</v>
      </c>
    </row>
    <row r="828" spans="1:4" x14ac:dyDescent="0.35">
      <c r="A828" s="13">
        <v>46277</v>
      </c>
      <c r="B828" t="s">
        <v>70</v>
      </c>
      <c r="C828" t="s">
        <v>170</v>
      </c>
      <c r="D828" s="14">
        <v>19</v>
      </c>
    </row>
    <row r="829" spans="1:4" x14ac:dyDescent="0.35">
      <c r="A829" s="13">
        <v>46277</v>
      </c>
      <c r="B829" t="s">
        <v>70</v>
      </c>
      <c r="C829" t="s">
        <v>171</v>
      </c>
      <c r="D829" s="14">
        <v>15.1</v>
      </c>
    </row>
    <row r="830" spans="1:4" x14ac:dyDescent="0.35">
      <c r="A830" s="13">
        <v>46277</v>
      </c>
      <c r="B830" t="s">
        <v>70</v>
      </c>
      <c r="C830" t="s">
        <v>172</v>
      </c>
      <c r="D830" s="14">
        <v>9.8000000000000007</v>
      </c>
    </row>
    <row r="831" spans="1:4" x14ac:dyDescent="0.35">
      <c r="A831" s="13">
        <v>46277</v>
      </c>
      <c r="B831" t="s">
        <v>70</v>
      </c>
      <c r="C831" t="s">
        <v>173</v>
      </c>
      <c r="D831" s="14">
        <v>17.8</v>
      </c>
    </row>
    <row r="832" spans="1:4" x14ac:dyDescent="0.35">
      <c r="A832" s="13">
        <v>46277</v>
      </c>
      <c r="B832" t="s">
        <v>70</v>
      </c>
      <c r="C832" t="s">
        <v>174</v>
      </c>
      <c r="D832" s="14">
        <v>21.6</v>
      </c>
    </row>
    <row r="833" spans="1:4" x14ac:dyDescent="0.35">
      <c r="A833" s="13">
        <v>46277</v>
      </c>
      <c r="B833" t="s">
        <v>70</v>
      </c>
      <c r="C833" t="s">
        <v>175</v>
      </c>
      <c r="D833" s="14">
        <v>14.9</v>
      </c>
    </row>
    <row r="834" spans="1:4" x14ac:dyDescent="0.35">
      <c r="A834" s="13">
        <v>46277</v>
      </c>
      <c r="B834" t="s">
        <v>70</v>
      </c>
      <c r="C834" t="s">
        <v>176</v>
      </c>
      <c r="D834" s="14">
        <v>11.6</v>
      </c>
    </row>
    <row r="835" spans="1:4" x14ac:dyDescent="0.35">
      <c r="A835" s="13">
        <v>46277</v>
      </c>
      <c r="B835" t="s">
        <v>73</v>
      </c>
      <c r="C835" t="s">
        <v>177</v>
      </c>
      <c r="D835" s="14">
        <v>11.9</v>
      </c>
    </row>
    <row r="836" spans="1:4" x14ac:dyDescent="0.35">
      <c r="A836" s="13">
        <v>46277</v>
      </c>
      <c r="B836" t="s">
        <v>73</v>
      </c>
      <c r="C836" t="s">
        <v>178</v>
      </c>
      <c r="D836" s="14">
        <v>10.3</v>
      </c>
    </row>
    <row r="837" spans="1:4" x14ac:dyDescent="0.35">
      <c r="A837" s="13">
        <v>46277</v>
      </c>
      <c r="B837" t="s">
        <v>73</v>
      </c>
      <c r="C837" t="s">
        <v>179</v>
      </c>
      <c r="D837" s="14">
        <v>15.3</v>
      </c>
    </row>
    <row r="838" spans="1:4" x14ac:dyDescent="0.35">
      <c r="A838" s="13">
        <v>46277</v>
      </c>
      <c r="B838" t="s">
        <v>73</v>
      </c>
      <c r="C838" t="s">
        <v>180</v>
      </c>
      <c r="D838" s="14">
        <v>8.6</v>
      </c>
    </row>
    <row r="839" spans="1:4" x14ac:dyDescent="0.35">
      <c r="A839" s="13">
        <v>46277</v>
      </c>
      <c r="B839" t="s">
        <v>73</v>
      </c>
      <c r="C839" t="s">
        <v>181</v>
      </c>
      <c r="D839" s="14">
        <v>9.8000000000000007</v>
      </c>
    </row>
    <row r="840" spans="1:4" x14ac:dyDescent="0.35">
      <c r="A840" s="13">
        <v>46277</v>
      </c>
      <c r="B840" t="s">
        <v>73</v>
      </c>
      <c r="C840" t="s">
        <v>182</v>
      </c>
      <c r="D840" s="14">
        <v>12.8</v>
      </c>
    </row>
    <row r="841" spans="1:4" x14ac:dyDescent="0.35">
      <c r="A841" s="13">
        <v>46277</v>
      </c>
      <c r="B841" t="s">
        <v>73</v>
      </c>
      <c r="C841" t="s">
        <v>183</v>
      </c>
      <c r="D841" s="14">
        <v>19.2</v>
      </c>
    </row>
    <row r="842" spans="1:4" x14ac:dyDescent="0.35">
      <c r="A842" s="13">
        <v>46277</v>
      </c>
      <c r="B842" t="s">
        <v>73</v>
      </c>
      <c r="C842" t="s">
        <v>184</v>
      </c>
      <c r="D842" s="14">
        <v>15.2</v>
      </c>
    </row>
    <row r="843" spans="1:4" x14ac:dyDescent="0.35">
      <c r="A843" s="13">
        <v>46277</v>
      </c>
      <c r="B843" t="s">
        <v>73</v>
      </c>
      <c r="C843" t="s">
        <v>185</v>
      </c>
      <c r="D843" s="14">
        <v>9.6</v>
      </c>
    </row>
    <row r="844" spans="1:4" x14ac:dyDescent="0.35">
      <c r="A844" s="13">
        <v>46277</v>
      </c>
      <c r="B844" t="s">
        <v>73</v>
      </c>
      <c r="C844" t="s">
        <v>186</v>
      </c>
      <c r="D844" s="14">
        <v>13.9</v>
      </c>
    </row>
    <row r="845" spans="1:4" x14ac:dyDescent="0.35">
      <c r="A845" s="13">
        <v>46277</v>
      </c>
      <c r="B845" t="s">
        <v>73</v>
      </c>
      <c r="C845" t="s">
        <v>187</v>
      </c>
      <c r="D845" s="14">
        <v>7.5</v>
      </c>
    </row>
    <row r="846" spans="1:4" x14ac:dyDescent="0.35">
      <c r="A846" s="13">
        <v>46277</v>
      </c>
      <c r="B846" t="s">
        <v>73</v>
      </c>
      <c r="C846" t="s">
        <v>189</v>
      </c>
      <c r="D846" s="14">
        <v>10.3</v>
      </c>
    </row>
    <row r="847" spans="1:4" x14ac:dyDescent="0.35">
      <c r="A847" s="13">
        <v>46277</v>
      </c>
      <c r="B847" t="s">
        <v>73</v>
      </c>
      <c r="C847" t="s">
        <v>190</v>
      </c>
      <c r="D847" s="14">
        <v>12</v>
      </c>
    </row>
    <row r="848" spans="1:4" x14ac:dyDescent="0.35">
      <c r="A848" s="13">
        <v>46277</v>
      </c>
      <c r="B848" t="s">
        <v>73</v>
      </c>
      <c r="C848" t="s">
        <v>191</v>
      </c>
      <c r="D848" s="14">
        <v>11.3</v>
      </c>
    </row>
    <row r="849" spans="1:4" x14ac:dyDescent="0.35">
      <c r="A849" s="13">
        <v>46277</v>
      </c>
      <c r="B849" t="s">
        <v>73</v>
      </c>
      <c r="C849" t="s">
        <v>192</v>
      </c>
      <c r="D849" s="14">
        <v>7.2</v>
      </c>
    </row>
    <row r="850" spans="1:4" x14ac:dyDescent="0.35">
      <c r="A850" s="13">
        <v>46277</v>
      </c>
      <c r="B850" t="s">
        <v>73</v>
      </c>
      <c r="C850" t="s">
        <v>193</v>
      </c>
      <c r="D850" s="14">
        <v>14.3</v>
      </c>
    </row>
    <row r="851" spans="1:4" x14ac:dyDescent="0.35">
      <c r="A851" s="13">
        <v>46277</v>
      </c>
      <c r="B851" t="s">
        <v>73</v>
      </c>
      <c r="C851" t="s">
        <v>194</v>
      </c>
      <c r="D851" s="14">
        <v>9.1999999999999993</v>
      </c>
    </row>
    <row r="852" spans="1:4" x14ac:dyDescent="0.35">
      <c r="A852" s="13">
        <v>46277</v>
      </c>
      <c r="B852" t="s">
        <v>73</v>
      </c>
      <c r="C852" t="s">
        <v>195</v>
      </c>
      <c r="D852" s="14">
        <v>14.5</v>
      </c>
    </row>
    <row r="853" spans="1:4" x14ac:dyDescent="0.35">
      <c r="A853" s="13">
        <v>46277</v>
      </c>
      <c r="B853" t="s">
        <v>73</v>
      </c>
      <c r="C853" t="s">
        <v>196</v>
      </c>
      <c r="D853" s="14">
        <v>7.8</v>
      </c>
    </row>
    <row r="854" spans="1:4" x14ac:dyDescent="0.35">
      <c r="A854" s="13">
        <v>46277</v>
      </c>
      <c r="B854" t="s">
        <v>3</v>
      </c>
      <c r="C854" t="s">
        <v>197</v>
      </c>
      <c r="D854" s="14">
        <v>12.8</v>
      </c>
    </row>
    <row r="855" spans="1:4" x14ac:dyDescent="0.35">
      <c r="A855" s="13">
        <v>46277</v>
      </c>
      <c r="B855" t="s">
        <v>3</v>
      </c>
      <c r="C855" t="s">
        <v>198</v>
      </c>
      <c r="D855" s="14">
        <v>11.3</v>
      </c>
    </row>
    <row r="856" spans="1:4" x14ac:dyDescent="0.35">
      <c r="A856" s="13">
        <v>46277</v>
      </c>
      <c r="B856" t="s">
        <v>3</v>
      </c>
      <c r="C856" t="s">
        <v>199</v>
      </c>
      <c r="D856" s="14">
        <v>17.5</v>
      </c>
    </row>
    <row r="857" spans="1:4" x14ac:dyDescent="0.35">
      <c r="A857" s="13">
        <v>46277</v>
      </c>
      <c r="B857" t="s">
        <v>3</v>
      </c>
      <c r="C857" t="s">
        <v>200</v>
      </c>
      <c r="D857" s="14">
        <v>12.6</v>
      </c>
    </row>
    <row r="858" spans="1:4" x14ac:dyDescent="0.35">
      <c r="A858" s="13">
        <v>46277</v>
      </c>
      <c r="B858" t="s">
        <v>3</v>
      </c>
      <c r="C858" t="s">
        <v>201</v>
      </c>
      <c r="D858" s="14">
        <v>20</v>
      </c>
    </row>
    <row r="859" spans="1:4" x14ac:dyDescent="0.35">
      <c r="A859" s="13">
        <v>46277</v>
      </c>
      <c r="B859" t="s">
        <v>3</v>
      </c>
      <c r="C859" t="s">
        <v>202</v>
      </c>
      <c r="D859" s="14">
        <v>8.1</v>
      </c>
    </row>
    <row r="860" spans="1:4" x14ac:dyDescent="0.35">
      <c r="A860" s="13">
        <v>46277</v>
      </c>
      <c r="B860" t="s">
        <v>3</v>
      </c>
      <c r="C860" t="s">
        <v>203</v>
      </c>
      <c r="D860" s="14">
        <v>13.7</v>
      </c>
    </row>
    <row r="861" spans="1:4" x14ac:dyDescent="0.35">
      <c r="A861" s="13">
        <v>46277</v>
      </c>
      <c r="B861" t="s">
        <v>3</v>
      </c>
      <c r="C861" t="s">
        <v>204</v>
      </c>
      <c r="D861" s="14">
        <v>7.8</v>
      </c>
    </row>
    <row r="862" spans="1:4" x14ac:dyDescent="0.35">
      <c r="A862" s="13">
        <v>46277</v>
      </c>
      <c r="B862" t="s">
        <v>3</v>
      </c>
      <c r="C862" t="s">
        <v>205</v>
      </c>
      <c r="D862" s="14">
        <v>22.3</v>
      </c>
    </row>
    <row r="863" spans="1:4" x14ac:dyDescent="0.35">
      <c r="A863" s="13">
        <v>46277</v>
      </c>
      <c r="B863" t="s">
        <v>3</v>
      </c>
      <c r="C863" t="s">
        <v>206</v>
      </c>
      <c r="D863" s="14">
        <v>21.1</v>
      </c>
    </row>
    <row r="864" spans="1:4" x14ac:dyDescent="0.35">
      <c r="A864" s="13">
        <v>46277</v>
      </c>
      <c r="B864" t="s">
        <v>3</v>
      </c>
      <c r="C864" t="s">
        <v>207</v>
      </c>
      <c r="D864" s="14">
        <v>21.3</v>
      </c>
    </row>
    <row r="865" spans="1:4" x14ac:dyDescent="0.35">
      <c r="A865" s="13">
        <v>46277</v>
      </c>
      <c r="B865" t="s">
        <v>3</v>
      </c>
      <c r="C865" t="s">
        <v>208</v>
      </c>
      <c r="D865" s="14">
        <v>20.6</v>
      </c>
    </row>
    <row r="866" spans="1:4" x14ac:dyDescent="0.35">
      <c r="A866" s="13">
        <v>46277</v>
      </c>
      <c r="B866" t="s">
        <v>3</v>
      </c>
      <c r="C866" t="s">
        <v>209</v>
      </c>
      <c r="D866" s="14">
        <v>19.5</v>
      </c>
    </row>
    <row r="867" spans="1:4" x14ac:dyDescent="0.35">
      <c r="A867" s="13">
        <v>46277</v>
      </c>
      <c r="B867" t="s">
        <v>3</v>
      </c>
      <c r="C867" t="s">
        <v>210</v>
      </c>
      <c r="D867" s="14">
        <v>12.4</v>
      </c>
    </row>
    <row r="868" spans="1:4" x14ac:dyDescent="0.35">
      <c r="A868" s="13">
        <v>46277</v>
      </c>
      <c r="B868" t="s">
        <v>3</v>
      </c>
      <c r="C868" t="s">
        <v>211</v>
      </c>
      <c r="D868" s="14">
        <v>13.7</v>
      </c>
    </row>
    <row r="869" spans="1:4" x14ac:dyDescent="0.35">
      <c r="A869" s="13">
        <v>46277</v>
      </c>
      <c r="B869" t="s">
        <v>3</v>
      </c>
      <c r="C869" t="s">
        <v>212</v>
      </c>
      <c r="D869" s="14">
        <v>19.2</v>
      </c>
    </row>
    <row r="870" spans="1:4" x14ac:dyDescent="0.35">
      <c r="A870" s="13">
        <v>46277</v>
      </c>
      <c r="B870" t="s">
        <v>3</v>
      </c>
      <c r="C870" t="s">
        <v>213</v>
      </c>
      <c r="D870" s="14">
        <v>11.1</v>
      </c>
    </row>
    <row r="871" spans="1:4" x14ac:dyDescent="0.35">
      <c r="A871" s="13">
        <v>46277</v>
      </c>
      <c r="B871" t="s">
        <v>3</v>
      </c>
      <c r="C871" t="s">
        <v>214</v>
      </c>
      <c r="D871" s="14">
        <v>13.3</v>
      </c>
    </row>
    <row r="872" spans="1:4" x14ac:dyDescent="0.35">
      <c r="A872" s="13">
        <v>46277</v>
      </c>
      <c r="B872" t="s">
        <v>3</v>
      </c>
      <c r="C872" t="s">
        <v>215</v>
      </c>
      <c r="D872" s="14">
        <v>9.6</v>
      </c>
    </row>
    <row r="873" spans="1:4" x14ac:dyDescent="0.35">
      <c r="A873" s="13">
        <v>46277</v>
      </c>
      <c r="B873" t="s">
        <v>77</v>
      </c>
      <c r="C873" t="s">
        <v>216</v>
      </c>
      <c r="D873" s="14">
        <v>12</v>
      </c>
    </row>
    <row r="874" spans="1:4" x14ac:dyDescent="0.35">
      <c r="A874" s="13">
        <v>46277</v>
      </c>
      <c r="B874" t="s">
        <v>77</v>
      </c>
      <c r="C874" t="s">
        <v>217</v>
      </c>
      <c r="D874" s="14">
        <v>13.6</v>
      </c>
    </row>
    <row r="875" spans="1:4" x14ac:dyDescent="0.35">
      <c r="A875" s="13">
        <v>46277</v>
      </c>
      <c r="B875" t="s">
        <v>77</v>
      </c>
      <c r="C875" t="s">
        <v>218</v>
      </c>
      <c r="D875" s="14">
        <v>13.7</v>
      </c>
    </row>
    <row r="876" spans="1:4" x14ac:dyDescent="0.35">
      <c r="A876" s="13">
        <v>46277</v>
      </c>
      <c r="B876" t="s">
        <v>77</v>
      </c>
      <c r="C876" t="s">
        <v>219</v>
      </c>
      <c r="D876" s="14">
        <v>7.8</v>
      </c>
    </row>
    <row r="877" spans="1:4" x14ac:dyDescent="0.35">
      <c r="A877" s="13">
        <v>46277</v>
      </c>
      <c r="B877" t="s">
        <v>77</v>
      </c>
      <c r="C877" t="s">
        <v>220</v>
      </c>
      <c r="D877" s="14">
        <v>11.8</v>
      </c>
    </row>
    <row r="878" spans="1:4" x14ac:dyDescent="0.35">
      <c r="A878" s="13">
        <v>46277</v>
      </c>
      <c r="B878" t="s">
        <v>77</v>
      </c>
      <c r="C878" t="s">
        <v>221</v>
      </c>
      <c r="D878" s="14">
        <v>28.4</v>
      </c>
    </row>
    <row r="879" spans="1:4" x14ac:dyDescent="0.35">
      <c r="A879" s="13">
        <v>46277</v>
      </c>
      <c r="B879" t="s">
        <v>77</v>
      </c>
      <c r="C879" t="s">
        <v>222</v>
      </c>
      <c r="D879" s="14">
        <v>12.9</v>
      </c>
    </row>
    <row r="880" spans="1:4" x14ac:dyDescent="0.35">
      <c r="A880" s="13">
        <v>46277</v>
      </c>
      <c r="B880" t="s">
        <v>77</v>
      </c>
      <c r="C880" t="s">
        <v>223</v>
      </c>
      <c r="D880" s="14">
        <v>18.600000000000001</v>
      </c>
    </row>
    <row r="881" spans="1:4" x14ac:dyDescent="0.35">
      <c r="A881" s="13">
        <v>46277</v>
      </c>
      <c r="B881" t="s">
        <v>77</v>
      </c>
      <c r="C881" t="s">
        <v>224</v>
      </c>
      <c r="D881" s="14">
        <v>13.3</v>
      </c>
    </row>
    <row r="882" spans="1:4" x14ac:dyDescent="0.35">
      <c r="A882" s="13">
        <v>46277</v>
      </c>
      <c r="B882" t="s">
        <v>77</v>
      </c>
      <c r="C882" t="s">
        <v>225</v>
      </c>
      <c r="D882" s="14">
        <v>11</v>
      </c>
    </row>
    <row r="883" spans="1:4" x14ac:dyDescent="0.35">
      <c r="A883" s="13">
        <v>46277</v>
      </c>
      <c r="B883" t="s">
        <v>77</v>
      </c>
      <c r="C883" t="s">
        <v>226</v>
      </c>
      <c r="D883" s="14">
        <v>18.5</v>
      </c>
    </row>
    <row r="884" spans="1:4" x14ac:dyDescent="0.35">
      <c r="A884" s="13">
        <v>46277</v>
      </c>
      <c r="B884" t="s">
        <v>77</v>
      </c>
      <c r="C884" t="s">
        <v>227</v>
      </c>
      <c r="D884" s="14">
        <v>14.3</v>
      </c>
    </row>
    <row r="885" spans="1:4" x14ac:dyDescent="0.35">
      <c r="A885" s="13">
        <v>46277</v>
      </c>
      <c r="B885" t="s">
        <v>77</v>
      </c>
      <c r="C885" t="s">
        <v>228</v>
      </c>
      <c r="D885" s="14">
        <v>22.1</v>
      </c>
    </row>
    <row r="886" spans="1:4" x14ac:dyDescent="0.35">
      <c r="A886" s="13">
        <v>46277</v>
      </c>
      <c r="B886" t="s">
        <v>77</v>
      </c>
      <c r="C886" t="s">
        <v>229</v>
      </c>
      <c r="D886" s="14">
        <v>7.3</v>
      </c>
    </row>
    <row r="887" spans="1:4" x14ac:dyDescent="0.35">
      <c r="A887" s="13">
        <v>46277</v>
      </c>
      <c r="B887" t="s">
        <v>77</v>
      </c>
      <c r="C887" t="s">
        <v>230</v>
      </c>
      <c r="D887" s="14">
        <v>8.5</v>
      </c>
    </row>
    <row r="888" spans="1:4" x14ac:dyDescent="0.35">
      <c r="A888" s="13">
        <v>46277</v>
      </c>
      <c r="B888" t="s">
        <v>80</v>
      </c>
      <c r="C888" t="s">
        <v>231</v>
      </c>
      <c r="D888" s="14">
        <v>14.2</v>
      </c>
    </row>
    <row r="889" spans="1:4" x14ac:dyDescent="0.35">
      <c r="A889" s="13">
        <v>46277</v>
      </c>
      <c r="B889" t="s">
        <v>80</v>
      </c>
      <c r="C889" t="s">
        <v>232</v>
      </c>
      <c r="D889" s="14">
        <v>21.6</v>
      </c>
    </row>
    <row r="890" spans="1:4" x14ac:dyDescent="0.35">
      <c r="A890" s="13">
        <v>46277</v>
      </c>
      <c r="B890" t="s">
        <v>80</v>
      </c>
      <c r="C890" t="s">
        <v>233</v>
      </c>
      <c r="D890" s="14">
        <v>11.1</v>
      </c>
    </row>
    <row r="891" spans="1:4" x14ac:dyDescent="0.35">
      <c r="A891" s="13">
        <v>46277</v>
      </c>
      <c r="B891" t="s">
        <v>80</v>
      </c>
      <c r="C891" t="s">
        <v>234</v>
      </c>
      <c r="D891" s="14">
        <v>7.5</v>
      </c>
    </row>
    <row r="892" spans="1:4" x14ac:dyDescent="0.35">
      <c r="A892" s="13">
        <v>46277</v>
      </c>
      <c r="B892" t="s">
        <v>80</v>
      </c>
      <c r="C892" t="s">
        <v>235</v>
      </c>
      <c r="D892" s="14">
        <v>16.899999999999999</v>
      </c>
    </row>
    <row r="893" spans="1:4" x14ac:dyDescent="0.35">
      <c r="A893" s="13">
        <v>46277</v>
      </c>
      <c r="B893" t="s">
        <v>80</v>
      </c>
      <c r="C893" t="s">
        <v>236</v>
      </c>
      <c r="D893" s="14">
        <v>18.600000000000001</v>
      </c>
    </row>
    <row r="894" spans="1:4" x14ac:dyDescent="0.35">
      <c r="A894" s="13">
        <v>46277</v>
      </c>
      <c r="B894" t="s">
        <v>80</v>
      </c>
      <c r="C894" t="s">
        <v>237</v>
      </c>
      <c r="D894" s="14">
        <v>12.8</v>
      </c>
    </row>
    <row r="895" spans="1:4" x14ac:dyDescent="0.35">
      <c r="A895" s="13">
        <v>46277</v>
      </c>
      <c r="B895" t="s">
        <v>80</v>
      </c>
      <c r="C895" t="s">
        <v>238</v>
      </c>
      <c r="D895" s="14">
        <v>17</v>
      </c>
    </row>
    <row r="896" spans="1:4" x14ac:dyDescent="0.35">
      <c r="A896" s="13">
        <v>46277</v>
      </c>
      <c r="B896" t="s">
        <v>80</v>
      </c>
      <c r="C896" t="s">
        <v>239</v>
      </c>
      <c r="D896" s="14">
        <v>8.6</v>
      </c>
    </row>
    <row r="897" spans="1:4" x14ac:dyDescent="0.35">
      <c r="A897" s="13">
        <v>46277</v>
      </c>
      <c r="B897" t="s">
        <v>80</v>
      </c>
      <c r="C897" t="s">
        <v>240</v>
      </c>
      <c r="D897" s="14">
        <v>18.8</v>
      </c>
    </row>
    <row r="898" spans="1:4" x14ac:dyDescent="0.35">
      <c r="A898" s="13">
        <v>46277</v>
      </c>
      <c r="B898" t="s">
        <v>80</v>
      </c>
      <c r="C898" t="s">
        <v>241</v>
      </c>
      <c r="D898" s="14">
        <v>11.9</v>
      </c>
    </row>
    <row r="899" spans="1:4" x14ac:dyDescent="0.35">
      <c r="A899" s="13">
        <v>46277</v>
      </c>
      <c r="B899" t="s">
        <v>80</v>
      </c>
      <c r="C899" t="s">
        <v>242</v>
      </c>
      <c r="D899" s="14">
        <v>27.1</v>
      </c>
    </row>
    <row r="900" spans="1:4" x14ac:dyDescent="0.35">
      <c r="A900" s="13">
        <v>46277</v>
      </c>
      <c r="B900" t="s">
        <v>80</v>
      </c>
      <c r="C900" t="s">
        <v>243</v>
      </c>
      <c r="D900" s="14">
        <v>21.6</v>
      </c>
    </row>
    <row r="901" spans="1:4" x14ac:dyDescent="0.35">
      <c r="A901" s="13">
        <v>46277</v>
      </c>
      <c r="B901" t="s">
        <v>80</v>
      </c>
      <c r="C901" t="s">
        <v>244</v>
      </c>
      <c r="D901" s="14">
        <v>15</v>
      </c>
    </row>
    <row r="902" spans="1:4" x14ac:dyDescent="0.35">
      <c r="A902" s="13">
        <v>46277</v>
      </c>
      <c r="B902" t="s">
        <v>80</v>
      </c>
      <c r="C902" t="s">
        <v>245</v>
      </c>
      <c r="D902" s="14">
        <v>14.2</v>
      </c>
    </row>
    <row r="903" spans="1:4" x14ac:dyDescent="0.35">
      <c r="A903" s="13">
        <v>46277</v>
      </c>
      <c r="B903" t="s">
        <v>80</v>
      </c>
      <c r="C903" t="s">
        <v>246</v>
      </c>
      <c r="D903" s="14">
        <v>14.8</v>
      </c>
    </row>
    <row r="904" spans="1:4" x14ac:dyDescent="0.35">
      <c r="A904" s="13">
        <v>46277</v>
      </c>
      <c r="B904" t="s">
        <v>80</v>
      </c>
      <c r="C904" t="s">
        <v>247</v>
      </c>
      <c r="D904" s="14">
        <v>26.1</v>
      </c>
    </row>
    <row r="905" spans="1:4" x14ac:dyDescent="0.35">
      <c r="A905" s="13">
        <v>46277</v>
      </c>
      <c r="B905" t="s">
        <v>82</v>
      </c>
      <c r="C905" t="s">
        <v>248</v>
      </c>
      <c r="D905" s="14">
        <v>21</v>
      </c>
    </row>
    <row r="906" spans="1:4" x14ac:dyDescent="0.35">
      <c r="A906" s="13">
        <v>46277</v>
      </c>
      <c r="B906" t="s">
        <v>82</v>
      </c>
      <c r="C906" t="s">
        <v>249</v>
      </c>
      <c r="D906" s="14">
        <v>9.3000000000000007</v>
      </c>
    </row>
    <row r="907" spans="1:4" x14ac:dyDescent="0.35">
      <c r="A907" s="13">
        <v>46277</v>
      </c>
      <c r="B907" t="s">
        <v>82</v>
      </c>
      <c r="C907" t="s">
        <v>250</v>
      </c>
      <c r="D907" s="14">
        <v>14.9</v>
      </c>
    </row>
    <row r="908" spans="1:4" x14ac:dyDescent="0.35">
      <c r="A908" s="13">
        <v>46277</v>
      </c>
      <c r="B908" t="s">
        <v>82</v>
      </c>
      <c r="C908" t="s">
        <v>251</v>
      </c>
      <c r="D908" s="14">
        <v>10.4</v>
      </c>
    </row>
    <row r="909" spans="1:4" x14ac:dyDescent="0.35">
      <c r="A909" s="13">
        <v>46277</v>
      </c>
      <c r="B909" t="s">
        <v>82</v>
      </c>
      <c r="C909" t="s">
        <v>252</v>
      </c>
      <c r="D909" s="14">
        <v>9.4</v>
      </c>
    </row>
    <row r="910" spans="1:4" x14ac:dyDescent="0.35">
      <c r="A910" s="13">
        <v>46277</v>
      </c>
      <c r="B910" t="s">
        <v>82</v>
      </c>
      <c r="C910" t="s">
        <v>253</v>
      </c>
      <c r="D910" s="14">
        <v>15.7</v>
      </c>
    </row>
    <row r="911" spans="1:4" x14ac:dyDescent="0.35">
      <c r="A911" s="13">
        <v>46277</v>
      </c>
      <c r="B911" t="s">
        <v>82</v>
      </c>
      <c r="C911" t="s">
        <v>254</v>
      </c>
      <c r="D911" s="14">
        <v>7.8</v>
      </c>
    </row>
    <row r="912" spans="1:4" x14ac:dyDescent="0.35">
      <c r="A912" s="13">
        <v>46277</v>
      </c>
      <c r="B912" t="s">
        <v>82</v>
      </c>
      <c r="C912" t="s">
        <v>255</v>
      </c>
      <c r="D912" s="14">
        <v>9.6</v>
      </c>
    </row>
    <row r="913" spans="1:4" x14ac:dyDescent="0.35">
      <c r="A913" s="13">
        <v>46277</v>
      </c>
      <c r="B913" t="s">
        <v>82</v>
      </c>
      <c r="C913" t="s">
        <v>256</v>
      </c>
      <c r="D913" s="14">
        <v>16.899999999999999</v>
      </c>
    </row>
    <row r="914" spans="1:4" x14ac:dyDescent="0.35">
      <c r="A914" s="13">
        <v>46277</v>
      </c>
      <c r="B914" t="s">
        <v>82</v>
      </c>
      <c r="C914" t="s">
        <v>257</v>
      </c>
      <c r="D914" s="14">
        <v>15.2</v>
      </c>
    </row>
    <row r="915" spans="1:4" x14ac:dyDescent="0.35">
      <c r="A915" s="13">
        <v>46277</v>
      </c>
      <c r="B915" t="s">
        <v>82</v>
      </c>
      <c r="C915" t="s">
        <v>258</v>
      </c>
      <c r="D915" s="14">
        <v>21.7</v>
      </c>
    </row>
    <row r="916" spans="1:4" x14ac:dyDescent="0.35">
      <c r="A916" s="13">
        <v>46277</v>
      </c>
      <c r="B916" t="s">
        <v>82</v>
      </c>
      <c r="C916" t="s">
        <v>259</v>
      </c>
      <c r="D916" s="14">
        <v>10.3</v>
      </c>
    </row>
    <row r="917" spans="1:4" x14ac:dyDescent="0.35">
      <c r="A917" s="13">
        <v>46277</v>
      </c>
      <c r="B917" t="s">
        <v>82</v>
      </c>
      <c r="C917" t="s">
        <v>260</v>
      </c>
      <c r="D917" s="14">
        <v>10.3</v>
      </c>
    </row>
    <row r="918" spans="1:4" x14ac:dyDescent="0.35">
      <c r="A918" s="13">
        <v>46277</v>
      </c>
      <c r="B918" t="s">
        <v>82</v>
      </c>
      <c r="C918" t="s">
        <v>261</v>
      </c>
      <c r="D918" s="14">
        <v>15.1</v>
      </c>
    </row>
    <row r="919" spans="1:4" x14ac:dyDescent="0.35">
      <c r="A919" s="13">
        <v>46277</v>
      </c>
      <c r="B919" t="s">
        <v>82</v>
      </c>
      <c r="C919" t="s">
        <v>262</v>
      </c>
      <c r="D919" s="14">
        <v>20.5</v>
      </c>
    </row>
    <row r="920" spans="1:4" x14ac:dyDescent="0.35">
      <c r="A920" s="13">
        <v>46277</v>
      </c>
      <c r="B920" t="s">
        <v>82</v>
      </c>
      <c r="C920" t="s">
        <v>263</v>
      </c>
      <c r="D920" s="14">
        <v>9.1</v>
      </c>
    </row>
    <row r="921" spans="1:4" x14ac:dyDescent="0.35">
      <c r="A921" s="13">
        <v>46277</v>
      </c>
      <c r="B921" t="s">
        <v>82</v>
      </c>
      <c r="C921" t="s">
        <v>264</v>
      </c>
      <c r="D921" s="14">
        <v>22.9</v>
      </c>
    </row>
    <row r="922" spans="1:4" x14ac:dyDescent="0.35">
      <c r="A922" s="13">
        <v>46277</v>
      </c>
      <c r="B922" t="s">
        <v>82</v>
      </c>
      <c r="C922" t="s">
        <v>265</v>
      </c>
      <c r="D922" s="14">
        <v>15.6</v>
      </c>
    </row>
    <row r="923" spans="1:4" x14ac:dyDescent="0.35">
      <c r="A923" s="13">
        <v>46277</v>
      </c>
      <c r="B923" t="s">
        <v>85</v>
      </c>
      <c r="C923" t="s">
        <v>266</v>
      </c>
      <c r="D923" s="14">
        <v>10.7</v>
      </c>
    </row>
    <row r="924" spans="1:4" x14ac:dyDescent="0.35">
      <c r="A924" s="13">
        <v>46277</v>
      </c>
      <c r="B924" t="s">
        <v>85</v>
      </c>
      <c r="C924" t="s">
        <v>267</v>
      </c>
      <c r="D924" s="14">
        <v>6.7</v>
      </c>
    </row>
    <row r="925" spans="1:4" x14ac:dyDescent="0.35">
      <c r="A925" s="13">
        <v>46277</v>
      </c>
      <c r="B925" t="s">
        <v>85</v>
      </c>
      <c r="C925" t="s">
        <v>268</v>
      </c>
      <c r="D925" s="14">
        <v>21.1</v>
      </c>
    </row>
    <row r="926" spans="1:4" x14ac:dyDescent="0.35">
      <c r="A926" s="13">
        <v>46277</v>
      </c>
      <c r="B926" t="s">
        <v>85</v>
      </c>
      <c r="C926" t="s">
        <v>269</v>
      </c>
      <c r="D926" s="14">
        <v>21.4</v>
      </c>
    </row>
    <row r="927" spans="1:4" x14ac:dyDescent="0.35">
      <c r="A927" s="13">
        <v>46277</v>
      </c>
      <c r="B927" t="s">
        <v>85</v>
      </c>
      <c r="C927" t="s">
        <v>270</v>
      </c>
      <c r="D927" s="14">
        <v>17.7</v>
      </c>
    </row>
    <row r="928" spans="1:4" x14ac:dyDescent="0.35">
      <c r="A928" s="13">
        <v>46277</v>
      </c>
      <c r="B928" t="s">
        <v>85</v>
      </c>
      <c r="C928" t="s">
        <v>271</v>
      </c>
      <c r="D928" s="14">
        <v>13</v>
      </c>
    </row>
    <row r="929" spans="1:4" x14ac:dyDescent="0.35">
      <c r="A929" s="13">
        <v>46277</v>
      </c>
      <c r="B929" t="s">
        <v>85</v>
      </c>
      <c r="C929" t="s">
        <v>272</v>
      </c>
      <c r="D929" s="14">
        <v>17.899999999999999</v>
      </c>
    </row>
    <row r="930" spans="1:4" x14ac:dyDescent="0.35">
      <c r="A930" s="13">
        <v>46277</v>
      </c>
      <c r="B930" t="s">
        <v>85</v>
      </c>
      <c r="C930" t="s">
        <v>273</v>
      </c>
      <c r="D930" s="14">
        <v>8.9</v>
      </c>
    </row>
    <row r="931" spans="1:4" x14ac:dyDescent="0.35">
      <c r="A931" s="13">
        <v>46277</v>
      </c>
      <c r="B931" t="s">
        <v>85</v>
      </c>
      <c r="C931" t="s">
        <v>274</v>
      </c>
      <c r="D931" s="14">
        <v>8.4</v>
      </c>
    </row>
    <row r="932" spans="1:4" x14ac:dyDescent="0.35">
      <c r="A932" s="13">
        <v>46277</v>
      </c>
      <c r="B932" t="s">
        <v>85</v>
      </c>
      <c r="C932" t="s">
        <v>275</v>
      </c>
      <c r="D932" s="14">
        <v>16.399999999999999</v>
      </c>
    </row>
    <row r="933" spans="1:4" x14ac:dyDescent="0.35">
      <c r="A933" s="13">
        <v>46277</v>
      </c>
      <c r="B933" t="s">
        <v>85</v>
      </c>
      <c r="C933" t="s">
        <v>276</v>
      </c>
      <c r="D933" s="14">
        <v>11</v>
      </c>
    </row>
    <row r="934" spans="1:4" x14ac:dyDescent="0.35">
      <c r="A934" s="13">
        <v>46277</v>
      </c>
      <c r="B934" t="s">
        <v>85</v>
      </c>
      <c r="C934" t="s">
        <v>277</v>
      </c>
      <c r="D934" s="14">
        <v>13.6</v>
      </c>
    </row>
    <row r="935" spans="1:4" x14ac:dyDescent="0.35">
      <c r="A935" s="13">
        <v>46277</v>
      </c>
      <c r="B935" t="s">
        <v>85</v>
      </c>
      <c r="C935" t="s">
        <v>278</v>
      </c>
      <c r="D935" s="14">
        <v>16</v>
      </c>
    </row>
    <row r="936" spans="1:4" x14ac:dyDescent="0.35">
      <c r="A936" s="13">
        <v>46277</v>
      </c>
      <c r="B936" t="s">
        <v>85</v>
      </c>
      <c r="C936" t="s">
        <v>279</v>
      </c>
      <c r="D936" s="14">
        <v>10.8</v>
      </c>
    </row>
    <row r="937" spans="1:4" x14ac:dyDescent="0.35">
      <c r="A937" s="13">
        <v>46277</v>
      </c>
      <c r="B937" t="s">
        <v>85</v>
      </c>
      <c r="C937" t="s">
        <v>280</v>
      </c>
      <c r="D937" s="14">
        <v>14.4</v>
      </c>
    </row>
    <row r="938" spans="1:4" x14ac:dyDescent="0.35">
      <c r="A938" s="13">
        <v>46277</v>
      </c>
      <c r="B938" t="s">
        <v>85</v>
      </c>
      <c r="C938" t="s">
        <v>281</v>
      </c>
      <c r="D938" s="14">
        <v>11.7</v>
      </c>
    </row>
    <row r="939" spans="1:4" x14ac:dyDescent="0.35">
      <c r="A939" s="13">
        <v>46277</v>
      </c>
      <c r="B939" t="s">
        <v>87</v>
      </c>
      <c r="C939" t="s">
        <v>282</v>
      </c>
      <c r="D939" s="14">
        <v>7.3</v>
      </c>
    </row>
    <row r="940" spans="1:4" x14ac:dyDescent="0.35">
      <c r="A940" s="13">
        <v>46277</v>
      </c>
      <c r="B940" t="s">
        <v>87</v>
      </c>
      <c r="C940" t="s">
        <v>283</v>
      </c>
      <c r="D940" s="14">
        <v>13.9</v>
      </c>
    </row>
    <row r="941" spans="1:4" x14ac:dyDescent="0.35">
      <c r="A941" s="13">
        <v>46277</v>
      </c>
      <c r="B941" t="s">
        <v>87</v>
      </c>
      <c r="C941" t="s">
        <v>284</v>
      </c>
      <c r="D941" s="14">
        <v>11.9</v>
      </c>
    </row>
    <row r="942" spans="1:4" x14ac:dyDescent="0.35">
      <c r="A942" s="13">
        <v>46277</v>
      </c>
      <c r="B942" t="s">
        <v>87</v>
      </c>
      <c r="C942" t="s">
        <v>285</v>
      </c>
      <c r="D942" s="14">
        <v>17.2</v>
      </c>
    </row>
    <row r="943" spans="1:4" x14ac:dyDescent="0.35">
      <c r="A943" s="13">
        <v>46277</v>
      </c>
      <c r="B943" t="s">
        <v>87</v>
      </c>
      <c r="C943" t="s">
        <v>286</v>
      </c>
      <c r="D943" s="14">
        <v>12.3</v>
      </c>
    </row>
    <row r="944" spans="1:4" x14ac:dyDescent="0.35">
      <c r="A944" s="13">
        <v>46277</v>
      </c>
      <c r="B944" t="s">
        <v>87</v>
      </c>
      <c r="C944" t="s">
        <v>287</v>
      </c>
      <c r="D944" s="14">
        <v>15.9</v>
      </c>
    </row>
    <row r="945" spans="1:4" x14ac:dyDescent="0.35">
      <c r="A945" s="13">
        <v>46277</v>
      </c>
      <c r="B945" t="s">
        <v>87</v>
      </c>
      <c r="C945" t="s">
        <v>288</v>
      </c>
      <c r="D945" s="14">
        <v>10.1</v>
      </c>
    </row>
    <row r="946" spans="1:4" x14ac:dyDescent="0.35">
      <c r="A946" s="13">
        <v>46277</v>
      </c>
      <c r="B946" t="s">
        <v>87</v>
      </c>
      <c r="C946" t="s">
        <v>289</v>
      </c>
      <c r="D946" s="14">
        <v>10.9</v>
      </c>
    </row>
    <row r="947" spans="1:4" x14ac:dyDescent="0.35">
      <c r="A947" s="13">
        <v>46277</v>
      </c>
      <c r="B947" t="s">
        <v>87</v>
      </c>
      <c r="C947" t="s">
        <v>290</v>
      </c>
      <c r="D947" s="14">
        <v>16.399999999999999</v>
      </c>
    </row>
    <row r="948" spans="1:4" x14ac:dyDescent="0.35">
      <c r="A948" s="13">
        <v>46277</v>
      </c>
      <c r="B948" t="s">
        <v>87</v>
      </c>
      <c r="C948" t="s">
        <v>291</v>
      </c>
      <c r="D948" s="14">
        <v>12.7</v>
      </c>
    </row>
    <row r="949" spans="1:4" x14ac:dyDescent="0.35">
      <c r="A949" s="13">
        <v>46277</v>
      </c>
      <c r="B949" t="s">
        <v>87</v>
      </c>
      <c r="C949" t="s">
        <v>292</v>
      </c>
      <c r="D949" s="14">
        <v>10.6</v>
      </c>
    </row>
    <row r="950" spans="1:4" x14ac:dyDescent="0.35">
      <c r="A950" s="13">
        <v>46277</v>
      </c>
      <c r="B950" t="s">
        <v>87</v>
      </c>
      <c r="C950" t="s">
        <v>293</v>
      </c>
      <c r="D950" s="14">
        <v>9.9</v>
      </c>
    </row>
    <row r="951" spans="1:4" x14ac:dyDescent="0.35">
      <c r="A951" s="13">
        <v>46277</v>
      </c>
      <c r="B951" t="s">
        <v>87</v>
      </c>
      <c r="C951" t="s">
        <v>294</v>
      </c>
      <c r="D951" s="14">
        <v>9.6999999999999993</v>
      </c>
    </row>
    <row r="952" spans="1:4" x14ac:dyDescent="0.35">
      <c r="A952" s="13">
        <v>46277</v>
      </c>
      <c r="B952" t="s">
        <v>87</v>
      </c>
      <c r="C952" t="s">
        <v>295</v>
      </c>
      <c r="D952" s="14">
        <v>12.1</v>
      </c>
    </row>
    <row r="953" spans="1:4" x14ac:dyDescent="0.35">
      <c r="A953" s="13">
        <v>46277</v>
      </c>
      <c r="B953" t="s">
        <v>87</v>
      </c>
      <c r="C953" t="s">
        <v>296</v>
      </c>
      <c r="D953" s="14">
        <v>18.2</v>
      </c>
    </row>
    <row r="954" spans="1:4" x14ac:dyDescent="0.35">
      <c r="A954" s="13">
        <v>46277</v>
      </c>
      <c r="B954" t="s">
        <v>87</v>
      </c>
      <c r="C954" t="s">
        <v>297</v>
      </c>
      <c r="D954" s="14">
        <v>13.2</v>
      </c>
    </row>
    <row r="955" spans="1:4" x14ac:dyDescent="0.35">
      <c r="A955" s="13">
        <v>46277</v>
      </c>
      <c r="B955" t="s">
        <v>77</v>
      </c>
      <c r="C955" t="s">
        <v>298</v>
      </c>
      <c r="D955" s="14">
        <v>7.3</v>
      </c>
    </row>
    <row r="956" spans="1:4" x14ac:dyDescent="0.35">
      <c r="A956" s="13">
        <v>46277</v>
      </c>
      <c r="B956" t="s">
        <v>85</v>
      </c>
      <c r="C956" t="s">
        <v>299</v>
      </c>
      <c r="D956" s="14">
        <v>0</v>
      </c>
    </row>
    <row r="957" spans="1:4" x14ac:dyDescent="0.35">
      <c r="A957" s="13">
        <v>46284</v>
      </c>
      <c r="B957" t="s">
        <v>70</v>
      </c>
      <c r="C957" t="s">
        <v>155</v>
      </c>
      <c r="D957" s="14">
        <v>24.5</v>
      </c>
    </row>
    <row r="958" spans="1:4" x14ac:dyDescent="0.35">
      <c r="A958" s="13">
        <v>46284</v>
      </c>
      <c r="B958" t="s">
        <v>70</v>
      </c>
      <c r="C958" t="s">
        <v>158</v>
      </c>
      <c r="D958" s="14">
        <v>21.2</v>
      </c>
    </row>
    <row r="959" spans="1:4" x14ac:dyDescent="0.35">
      <c r="A959" s="13">
        <v>46284</v>
      </c>
      <c r="B959" t="s">
        <v>70</v>
      </c>
      <c r="C959" t="s">
        <v>159</v>
      </c>
      <c r="D959" s="14">
        <v>16.100000000000001</v>
      </c>
    </row>
    <row r="960" spans="1:4" x14ac:dyDescent="0.35">
      <c r="A960" s="13">
        <v>46284</v>
      </c>
      <c r="B960" t="s">
        <v>70</v>
      </c>
      <c r="C960" t="s">
        <v>162</v>
      </c>
      <c r="D960" s="14">
        <v>23.2</v>
      </c>
    </row>
    <row r="961" spans="1:4" x14ac:dyDescent="0.35">
      <c r="A961" s="13">
        <v>46284</v>
      </c>
      <c r="B961" t="s">
        <v>70</v>
      </c>
      <c r="C961" t="s">
        <v>164</v>
      </c>
      <c r="D961" s="14">
        <v>10.1</v>
      </c>
    </row>
    <row r="962" spans="1:4" x14ac:dyDescent="0.35">
      <c r="A962" s="13">
        <v>46284</v>
      </c>
      <c r="B962" t="s">
        <v>70</v>
      </c>
      <c r="C962" t="s">
        <v>167</v>
      </c>
      <c r="D962" s="14">
        <v>13</v>
      </c>
    </row>
    <row r="963" spans="1:4" x14ac:dyDescent="0.35">
      <c r="A963" s="13">
        <v>46284</v>
      </c>
      <c r="B963" t="s">
        <v>70</v>
      </c>
      <c r="C963" t="s">
        <v>169</v>
      </c>
      <c r="D963" s="14">
        <v>9.8000000000000007</v>
      </c>
    </row>
    <row r="964" spans="1:4" x14ac:dyDescent="0.35">
      <c r="A964" s="13">
        <v>46284</v>
      </c>
      <c r="B964" t="s">
        <v>70</v>
      </c>
      <c r="C964" t="s">
        <v>170</v>
      </c>
      <c r="D964" s="14">
        <v>19.100000000000001</v>
      </c>
    </row>
    <row r="965" spans="1:4" x14ac:dyDescent="0.35">
      <c r="A965" s="13">
        <v>46284</v>
      </c>
      <c r="B965" t="s">
        <v>70</v>
      </c>
      <c r="C965" t="s">
        <v>171</v>
      </c>
      <c r="D965" s="14">
        <v>15.2</v>
      </c>
    </row>
    <row r="966" spans="1:4" x14ac:dyDescent="0.35">
      <c r="A966" s="13">
        <v>46284</v>
      </c>
      <c r="B966" t="s">
        <v>70</v>
      </c>
      <c r="C966" t="s">
        <v>172</v>
      </c>
      <c r="D966" s="14">
        <v>9.8000000000000007</v>
      </c>
    </row>
    <row r="967" spans="1:4" x14ac:dyDescent="0.35">
      <c r="A967" s="13">
        <v>46284</v>
      </c>
      <c r="B967" t="s">
        <v>70</v>
      </c>
      <c r="C967" t="s">
        <v>173</v>
      </c>
      <c r="D967" s="14">
        <v>17.899999999999999</v>
      </c>
    </row>
    <row r="968" spans="1:4" x14ac:dyDescent="0.35">
      <c r="A968" s="13">
        <v>46284</v>
      </c>
      <c r="B968" t="s">
        <v>70</v>
      </c>
      <c r="C968" t="s">
        <v>174</v>
      </c>
      <c r="D968" s="14">
        <v>21.8</v>
      </c>
    </row>
    <row r="969" spans="1:4" x14ac:dyDescent="0.35">
      <c r="A969" s="13">
        <v>46284</v>
      </c>
      <c r="B969" t="s">
        <v>70</v>
      </c>
      <c r="C969" t="s">
        <v>175</v>
      </c>
      <c r="D969" s="14">
        <v>15</v>
      </c>
    </row>
    <row r="970" spans="1:4" x14ac:dyDescent="0.35">
      <c r="A970" s="13">
        <v>46284</v>
      </c>
      <c r="B970" t="s">
        <v>70</v>
      </c>
      <c r="C970" t="s">
        <v>176</v>
      </c>
      <c r="D970" s="14">
        <v>11.7</v>
      </c>
    </row>
    <row r="971" spans="1:4" x14ac:dyDescent="0.35">
      <c r="A971" s="13">
        <v>46284</v>
      </c>
      <c r="B971" t="s">
        <v>73</v>
      </c>
      <c r="C971" t="s">
        <v>177</v>
      </c>
      <c r="D971" s="14">
        <v>11.9</v>
      </c>
    </row>
    <row r="972" spans="1:4" x14ac:dyDescent="0.35">
      <c r="A972" s="13">
        <v>46284</v>
      </c>
      <c r="B972" t="s">
        <v>73</v>
      </c>
      <c r="C972" t="s">
        <v>178</v>
      </c>
      <c r="D972" s="14">
        <v>10.3</v>
      </c>
    </row>
    <row r="973" spans="1:4" x14ac:dyDescent="0.35">
      <c r="A973" s="13">
        <v>46284</v>
      </c>
      <c r="B973" t="s">
        <v>73</v>
      </c>
      <c r="C973" t="s">
        <v>179</v>
      </c>
      <c r="D973" s="14">
        <v>15.3</v>
      </c>
    </row>
    <row r="974" spans="1:4" x14ac:dyDescent="0.35">
      <c r="A974" s="13">
        <v>46284</v>
      </c>
      <c r="B974" t="s">
        <v>73</v>
      </c>
      <c r="C974" t="s">
        <v>180</v>
      </c>
      <c r="D974" s="14">
        <v>8.6</v>
      </c>
    </row>
    <row r="975" spans="1:4" x14ac:dyDescent="0.35">
      <c r="A975" s="13">
        <v>46284</v>
      </c>
      <c r="B975" t="s">
        <v>73</v>
      </c>
      <c r="C975" t="s">
        <v>181</v>
      </c>
      <c r="D975" s="14">
        <v>9.8000000000000007</v>
      </c>
    </row>
    <row r="976" spans="1:4" x14ac:dyDescent="0.35">
      <c r="A976" s="13">
        <v>46284</v>
      </c>
      <c r="B976" t="s">
        <v>73</v>
      </c>
      <c r="C976" t="s">
        <v>182</v>
      </c>
      <c r="D976" s="14">
        <v>12.8</v>
      </c>
    </row>
    <row r="977" spans="1:4" x14ac:dyDescent="0.35">
      <c r="A977" s="13">
        <v>46284</v>
      </c>
      <c r="B977" t="s">
        <v>73</v>
      </c>
      <c r="C977" t="s">
        <v>183</v>
      </c>
      <c r="D977" s="14">
        <v>19.2</v>
      </c>
    </row>
    <row r="978" spans="1:4" x14ac:dyDescent="0.35">
      <c r="A978" s="13">
        <v>46284</v>
      </c>
      <c r="B978" t="s">
        <v>73</v>
      </c>
      <c r="C978" t="s">
        <v>184</v>
      </c>
      <c r="D978" s="14">
        <v>15.3</v>
      </c>
    </row>
    <row r="979" spans="1:4" x14ac:dyDescent="0.35">
      <c r="A979" s="13">
        <v>46284</v>
      </c>
      <c r="B979" t="s">
        <v>73</v>
      </c>
      <c r="C979" t="s">
        <v>185</v>
      </c>
      <c r="D979" s="14">
        <v>9.6</v>
      </c>
    </row>
    <row r="980" spans="1:4" x14ac:dyDescent="0.35">
      <c r="A980" s="13">
        <v>46284</v>
      </c>
      <c r="B980" t="s">
        <v>73</v>
      </c>
      <c r="C980" t="s">
        <v>186</v>
      </c>
      <c r="D980" s="14">
        <v>13.9</v>
      </c>
    </row>
    <row r="981" spans="1:4" x14ac:dyDescent="0.35">
      <c r="A981" s="13">
        <v>46284</v>
      </c>
      <c r="B981" t="s">
        <v>73</v>
      </c>
      <c r="C981" t="s">
        <v>187</v>
      </c>
      <c r="D981" s="14">
        <v>7.5</v>
      </c>
    </row>
    <row r="982" spans="1:4" x14ac:dyDescent="0.35">
      <c r="A982" s="13">
        <v>46284</v>
      </c>
      <c r="B982" t="s">
        <v>73</v>
      </c>
      <c r="C982" t="s">
        <v>189</v>
      </c>
      <c r="D982" s="14">
        <v>10.3</v>
      </c>
    </row>
    <row r="983" spans="1:4" x14ac:dyDescent="0.35">
      <c r="A983" s="13">
        <v>46284</v>
      </c>
      <c r="B983" t="s">
        <v>73</v>
      </c>
      <c r="C983" t="s">
        <v>190</v>
      </c>
      <c r="D983" s="14">
        <v>12</v>
      </c>
    </row>
    <row r="984" spans="1:4" x14ac:dyDescent="0.35">
      <c r="A984" s="13">
        <v>46284</v>
      </c>
      <c r="B984" t="s">
        <v>73</v>
      </c>
      <c r="C984" t="s">
        <v>191</v>
      </c>
      <c r="D984" s="14">
        <v>11.3</v>
      </c>
    </row>
    <row r="985" spans="1:4" x14ac:dyDescent="0.35">
      <c r="A985" s="13">
        <v>46284</v>
      </c>
      <c r="B985" t="s">
        <v>73</v>
      </c>
      <c r="C985" t="s">
        <v>192</v>
      </c>
      <c r="D985" s="14">
        <v>7.2</v>
      </c>
    </row>
    <row r="986" spans="1:4" x14ac:dyDescent="0.35">
      <c r="A986" s="13">
        <v>46284</v>
      </c>
      <c r="B986" t="s">
        <v>73</v>
      </c>
      <c r="C986" t="s">
        <v>193</v>
      </c>
      <c r="D986" s="14">
        <v>14.3</v>
      </c>
    </row>
    <row r="987" spans="1:4" x14ac:dyDescent="0.35">
      <c r="A987" s="13">
        <v>46284</v>
      </c>
      <c r="B987" t="s">
        <v>73</v>
      </c>
      <c r="C987" t="s">
        <v>194</v>
      </c>
      <c r="D987" s="14">
        <v>9.1999999999999993</v>
      </c>
    </row>
    <row r="988" spans="1:4" x14ac:dyDescent="0.35">
      <c r="A988" s="13">
        <v>46284</v>
      </c>
      <c r="B988" t="s">
        <v>73</v>
      </c>
      <c r="C988" t="s">
        <v>195</v>
      </c>
      <c r="D988" s="14">
        <v>14.5</v>
      </c>
    </row>
    <row r="989" spans="1:4" x14ac:dyDescent="0.35">
      <c r="A989" s="13">
        <v>46284</v>
      </c>
      <c r="B989" t="s">
        <v>73</v>
      </c>
      <c r="C989" t="s">
        <v>196</v>
      </c>
      <c r="D989" s="14">
        <v>7.8</v>
      </c>
    </row>
    <row r="990" spans="1:4" x14ac:dyDescent="0.35">
      <c r="A990" s="13">
        <v>46284</v>
      </c>
      <c r="B990" t="s">
        <v>3</v>
      </c>
      <c r="C990" t="s">
        <v>197</v>
      </c>
      <c r="D990" s="14">
        <v>13.6</v>
      </c>
    </row>
    <row r="991" spans="1:4" x14ac:dyDescent="0.35">
      <c r="A991" s="13">
        <v>46284</v>
      </c>
      <c r="B991" t="s">
        <v>3</v>
      </c>
      <c r="C991" t="s">
        <v>198</v>
      </c>
      <c r="D991" s="14">
        <v>12</v>
      </c>
    </row>
    <row r="992" spans="1:4" x14ac:dyDescent="0.35">
      <c r="A992" s="13">
        <v>46284</v>
      </c>
      <c r="B992" t="s">
        <v>3</v>
      </c>
      <c r="C992" t="s">
        <v>199</v>
      </c>
      <c r="D992" s="14">
        <v>18.600000000000001</v>
      </c>
    </row>
    <row r="993" spans="1:4" x14ac:dyDescent="0.35">
      <c r="A993" s="13">
        <v>46284</v>
      </c>
      <c r="B993" t="s">
        <v>3</v>
      </c>
      <c r="C993" t="s">
        <v>200</v>
      </c>
      <c r="D993" s="14">
        <v>13.3</v>
      </c>
    </row>
    <row r="994" spans="1:4" x14ac:dyDescent="0.35">
      <c r="A994" s="13">
        <v>46284</v>
      </c>
      <c r="B994" t="s">
        <v>3</v>
      </c>
      <c r="C994" t="s">
        <v>201</v>
      </c>
      <c r="D994" s="14">
        <v>21.2</v>
      </c>
    </row>
    <row r="995" spans="1:4" x14ac:dyDescent="0.35">
      <c r="A995" s="13">
        <v>46284</v>
      </c>
      <c r="B995" t="s">
        <v>3</v>
      </c>
      <c r="C995" t="s">
        <v>202</v>
      </c>
      <c r="D995" s="14">
        <v>8.6</v>
      </c>
    </row>
    <row r="996" spans="1:4" x14ac:dyDescent="0.35">
      <c r="A996" s="13">
        <v>46284</v>
      </c>
      <c r="B996" t="s">
        <v>3</v>
      </c>
      <c r="C996" t="s">
        <v>203</v>
      </c>
      <c r="D996" s="14">
        <v>14.6</v>
      </c>
    </row>
    <row r="997" spans="1:4" x14ac:dyDescent="0.35">
      <c r="A997" s="13">
        <v>46284</v>
      </c>
      <c r="B997" t="s">
        <v>3</v>
      </c>
      <c r="C997" t="s">
        <v>204</v>
      </c>
      <c r="D997" s="14">
        <v>8.3000000000000007</v>
      </c>
    </row>
    <row r="998" spans="1:4" x14ac:dyDescent="0.35">
      <c r="A998" s="13">
        <v>46284</v>
      </c>
      <c r="B998" t="s">
        <v>3</v>
      </c>
      <c r="C998" t="s">
        <v>205</v>
      </c>
      <c r="D998" s="14">
        <v>23.6</v>
      </c>
    </row>
    <row r="999" spans="1:4" x14ac:dyDescent="0.35">
      <c r="A999" s="13">
        <v>46284</v>
      </c>
      <c r="B999" t="s">
        <v>3</v>
      </c>
      <c r="C999" t="s">
        <v>206</v>
      </c>
      <c r="D999" s="14">
        <v>22.3</v>
      </c>
    </row>
    <row r="1000" spans="1:4" x14ac:dyDescent="0.35">
      <c r="A1000" s="13">
        <v>46284</v>
      </c>
      <c r="B1000" t="s">
        <v>3</v>
      </c>
      <c r="C1000" t="s">
        <v>207</v>
      </c>
      <c r="D1000" s="14">
        <v>22.6</v>
      </c>
    </row>
    <row r="1001" spans="1:4" x14ac:dyDescent="0.35">
      <c r="A1001" s="13">
        <v>46284</v>
      </c>
      <c r="B1001" t="s">
        <v>3</v>
      </c>
      <c r="C1001" t="s">
        <v>208</v>
      </c>
      <c r="D1001" s="14">
        <v>21.8</v>
      </c>
    </row>
    <row r="1002" spans="1:4" x14ac:dyDescent="0.35">
      <c r="A1002" s="13">
        <v>46284</v>
      </c>
      <c r="B1002" t="s">
        <v>3</v>
      </c>
      <c r="C1002" t="s">
        <v>209</v>
      </c>
      <c r="D1002" s="14">
        <v>20.7</v>
      </c>
    </row>
    <row r="1003" spans="1:4" x14ac:dyDescent="0.35">
      <c r="A1003" s="13">
        <v>46284</v>
      </c>
      <c r="B1003" t="s">
        <v>3</v>
      </c>
      <c r="C1003" t="s">
        <v>210</v>
      </c>
      <c r="D1003" s="14">
        <v>13.2</v>
      </c>
    </row>
    <row r="1004" spans="1:4" x14ac:dyDescent="0.35">
      <c r="A1004" s="13">
        <v>46284</v>
      </c>
      <c r="B1004" t="s">
        <v>3</v>
      </c>
      <c r="C1004" t="s">
        <v>211</v>
      </c>
      <c r="D1004" s="14">
        <v>14.5</v>
      </c>
    </row>
    <row r="1005" spans="1:4" x14ac:dyDescent="0.35">
      <c r="A1005" s="13">
        <v>46284</v>
      </c>
      <c r="B1005" t="s">
        <v>3</v>
      </c>
      <c r="C1005" t="s">
        <v>212</v>
      </c>
      <c r="D1005" s="14">
        <v>20.399999999999999</v>
      </c>
    </row>
    <row r="1006" spans="1:4" x14ac:dyDescent="0.35">
      <c r="A1006" s="13">
        <v>46284</v>
      </c>
      <c r="B1006" t="s">
        <v>3</v>
      </c>
      <c r="C1006" t="s">
        <v>213</v>
      </c>
      <c r="D1006" s="14">
        <v>11.8</v>
      </c>
    </row>
    <row r="1007" spans="1:4" x14ac:dyDescent="0.35">
      <c r="A1007" s="13">
        <v>46284</v>
      </c>
      <c r="B1007" t="s">
        <v>3</v>
      </c>
      <c r="C1007" t="s">
        <v>214</v>
      </c>
      <c r="D1007" s="14">
        <v>14.1</v>
      </c>
    </row>
    <row r="1008" spans="1:4" x14ac:dyDescent="0.35">
      <c r="A1008" s="13">
        <v>46284</v>
      </c>
      <c r="B1008" t="s">
        <v>3</v>
      </c>
      <c r="C1008" t="s">
        <v>215</v>
      </c>
      <c r="D1008" s="14">
        <v>10.199999999999999</v>
      </c>
    </row>
    <row r="1009" spans="1:4" x14ac:dyDescent="0.35">
      <c r="A1009" s="13">
        <v>46284</v>
      </c>
      <c r="B1009" t="s">
        <v>77</v>
      </c>
      <c r="C1009" t="s">
        <v>216</v>
      </c>
      <c r="D1009" s="14">
        <v>11.9</v>
      </c>
    </row>
    <row r="1010" spans="1:4" x14ac:dyDescent="0.35">
      <c r="A1010" s="13">
        <v>46284</v>
      </c>
      <c r="B1010" t="s">
        <v>77</v>
      </c>
      <c r="C1010" t="s">
        <v>217</v>
      </c>
      <c r="D1010" s="14">
        <v>13.5</v>
      </c>
    </row>
    <row r="1011" spans="1:4" x14ac:dyDescent="0.35">
      <c r="A1011" s="13">
        <v>46284</v>
      </c>
      <c r="B1011" t="s">
        <v>77</v>
      </c>
      <c r="C1011" t="s">
        <v>218</v>
      </c>
      <c r="D1011" s="14">
        <v>13.6</v>
      </c>
    </row>
    <row r="1012" spans="1:4" x14ac:dyDescent="0.35">
      <c r="A1012" s="13">
        <v>46284</v>
      </c>
      <c r="B1012" t="s">
        <v>77</v>
      </c>
      <c r="C1012" t="s">
        <v>219</v>
      </c>
      <c r="D1012" s="14">
        <v>7.8</v>
      </c>
    </row>
    <row r="1013" spans="1:4" x14ac:dyDescent="0.35">
      <c r="A1013" s="13">
        <v>46284</v>
      </c>
      <c r="B1013" t="s">
        <v>77</v>
      </c>
      <c r="C1013" t="s">
        <v>220</v>
      </c>
      <c r="D1013" s="14">
        <v>11.7</v>
      </c>
    </row>
    <row r="1014" spans="1:4" x14ac:dyDescent="0.35">
      <c r="A1014" s="13">
        <v>46284</v>
      </c>
      <c r="B1014" t="s">
        <v>77</v>
      </c>
      <c r="C1014" t="s">
        <v>221</v>
      </c>
      <c r="D1014" s="14">
        <v>28.2</v>
      </c>
    </row>
    <row r="1015" spans="1:4" x14ac:dyDescent="0.35">
      <c r="A1015" s="13">
        <v>46284</v>
      </c>
      <c r="B1015" t="s">
        <v>77</v>
      </c>
      <c r="C1015" t="s">
        <v>222</v>
      </c>
      <c r="D1015" s="14">
        <v>12.8</v>
      </c>
    </row>
    <row r="1016" spans="1:4" x14ac:dyDescent="0.35">
      <c r="A1016" s="13">
        <v>46284</v>
      </c>
      <c r="B1016" t="s">
        <v>77</v>
      </c>
      <c r="C1016" t="s">
        <v>223</v>
      </c>
      <c r="D1016" s="14">
        <v>18.5</v>
      </c>
    </row>
    <row r="1017" spans="1:4" x14ac:dyDescent="0.35">
      <c r="A1017" s="13">
        <v>46284</v>
      </c>
      <c r="B1017" t="s">
        <v>77</v>
      </c>
      <c r="C1017" t="s">
        <v>224</v>
      </c>
      <c r="D1017" s="14">
        <v>13.2</v>
      </c>
    </row>
    <row r="1018" spans="1:4" x14ac:dyDescent="0.35">
      <c r="A1018" s="13">
        <v>46284</v>
      </c>
      <c r="B1018" t="s">
        <v>77</v>
      </c>
      <c r="C1018" t="s">
        <v>225</v>
      </c>
      <c r="D1018" s="14">
        <v>11</v>
      </c>
    </row>
    <row r="1019" spans="1:4" x14ac:dyDescent="0.35">
      <c r="A1019" s="13">
        <v>46284</v>
      </c>
      <c r="B1019" t="s">
        <v>77</v>
      </c>
      <c r="C1019" t="s">
        <v>226</v>
      </c>
      <c r="D1019" s="14">
        <v>18.399999999999999</v>
      </c>
    </row>
    <row r="1020" spans="1:4" x14ac:dyDescent="0.35">
      <c r="A1020" s="13">
        <v>46284</v>
      </c>
      <c r="B1020" t="s">
        <v>77</v>
      </c>
      <c r="C1020" t="s">
        <v>227</v>
      </c>
      <c r="D1020" s="14">
        <v>14.2</v>
      </c>
    </row>
    <row r="1021" spans="1:4" x14ac:dyDescent="0.35">
      <c r="A1021" s="13">
        <v>46284</v>
      </c>
      <c r="B1021" t="s">
        <v>77</v>
      </c>
      <c r="C1021" t="s">
        <v>228</v>
      </c>
      <c r="D1021" s="14">
        <v>22</v>
      </c>
    </row>
    <row r="1022" spans="1:4" x14ac:dyDescent="0.35">
      <c r="A1022" s="13">
        <v>46284</v>
      </c>
      <c r="B1022" t="s">
        <v>77</v>
      </c>
      <c r="C1022" t="s">
        <v>229</v>
      </c>
      <c r="D1022" s="14">
        <v>7.3</v>
      </c>
    </row>
    <row r="1023" spans="1:4" x14ac:dyDescent="0.35">
      <c r="A1023" s="13">
        <v>46284</v>
      </c>
      <c r="B1023" t="s">
        <v>77</v>
      </c>
      <c r="C1023" t="s">
        <v>230</v>
      </c>
      <c r="D1023" s="14">
        <v>8.4</v>
      </c>
    </row>
    <row r="1024" spans="1:4" x14ac:dyDescent="0.35">
      <c r="A1024" s="13">
        <v>46284</v>
      </c>
      <c r="B1024" t="s">
        <v>80</v>
      </c>
      <c r="C1024" t="s">
        <v>231</v>
      </c>
      <c r="D1024" s="14">
        <v>14.3</v>
      </c>
    </row>
    <row r="1025" spans="1:4" x14ac:dyDescent="0.35">
      <c r="A1025" s="13">
        <v>46284</v>
      </c>
      <c r="B1025" t="s">
        <v>80</v>
      </c>
      <c r="C1025" t="s">
        <v>232</v>
      </c>
      <c r="D1025" s="14">
        <v>21.7</v>
      </c>
    </row>
    <row r="1026" spans="1:4" x14ac:dyDescent="0.35">
      <c r="A1026" s="13">
        <v>46284</v>
      </c>
      <c r="B1026" t="s">
        <v>80</v>
      </c>
      <c r="C1026" t="s">
        <v>233</v>
      </c>
      <c r="D1026" s="14">
        <v>11.2</v>
      </c>
    </row>
    <row r="1027" spans="1:4" x14ac:dyDescent="0.35">
      <c r="A1027" s="13">
        <v>46284</v>
      </c>
      <c r="B1027" t="s">
        <v>80</v>
      </c>
      <c r="C1027" t="s">
        <v>234</v>
      </c>
      <c r="D1027" s="14">
        <v>7.6</v>
      </c>
    </row>
    <row r="1028" spans="1:4" x14ac:dyDescent="0.35">
      <c r="A1028" s="13">
        <v>46284</v>
      </c>
      <c r="B1028" t="s">
        <v>80</v>
      </c>
      <c r="C1028" t="s">
        <v>235</v>
      </c>
      <c r="D1028" s="14">
        <v>17</v>
      </c>
    </row>
    <row r="1029" spans="1:4" x14ac:dyDescent="0.35">
      <c r="A1029" s="13">
        <v>46284</v>
      </c>
      <c r="B1029" t="s">
        <v>80</v>
      </c>
      <c r="C1029" t="s">
        <v>236</v>
      </c>
      <c r="D1029" s="14">
        <v>18.7</v>
      </c>
    </row>
    <row r="1030" spans="1:4" x14ac:dyDescent="0.35">
      <c r="A1030" s="13">
        <v>46284</v>
      </c>
      <c r="B1030" t="s">
        <v>80</v>
      </c>
      <c r="C1030" t="s">
        <v>237</v>
      </c>
      <c r="D1030" s="14">
        <v>12.9</v>
      </c>
    </row>
    <row r="1031" spans="1:4" x14ac:dyDescent="0.35">
      <c r="A1031" s="13">
        <v>46284</v>
      </c>
      <c r="B1031" t="s">
        <v>80</v>
      </c>
      <c r="C1031" t="s">
        <v>238</v>
      </c>
      <c r="D1031" s="14">
        <v>17.100000000000001</v>
      </c>
    </row>
    <row r="1032" spans="1:4" x14ac:dyDescent="0.35">
      <c r="A1032" s="13">
        <v>46284</v>
      </c>
      <c r="B1032" t="s">
        <v>80</v>
      </c>
      <c r="C1032" t="s">
        <v>239</v>
      </c>
      <c r="D1032" s="14">
        <v>8.6</v>
      </c>
    </row>
    <row r="1033" spans="1:4" x14ac:dyDescent="0.35">
      <c r="A1033" s="13">
        <v>46284</v>
      </c>
      <c r="B1033" t="s">
        <v>80</v>
      </c>
      <c r="C1033" t="s">
        <v>240</v>
      </c>
      <c r="D1033" s="14">
        <v>18.899999999999999</v>
      </c>
    </row>
    <row r="1034" spans="1:4" x14ac:dyDescent="0.35">
      <c r="A1034" s="13">
        <v>46284</v>
      </c>
      <c r="B1034" t="s">
        <v>80</v>
      </c>
      <c r="C1034" t="s">
        <v>241</v>
      </c>
      <c r="D1034" s="14">
        <v>12</v>
      </c>
    </row>
    <row r="1035" spans="1:4" x14ac:dyDescent="0.35">
      <c r="A1035" s="13">
        <v>46284</v>
      </c>
      <c r="B1035" t="s">
        <v>80</v>
      </c>
      <c r="C1035" t="s">
        <v>242</v>
      </c>
      <c r="D1035" s="14">
        <v>27.3</v>
      </c>
    </row>
    <row r="1036" spans="1:4" x14ac:dyDescent="0.35">
      <c r="A1036" s="13">
        <v>46284</v>
      </c>
      <c r="B1036" t="s">
        <v>80</v>
      </c>
      <c r="C1036" t="s">
        <v>243</v>
      </c>
      <c r="D1036" s="14">
        <v>21.7</v>
      </c>
    </row>
    <row r="1037" spans="1:4" x14ac:dyDescent="0.35">
      <c r="A1037" s="13">
        <v>46284</v>
      </c>
      <c r="B1037" t="s">
        <v>80</v>
      </c>
      <c r="C1037" t="s">
        <v>244</v>
      </c>
      <c r="D1037" s="14">
        <v>15.1</v>
      </c>
    </row>
    <row r="1038" spans="1:4" x14ac:dyDescent="0.35">
      <c r="A1038" s="13">
        <v>46284</v>
      </c>
      <c r="B1038" t="s">
        <v>80</v>
      </c>
      <c r="C1038" t="s">
        <v>245</v>
      </c>
      <c r="D1038" s="14">
        <v>14.4</v>
      </c>
    </row>
    <row r="1039" spans="1:4" x14ac:dyDescent="0.35">
      <c r="A1039" s="13">
        <v>46284</v>
      </c>
      <c r="B1039" t="s">
        <v>80</v>
      </c>
      <c r="C1039" t="s">
        <v>246</v>
      </c>
      <c r="D1039" s="14">
        <v>14.9</v>
      </c>
    </row>
    <row r="1040" spans="1:4" x14ac:dyDescent="0.35">
      <c r="A1040" s="13">
        <v>46284</v>
      </c>
      <c r="B1040" t="s">
        <v>80</v>
      </c>
      <c r="C1040" t="s">
        <v>247</v>
      </c>
      <c r="D1040" s="14">
        <v>26.3</v>
      </c>
    </row>
    <row r="1041" spans="1:4" x14ac:dyDescent="0.35">
      <c r="A1041" s="13">
        <v>46284</v>
      </c>
      <c r="B1041" t="s">
        <v>82</v>
      </c>
      <c r="C1041" t="s">
        <v>248</v>
      </c>
      <c r="D1041" s="14">
        <v>21.9</v>
      </c>
    </row>
    <row r="1042" spans="1:4" x14ac:dyDescent="0.35">
      <c r="A1042" s="13">
        <v>46284</v>
      </c>
      <c r="B1042" t="s">
        <v>82</v>
      </c>
      <c r="C1042" t="s">
        <v>249</v>
      </c>
      <c r="D1042" s="14">
        <v>9.6999999999999993</v>
      </c>
    </row>
    <row r="1043" spans="1:4" x14ac:dyDescent="0.35">
      <c r="A1043" s="13">
        <v>46284</v>
      </c>
      <c r="B1043" t="s">
        <v>82</v>
      </c>
      <c r="C1043" t="s">
        <v>250</v>
      </c>
      <c r="D1043" s="14">
        <v>15.5</v>
      </c>
    </row>
    <row r="1044" spans="1:4" x14ac:dyDescent="0.35">
      <c r="A1044" s="13">
        <v>46284</v>
      </c>
      <c r="B1044" t="s">
        <v>82</v>
      </c>
      <c r="C1044" t="s">
        <v>251</v>
      </c>
      <c r="D1044" s="14">
        <v>10.9</v>
      </c>
    </row>
    <row r="1045" spans="1:4" x14ac:dyDescent="0.35">
      <c r="A1045" s="13">
        <v>46284</v>
      </c>
      <c r="B1045" t="s">
        <v>82</v>
      </c>
      <c r="C1045" t="s">
        <v>252</v>
      </c>
      <c r="D1045" s="14">
        <v>9.8000000000000007</v>
      </c>
    </row>
    <row r="1046" spans="1:4" x14ac:dyDescent="0.35">
      <c r="A1046" s="13">
        <v>46284</v>
      </c>
      <c r="B1046" t="s">
        <v>82</v>
      </c>
      <c r="C1046" t="s">
        <v>253</v>
      </c>
      <c r="D1046" s="14">
        <v>16.399999999999999</v>
      </c>
    </row>
    <row r="1047" spans="1:4" x14ac:dyDescent="0.35">
      <c r="A1047" s="13">
        <v>46284</v>
      </c>
      <c r="B1047" t="s">
        <v>82</v>
      </c>
      <c r="C1047" t="s">
        <v>254</v>
      </c>
      <c r="D1047" s="14">
        <v>8.1</v>
      </c>
    </row>
    <row r="1048" spans="1:4" x14ac:dyDescent="0.35">
      <c r="A1048" s="13">
        <v>46284</v>
      </c>
      <c r="B1048" t="s">
        <v>82</v>
      </c>
      <c r="C1048" t="s">
        <v>255</v>
      </c>
      <c r="D1048" s="14">
        <v>10</v>
      </c>
    </row>
    <row r="1049" spans="1:4" x14ac:dyDescent="0.35">
      <c r="A1049" s="13">
        <v>46284</v>
      </c>
      <c r="B1049" t="s">
        <v>82</v>
      </c>
      <c r="C1049" t="s">
        <v>256</v>
      </c>
      <c r="D1049" s="14">
        <v>17.7</v>
      </c>
    </row>
    <row r="1050" spans="1:4" x14ac:dyDescent="0.35">
      <c r="A1050" s="13">
        <v>46284</v>
      </c>
      <c r="B1050" t="s">
        <v>82</v>
      </c>
      <c r="C1050" t="s">
        <v>257</v>
      </c>
      <c r="D1050" s="14">
        <v>15.9</v>
      </c>
    </row>
    <row r="1051" spans="1:4" x14ac:dyDescent="0.35">
      <c r="A1051" s="13">
        <v>46284</v>
      </c>
      <c r="B1051" t="s">
        <v>82</v>
      </c>
      <c r="C1051" t="s">
        <v>258</v>
      </c>
      <c r="D1051" s="14">
        <v>22.6</v>
      </c>
    </row>
    <row r="1052" spans="1:4" x14ac:dyDescent="0.35">
      <c r="A1052" s="13">
        <v>46284</v>
      </c>
      <c r="B1052" t="s">
        <v>82</v>
      </c>
      <c r="C1052" t="s">
        <v>259</v>
      </c>
      <c r="D1052" s="14">
        <v>10.7</v>
      </c>
    </row>
    <row r="1053" spans="1:4" x14ac:dyDescent="0.35">
      <c r="A1053" s="13">
        <v>46284</v>
      </c>
      <c r="B1053" t="s">
        <v>82</v>
      </c>
      <c r="C1053" t="s">
        <v>260</v>
      </c>
      <c r="D1053" s="14">
        <v>10.8</v>
      </c>
    </row>
    <row r="1054" spans="1:4" x14ac:dyDescent="0.35">
      <c r="A1054" s="13">
        <v>46284</v>
      </c>
      <c r="B1054" t="s">
        <v>82</v>
      </c>
      <c r="C1054" t="s">
        <v>261</v>
      </c>
      <c r="D1054" s="14">
        <v>15.7</v>
      </c>
    </row>
    <row r="1055" spans="1:4" x14ac:dyDescent="0.35">
      <c r="A1055" s="13">
        <v>46284</v>
      </c>
      <c r="B1055" t="s">
        <v>82</v>
      </c>
      <c r="C1055" t="s">
        <v>262</v>
      </c>
      <c r="D1055" s="14">
        <v>21.4</v>
      </c>
    </row>
    <row r="1056" spans="1:4" x14ac:dyDescent="0.35">
      <c r="A1056" s="13">
        <v>46284</v>
      </c>
      <c r="B1056" t="s">
        <v>82</v>
      </c>
      <c r="C1056" t="s">
        <v>263</v>
      </c>
      <c r="D1056" s="14">
        <v>9.5</v>
      </c>
    </row>
    <row r="1057" spans="1:4" x14ac:dyDescent="0.35">
      <c r="A1057" s="13">
        <v>46284</v>
      </c>
      <c r="B1057" t="s">
        <v>82</v>
      </c>
      <c r="C1057" t="s">
        <v>264</v>
      </c>
      <c r="D1057" s="14">
        <v>23.9</v>
      </c>
    </row>
    <row r="1058" spans="1:4" x14ac:dyDescent="0.35">
      <c r="A1058" s="13">
        <v>46284</v>
      </c>
      <c r="B1058" t="s">
        <v>82</v>
      </c>
      <c r="C1058" t="s">
        <v>265</v>
      </c>
      <c r="D1058" s="14">
        <v>16.2</v>
      </c>
    </row>
    <row r="1059" spans="1:4" x14ac:dyDescent="0.35">
      <c r="A1059" s="13">
        <v>46284</v>
      </c>
      <c r="B1059" t="s">
        <v>85</v>
      </c>
      <c r="C1059" t="s">
        <v>266</v>
      </c>
      <c r="D1059" s="14">
        <v>10.8</v>
      </c>
    </row>
    <row r="1060" spans="1:4" x14ac:dyDescent="0.35">
      <c r="A1060" s="13">
        <v>46284</v>
      </c>
      <c r="B1060" t="s">
        <v>85</v>
      </c>
      <c r="C1060" t="s">
        <v>267</v>
      </c>
      <c r="D1060" s="14">
        <v>6.7</v>
      </c>
    </row>
    <row r="1061" spans="1:4" x14ac:dyDescent="0.35">
      <c r="A1061" s="13">
        <v>46284</v>
      </c>
      <c r="B1061" t="s">
        <v>85</v>
      </c>
      <c r="C1061" t="s">
        <v>268</v>
      </c>
      <c r="D1061" s="14">
        <v>21.1</v>
      </c>
    </row>
    <row r="1062" spans="1:4" x14ac:dyDescent="0.35">
      <c r="A1062" s="13">
        <v>46284</v>
      </c>
      <c r="B1062" t="s">
        <v>85</v>
      </c>
      <c r="C1062" t="s">
        <v>269</v>
      </c>
      <c r="D1062" s="14">
        <v>21.4</v>
      </c>
    </row>
    <row r="1063" spans="1:4" x14ac:dyDescent="0.35">
      <c r="A1063" s="13">
        <v>46284</v>
      </c>
      <c r="B1063" t="s">
        <v>85</v>
      </c>
      <c r="C1063" t="s">
        <v>270</v>
      </c>
      <c r="D1063" s="14">
        <v>17.7</v>
      </c>
    </row>
    <row r="1064" spans="1:4" x14ac:dyDescent="0.35">
      <c r="A1064" s="13">
        <v>46284</v>
      </c>
      <c r="B1064" t="s">
        <v>85</v>
      </c>
      <c r="C1064" t="s">
        <v>271</v>
      </c>
      <c r="D1064" s="14">
        <v>13</v>
      </c>
    </row>
    <row r="1065" spans="1:4" x14ac:dyDescent="0.35">
      <c r="A1065" s="13">
        <v>46284</v>
      </c>
      <c r="B1065" t="s">
        <v>85</v>
      </c>
      <c r="C1065" t="s">
        <v>272</v>
      </c>
      <c r="D1065" s="14">
        <v>18</v>
      </c>
    </row>
    <row r="1066" spans="1:4" x14ac:dyDescent="0.35">
      <c r="A1066" s="13">
        <v>46284</v>
      </c>
      <c r="B1066" t="s">
        <v>85</v>
      </c>
      <c r="C1066" t="s">
        <v>273</v>
      </c>
      <c r="D1066" s="14">
        <v>8.9</v>
      </c>
    </row>
    <row r="1067" spans="1:4" x14ac:dyDescent="0.35">
      <c r="A1067" s="13">
        <v>46284</v>
      </c>
      <c r="B1067" t="s">
        <v>85</v>
      </c>
      <c r="C1067" t="s">
        <v>274</v>
      </c>
      <c r="D1067" s="14">
        <v>8.4</v>
      </c>
    </row>
    <row r="1068" spans="1:4" x14ac:dyDescent="0.35">
      <c r="A1068" s="13">
        <v>46284</v>
      </c>
      <c r="B1068" t="s">
        <v>85</v>
      </c>
      <c r="C1068" t="s">
        <v>275</v>
      </c>
      <c r="D1068" s="14">
        <v>16.399999999999999</v>
      </c>
    </row>
    <row r="1069" spans="1:4" x14ac:dyDescent="0.35">
      <c r="A1069" s="13">
        <v>46284</v>
      </c>
      <c r="B1069" t="s">
        <v>85</v>
      </c>
      <c r="C1069" t="s">
        <v>276</v>
      </c>
      <c r="D1069" s="14">
        <v>11.1</v>
      </c>
    </row>
    <row r="1070" spans="1:4" x14ac:dyDescent="0.35">
      <c r="A1070" s="13">
        <v>46284</v>
      </c>
      <c r="B1070" t="s">
        <v>85</v>
      </c>
      <c r="C1070" t="s">
        <v>277</v>
      </c>
      <c r="D1070" s="14">
        <v>13.6</v>
      </c>
    </row>
    <row r="1071" spans="1:4" x14ac:dyDescent="0.35">
      <c r="A1071" s="13">
        <v>46284</v>
      </c>
      <c r="B1071" t="s">
        <v>85</v>
      </c>
      <c r="C1071" t="s">
        <v>278</v>
      </c>
      <c r="D1071" s="14">
        <v>16</v>
      </c>
    </row>
    <row r="1072" spans="1:4" x14ac:dyDescent="0.35">
      <c r="A1072" s="13">
        <v>46284</v>
      </c>
      <c r="B1072" t="s">
        <v>85</v>
      </c>
      <c r="C1072" t="s">
        <v>279</v>
      </c>
      <c r="D1072" s="14">
        <v>10.8</v>
      </c>
    </row>
    <row r="1073" spans="1:4" x14ac:dyDescent="0.35">
      <c r="A1073" s="13">
        <v>46284</v>
      </c>
      <c r="B1073" t="s">
        <v>85</v>
      </c>
      <c r="C1073" t="s">
        <v>280</v>
      </c>
      <c r="D1073" s="14">
        <v>14.4</v>
      </c>
    </row>
    <row r="1074" spans="1:4" x14ac:dyDescent="0.35">
      <c r="A1074" s="13">
        <v>46284</v>
      </c>
      <c r="B1074" t="s">
        <v>85</v>
      </c>
      <c r="C1074" t="s">
        <v>281</v>
      </c>
      <c r="D1074" s="14">
        <v>11.7</v>
      </c>
    </row>
    <row r="1075" spans="1:4" x14ac:dyDescent="0.35">
      <c r="A1075" s="13">
        <v>46284</v>
      </c>
      <c r="B1075" t="s">
        <v>87</v>
      </c>
      <c r="C1075" t="s">
        <v>282</v>
      </c>
      <c r="D1075" s="14">
        <v>7.4</v>
      </c>
    </row>
    <row r="1076" spans="1:4" x14ac:dyDescent="0.35">
      <c r="A1076" s="13">
        <v>46284</v>
      </c>
      <c r="B1076" t="s">
        <v>87</v>
      </c>
      <c r="C1076" t="s">
        <v>283</v>
      </c>
      <c r="D1076" s="14">
        <v>14</v>
      </c>
    </row>
    <row r="1077" spans="1:4" x14ac:dyDescent="0.35">
      <c r="A1077" s="13">
        <v>46284</v>
      </c>
      <c r="B1077" t="s">
        <v>87</v>
      </c>
      <c r="C1077" t="s">
        <v>284</v>
      </c>
      <c r="D1077" s="14">
        <v>12</v>
      </c>
    </row>
    <row r="1078" spans="1:4" x14ac:dyDescent="0.35">
      <c r="A1078" s="13">
        <v>46284</v>
      </c>
      <c r="B1078" t="s">
        <v>87</v>
      </c>
      <c r="C1078" t="s">
        <v>285</v>
      </c>
      <c r="D1078" s="14">
        <v>17.399999999999999</v>
      </c>
    </row>
    <row r="1079" spans="1:4" x14ac:dyDescent="0.35">
      <c r="A1079" s="13">
        <v>46284</v>
      </c>
      <c r="B1079" t="s">
        <v>87</v>
      </c>
      <c r="C1079" t="s">
        <v>286</v>
      </c>
      <c r="D1079" s="14">
        <v>12.5</v>
      </c>
    </row>
    <row r="1080" spans="1:4" x14ac:dyDescent="0.35">
      <c r="A1080" s="13">
        <v>46284</v>
      </c>
      <c r="B1080" t="s">
        <v>87</v>
      </c>
      <c r="C1080" t="s">
        <v>287</v>
      </c>
      <c r="D1080" s="14">
        <v>16.100000000000001</v>
      </c>
    </row>
    <row r="1081" spans="1:4" x14ac:dyDescent="0.35">
      <c r="A1081" s="13">
        <v>46284</v>
      </c>
      <c r="B1081" t="s">
        <v>87</v>
      </c>
      <c r="C1081" t="s">
        <v>288</v>
      </c>
      <c r="D1081" s="14">
        <v>10.199999999999999</v>
      </c>
    </row>
    <row r="1082" spans="1:4" x14ac:dyDescent="0.35">
      <c r="A1082" s="13">
        <v>46284</v>
      </c>
      <c r="B1082" t="s">
        <v>87</v>
      </c>
      <c r="C1082" t="s">
        <v>289</v>
      </c>
      <c r="D1082" s="14">
        <v>11</v>
      </c>
    </row>
    <row r="1083" spans="1:4" x14ac:dyDescent="0.35">
      <c r="A1083" s="13">
        <v>46284</v>
      </c>
      <c r="B1083" t="s">
        <v>87</v>
      </c>
      <c r="C1083" t="s">
        <v>290</v>
      </c>
      <c r="D1083" s="14">
        <v>16.600000000000001</v>
      </c>
    </row>
    <row r="1084" spans="1:4" x14ac:dyDescent="0.35">
      <c r="A1084" s="13">
        <v>46284</v>
      </c>
      <c r="B1084" t="s">
        <v>87</v>
      </c>
      <c r="C1084" t="s">
        <v>291</v>
      </c>
      <c r="D1084" s="14">
        <v>12.8</v>
      </c>
    </row>
    <row r="1085" spans="1:4" x14ac:dyDescent="0.35">
      <c r="A1085" s="13">
        <v>46284</v>
      </c>
      <c r="B1085" t="s">
        <v>87</v>
      </c>
      <c r="C1085" t="s">
        <v>292</v>
      </c>
      <c r="D1085" s="14">
        <v>10.7</v>
      </c>
    </row>
    <row r="1086" spans="1:4" x14ac:dyDescent="0.35">
      <c r="A1086" s="13">
        <v>46284</v>
      </c>
      <c r="B1086" t="s">
        <v>87</v>
      </c>
      <c r="C1086" t="s">
        <v>293</v>
      </c>
      <c r="D1086" s="14">
        <v>10</v>
      </c>
    </row>
    <row r="1087" spans="1:4" x14ac:dyDescent="0.35">
      <c r="A1087" s="13">
        <v>46284</v>
      </c>
      <c r="B1087" t="s">
        <v>87</v>
      </c>
      <c r="C1087" t="s">
        <v>294</v>
      </c>
      <c r="D1087" s="14">
        <v>9.8000000000000007</v>
      </c>
    </row>
    <row r="1088" spans="1:4" x14ac:dyDescent="0.35">
      <c r="A1088" s="13">
        <v>46284</v>
      </c>
      <c r="B1088" t="s">
        <v>87</v>
      </c>
      <c r="C1088" t="s">
        <v>295</v>
      </c>
      <c r="D1088" s="14">
        <v>12.2</v>
      </c>
    </row>
    <row r="1089" spans="1:4" x14ac:dyDescent="0.35">
      <c r="A1089" s="13">
        <v>46284</v>
      </c>
      <c r="B1089" t="s">
        <v>87</v>
      </c>
      <c r="C1089" t="s">
        <v>296</v>
      </c>
      <c r="D1089" s="14">
        <v>18.399999999999999</v>
      </c>
    </row>
    <row r="1090" spans="1:4" x14ac:dyDescent="0.35">
      <c r="A1090" s="13">
        <v>46284</v>
      </c>
      <c r="B1090" t="s">
        <v>87</v>
      </c>
      <c r="C1090" t="s">
        <v>297</v>
      </c>
      <c r="D1090" s="14">
        <v>13.4</v>
      </c>
    </row>
    <row r="1091" spans="1:4" x14ac:dyDescent="0.35">
      <c r="A1091" s="13">
        <v>46284</v>
      </c>
      <c r="B1091" t="s">
        <v>77</v>
      </c>
      <c r="C1091" t="s">
        <v>298</v>
      </c>
      <c r="D1091" s="14">
        <v>8</v>
      </c>
    </row>
    <row r="1092" spans="1:4" x14ac:dyDescent="0.35">
      <c r="A1092" s="13">
        <v>46284</v>
      </c>
      <c r="B1092" t="s">
        <v>85</v>
      </c>
      <c r="C1092" t="s">
        <v>299</v>
      </c>
      <c r="D1092" s="14">
        <v>0</v>
      </c>
    </row>
    <row r="1093" spans="1:4" x14ac:dyDescent="0.35">
      <c r="A1093" s="13">
        <v>46291</v>
      </c>
      <c r="B1093" t="s">
        <v>70</v>
      </c>
      <c r="C1093" t="s">
        <v>155</v>
      </c>
      <c r="D1093" s="14">
        <v>24.7</v>
      </c>
    </row>
    <row r="1094" spans="1:4" x14ac:dyDescent="0.35">
      <c r="A1094" s="13">
        <v>46291</v>
      </c>
      <c r="B1094" t="s">
        <v>70</v>
      </c>
      <c r="C1094" t="s">
        <v>158</v>
      </c>
      <c r="D1094" s="14">
        <v>21.3</v>
      </c>
    </row>
    <row r="1095" spans="1:4" x14ac:dyDescent="0.35">
      <c r="A1095" s="13">
        <v>46291</v>
      </c>
      <c r="B1095" t="s">
        <v>70</v>
      </c>
      <c r="C1095" t="s">
        <v>159</v>
      </c>
      <c r="D1095" s="14">
        <v>16.3</v>
      </c>
    </row>
    <row r="1096" spans="1:4" x14ac:dyDescent="0.35">
      <c r="A1096" s="13">
        <v>46291</v>
      </c>
      <c r="B1096" t="s">
        <v>70</v>
      </c>
      <c r="C1096" t="s">
        <v>162</v>
      </c>
      <c r="D1096" s="14">
        <v>23.3</v>
      </c>
    </row>
    <row r="1097" spans="1:4" x14ac:dyDescent="0.35">
      <c r="A1097" s="13">
        <v>46291</v>
      </c>
      <c r="B1097" t="s">
        <v>70</v>
      </c>
      <c r="C1097" t="s">
        <v>164</v>
      </c>
      <c r="D1097" s="14">
        <v>10.199999999999999</v>
      </c>
    </row>
    <row r="1098" spans="1:4" x14ac:dyDescent="0.35">
      <c r="A1098" s="13">
        <v>46291</v>
      </c>
      <c r="B1098" t="s">
        <v>70</v>
      </c>
      <c r="C1098" t="s">
        <v>167</v>
      </c>
      <c r="D1098" s="14">
        <v>13.1</v>
      </c>
    </row>
    <row r="1099" spans="1:4" x14ac:dyDescent="0.35">
      <c r="A1099" s="13">
        <v>46291</v>
      </c>
      <c r="B1099" t="s">
        <v>70</v>
      </c>
      <c r="C1099" t="s">
        <v>169</v>
      </c>
      <c r="D1099" s="14">
        <v>9.8000000000000007</v>
      </c>
    </row>
    <row r="1100" spans="1:4" x14ac:dyDescent="0.35">
      <c r="A1100" s="13">
        <v>46291</v>
      </c>
      <c r="B1100" t="s">
        <v>70</v>
      </c>
      <c r="C1100" t="s">
        <v>170</v>
      </c>
      <c r="D1100" s="14">
        <v>19.3</v>
      </c>
    </row>
    <row r="1101" spans="1:4" x14ac:dyDescent="0.35">
      <c r="A1101" s="13">
        <v>46291</v>
      </c>
      <c r="B1101" t="s">
        <v>70</v>
      </c>
      <c r="C1101" t="s">
        <v>171</v>
      </c>
      <c r="D1101" s="14">
        <v>15.3</v>
      </c>
    </row>
    <row r="1102" spans="1:4" x14ac:dyDescent="0.35">
      <c r="A1102" s="13">
        <v>46291</v>
      </c>
      <c r="B1102" t="s">
        <v>70</v>
      </c>
      <c r="C1102" t="s">
        <v>172</v>
      </c>
      <c r="D1102" s="14">
        <v>9.9</v>
      </c>
    </row>
    <row r="1103" spans="1:4" x14ac:dyDescent="0.35">
      <c r="A1103" s="13">
        <v>46291</v>
      </c>
      <c r="B1103" t="s">
        <v>70</v>
      </c>
      <c r="C1103" t="s">
        <v>173</v>
      </c>
      <c r="D1103" s="14">
        <v>18</v>
      </c>
    </row>
    <row r="1104" spans="1:4" x14ac:dyDescent="0.35">
      <c r="A1104" s="13">
        <v>46291</v>
      </c>
      <c r="B1104" t="s">
        <v>70</v>
      </c>
      <c r="C1104" t="s">
        <v>174</v>
      </c>
      <c r="D1104" s="14">
        <v>21.9</v>
      </c>
    </row>
    <row r="1105" spans="1:4" x14ac:dyDescent="0.35">
      <c r="A1105" s="13">
        <v>46291</v>
      </c>
      <c r="B1105" t="s">
        <v>70</v>
      </c>
      <c r="C1105" t="s">
        <v>175</v>
      </c>
      <c r="D1105" s="14">
        <v>15.1</v>
      </c>
    </row>
    <row r="1106" spans="1:4" x14ac:dyDescent="0.35">
      <c r="A1106" s="13">
        <v>46291</v>
      </c>
      <c r="B1106" t="s">
        <v>70</v>
      </c>
      <c r="C1106" t="s">
        <v>176</v>
      </c>
      <c r="D1106" s="14">
        <v>11.8</v>
      </c>
    </row>
    <row r="1107" spans="1:4" x14ac:dyDescent="0.35">
      <c r="A1107" s="13">
        <v>46291</v>
      </c>
      <c r="B1107" t="s">
        <v>73</v>
      </c>
      <c r="C1107" t="s">
        <v>177</v>
      </c>
      <c r="D1107" s="14">
        <v>12</v>
      </c>
    </row>
    <row r="1108" spans="1:4" x14ac:dyDescent="0.35">
      <c r="A1108" s="13">
        <v>46291</v>
      </c>
      <c r="B1108" t="s">
        <v>73</v>
      </c>
      <c r="C1108" t="s">
        <v>178</v>
      </c>
      <c r="D1108" s="14">
        <v>10.4</v>
      </c>
    </row>
    <row r="1109" spans="1:4" x14ac:dyDescent="0.35">
      <c r="A1109" s="13">
        <v>46291</v>
      </c>
      <c r="B1109" t="s">
        <v>73</v>
      </c>
      <c r="C1109" t="s">
        <v>179</v>
      </c>
      <c r="D1109" s="14">
        <v>15.4</v>
      </c>
    </row>
    <row r="1110" spans="1:4" x14ac:dyDescent="0.35">
      <c r="A1110" s="13">
        <v>46291</v>
      </c>
      <c r="B1110" t="s">
        <v>73</v>
      </c>
      <c r="C1110" t="s">
        <v>180</v>
      </c>
      <c r="D1110" s="14">
        <v>8.6999999999999993</v>
      </c>
    </row>
    <row r="1111" spans="1:4" x14ac:dyDescent="0.35">
      <c r="A1111" s="13">
        <v>46291</v>
      </c>
      <c r="B1111" t="s">
        <v>73</v>
      </c>
      <c r="C1111" t="s">
        <v>181</v>
      </c>
      <c r="D1111" s="14">
        <v>9.8000000000000007</v>
      </c>
    </row>
    <row r="1112" spans="1:4" x14ac:dyDescent="0.35">
      <c r="A1112" s="13">
        <v>46291</v>
      </c>
      <c r="B1112" t="s">
        <v>73</v>
      </c>
      <c r="C1112" t="s">
        <v>182</v>
      </c>
      <c r="D1112" s="14">
        <v>12.9</v>
      </c>
    </row>
    <row r="1113" spans="1:4" x14ac:dyDescent="0.35">
      <c r="A1113" s="13">
        <v>46291</v>
      </c>
      <c r="B1113" t="s">
        <v>73</v>
      </c>
      <c r="C1113" t="s">
        <v>183</v>
      </c>
      <c r="D1113" s="14">
        <v>19.3</v>
      </c>
    </row>
    <row r="1114" spans="1:4" x14ac:dyDescent="0.35">
      <c r="A1114" s="13">
        <v>46291</v>
      </c>
      <c r="B1114" t="s">
        <v>73</v>
      </c>
      <c r="C1114" t="s">
        <v>184</v>
      </c>
      <c r="D1114" s="14">
        <v>15.3</v>
      </c>
    </row>
    <row r="1115" spans="1:4" x14ac:dyDescent="0.35">
      <c r="A1115" s="13">
        <v>46291</v>
      </c>
      <c r="B1115" t="s">
        <v>73</v>
      </c>
      <c r="C1115" t="s">
        <v>185</v>
      </c>
      <c r="D1115" s="14">
        <v>9.6999999999999993</v>
      </c>
    </row>
    <row r="1116" spans="1:4" x14ac:dyDescent="0.35">
      <c r="A1116" s="13">
        <v>46291</v>
      </c>
      <c r="B1116" t="s">
        <v>73</v>
      </c>
      <c r="C1116" t="s">
        <v>186</v>
      </c>
      <c r="D1116" s="14">
        <v>14</v>
      </c>
    </row>
    <row r="1117" spans="1:4" x14ac:dyDescent="0.35">
      <c r="A1117" s="13">
        <v>46291</v>
      </c>
      <c r="B1117" t="s">
        <v>73</v>
      </c>
      <c r="C1117" t="s">
        <v>187</v>
      </c>
      <c r="D1117" s="14">
        <v>7.5</v>
      </c>
    </row>
    <row r="1118" spans="1:4" x14ac:dyDescent="0.35">
      <c r="A1118" s="13">
        <v>46291</v>
      </c>
      <c r="B1118" t="s">
        <v>73</v>
      </c>
      <c r="C1118" t="s">
        <v>189</v>
      </c>
      <c r="D1118" s="14">
        <v>10.4</v>
      </c>
    </row>
    <row r="1119" spans="1:4" x14ac:dyDescent="0.35">
      <c r="A1119" s="13">
        <v>46291</v>
      </c>
      <c r="B1119" t="s">
        <v>73</v>
      </c>
      <c r="C1119" t="s">
        <v>190</v>
      </c>
      <c r="D1119" s="14">
        <v>12</v>
      </c>
    </row>
    <row r="1120" spans="1:4" x14ac:dyDescent="0.35">
      <c r="A1120" s="13">
        <v>46291</v>
      </c>
      <c r="B1120" t="s">
        <v>73</v>
      </c>
      <c r="C1120" t="s">
        <v>191</v>
      </c>
      <c r="D1120" s="14">
        <v>11.4</v>
      </c>
    </row>
    <row r="1121" spans="1:4" x14ac:dyDescent="0.35">
      <c r="A1121" s="13">
        <v>46291</v>
      </c>
      <c r="B1121" t="s">
        <v>73</v>
      </c>
      <c r="C1121" t="s">
        <v>192</v>
      </c>
      <c r="D1121" s="14">
        <v>7.2</v>
      </c>
    </row>
    <row r="1122" spans="1:4" x14ac:dyDescent="0.35">
      <c r="A1122" s="13">
        <v>46291</v>
      </c>
      <c r="B1122" t="s">
        <v>73</v>
      </c>
      <c r="C1122" t="s">
        <v>193</v>
      </c>
      <c r="D1122" s="14">
        <v>14.4</v>
      </c>
    </row>
    <row r="1123" spans="1:4" x14ac:dyDescent="0.35">
      <c r="A1123" s="13">
        <v>46291</v>
      </c>
      <c r="B1123" t="s">
        <v>73</v>
      </c>
      <c r="C1123" t="s">
        <v>194</v>
      </c>
      <c r="D1123" s="14">
        <v>9.1999999999999993</v>
      </c>
    </row>
    <row r="1124" spans="1:4" x14ac:dyDescent="0.35">
      <c r="A1124" s="13">
        <v>46291</v>
      </c>
      <c r="B1124" t="s">
        <v>73</v>
      </c>
      <c r="C1124" t="s">
        <v>195</v>
      </c>
      <c r="D1124" s="14">
        <v>14.5</v>
      </c>
    </row>
    <row r="1125" spans="1:4" x14ac:dyDescent="0.35">
      <c r="A1125" s="13">
        <v>46291</v>
      </c>
      <c r="B1125" t="s">
        <v>73</v>
      </c>
      <c r="C1125" t="s">
        <v>196</v>
      </c>
      <c r="D1125" s="14">
        <v>7.9</v>
      </c>
    </row>
    <row r="1126" spans="1:4" x14ac:dyDescent="0.35">
      <c r="A1126" s="13">
        <v>46291</v>
      </c>
      <c r="B1126" t="s">
        <v>3</v>
      </c>
      <c r="C1126" t="s">
        <v>197</v>
      </c>
      <c r="D1126" s="14">
        <v>13.5</v>
      </c>
    </row>
    <row r="1127" spans="1:4" x14ac:dyDescent="0.35">
      <c r="A1127" s="13">
        <v>46291</v>
      </c>
      <c r="B1127" t="s">
        <v>3</v>
      </c>
      <c r="C1127" t="s">
        <v>198</v>
      </c>
      <c r="D1127" s="14">
        <v>11.9</v>
      </c>
    </row>
    <row r="1128" spans="1:4" x14ac:dyDescent="0.35">
      <c r="A1128" s="13">
        <v>46291</v>
      </c>
      <c r="B1128" t="s">
        <v>3</v>
      </c>
      <c r="C1128" t="s">
        <v>199</v>
      </c>
      <c r="D1128" s="14">
        <v>18.5</v>
      </c>
    </row>
    <row r="1129" spans="1:4" x14ac:dyDescent="0.35">
      <c r="A1129" s="13">
        <v>46291</v>
      </c>
      <c r="B1129" t="s">
        <v>3</v>
      </c>
      <c r="C1129" t="s">
        <v>200</v>
      </c>
      <c r="D1129" s="14">
        <v>13.3</v>
      </c>
    </row>
    <row r="1130" spans="1:4" x14ac:dyDescent="0.35">
      <c r="A1130" s="13">
        <v>46291</v>
      </c>
      <c r="B1130" t="s">
        <v>3</v>
      </c>
      <c r="C1130" t="s">
        <v>201</v>
      </c>
      <c r="D1130" s="14">
        <v>21.1</v>
      </c>
    </row>
    <row r="1131" spans="1:4" x14ac:dyDescent="0.35">
      <c r="A1131" s="13">
        <v>46291</v>
      </c>
      <c r="B1131" t="s">
        <v>3</v>
      </c>
      <c r="C1131" t="s">
        <v>202</v>
      </c>
      <c r="D1131" s="14">
        <v>8.6</v>
      </c>
    </row>
    <row r="1132" spans="1:4" x14ac:dyDescent="0.35">
      <c r="A1132" s="13">
        <v>46291</v>
      </c>
      <c r="B1132" t="s">
        <v>3</v>
      </c>
      <c r="C1132" t="s">
        <v>203</v>
      </c>
      <c r="D1132" s="14">
        <v>14.5</v>
      </c>
    </row>
    <row r="1133" spans="1:4" x14ac:dyDescent="0.35">
      <c r="A1133" s="13">
        <v>46291</v>
      </c>
      <c r="B1133" t="s">
        <v>3</v>
      </c>
      <c r="C1133" t="s">
        <v>204</v>
      </c>
      <c r="D1133" s="14">
        <v>8.1999999999999993</v>
      </c>
    </row>
    <row r="1134" spans="1:4" x14ac:dyDescent="0.35">
      <c r="A1134" s="13">
        <v>46291</v>
      </c>
      <c r="B1134" t="s">
        <v>3</v>
      </c>
      <c r="C1134" t="s">
        <v>205</v>
      </c>
      <c r="D1134" s="14">
        <v>23.5</v>
      </c>
    </row>
    <row r="1135" spans="1:4" x14ac:dyDescent="0.35">
      <c r="A1135" s="13">
        <v>46291</v>
      </c>
      <c r="B1135" t="s">
        <v>3</v>
      </c>
      <c r="C1135" t="s">
        <v>206</v>
      </c>
      <c r="D1135" s="14">
        <v>22.2</v>
      </c>
    </row>
    <row r="1136" spans="1:4" x14ac:dyDescent="0.35">
      <c r="A1136" s="13">
        <v>46291</v>
      </c>
      <c r="B1136" t="s">
        <v>3</v>
      </c>
      <c r="C1136" t="s">
        <v>207</v>
      </c>
      <c r="D1136" s="14">
        <v>22.5</v>
      </c>
    </row>
    <row r="1137" spans="1:4" x14ac:dyDescent="0.35">
      <c r="A1137" s="13">
        <v>46291</v>
      </c>
      <c r="B1137" t="s">
        <v>3</v>
      </c>
      <c r="C1137" t="s">
        <v>208</v>
      </c>
      <c r="D1137" s="14">
        <v>21.7</v>
      </c>
    </row>
    <row r="1138" spans="1:4" x14ac:dyDescent="0.35">
      <c r="A1138" s="13">
        <v>46291</v>
      </c>
      <c r="B1138" t="s">
        <v>3</v>
      </c>
      <c r="C1138" t="s">
        <v>209</v>
      </c>
      <c r="D1138" s="14">
        <v>20.5</v>
      </c>
    </row>
    <row r="1139" spans="1:4" x14ac:dyDescent="0.35">
      <c r="A1139" s="13">
        <v>46291</v>
      </c>
      <c r="B1139" t="s">
        <v>3</v>
      </c>
      <c r="C1139" t="s">
        <v>210</v>
      </c>
      <c r="D1139" s="14">
        <v>13.1</v>
      </c>
    </row>
    <row r="1140" spans="1:4" x14ac:dyDescent="0.35">
      <c r="A1140" s="13">
        <v>46291</v>
      </c>
      <c r="B1140" t="s">
        <v>3</v>
      </c>
      <c r="C1140" t="s">
        <v>211</v>
      </c>
      <c r="D1140" s="14">
        <v>14.4</v>
      </c>
    </row>
    <row r="1141" spans="1:4" x14ac:dyDescent="0.35">
      <c r="A1141" s="13">
        <v>46291</v>
      </c>
      <c r="B1141" t="s">
        <v>3</v>
      </c>
      <c r="C1141" t="s">
        <v>212</v>
      </c>
      <c r="D1141" s="14">
        <v>20.3</v>
      </c>
    </row>
    <row r="1142" spans="1:4" x14ac:dyDescent="0.35">
      <c r="A1142" s="13">
        <v>46291</v>
      </c>
      <c r="B1142" t="s">
        <v>3</v>
      </c>
      <c r="C1142" t="s">
        <v>213</v>
      </c>
      <c r="D1142" s="14">
        <v>11.8</v>
      </c>
    </row>
    <row r="1143" spans="1:4" x14ac:dyDescent="0.35">
      <c r="A1143" s="13">
        <v>46291</v>
      </c>
      <c r="B1143" t="s">
        <v>3</v>
      </c>
      <c r="C1143" t="s">
        <v>214</v>
      </c>
      <c r="D1143" s="14">
        <v>14</v>
      </c>
    </row>
    <row r="1144" spans="1:4" x14ac:dyDescent="0.35">
      <c r="A1144" s="13">
        <v>46291</v>
      </c>
      <c r="B1144" t="s">
        <v>3</v>
      </c>
      <c r="C1144" t="s">
        <v>215</v>
      </c>
      <c r="D1144" s="14">
        <v>10.1</v>
      </c>
    </row>
    <row r="1145" spans="1:4" x14ac:dyDescent="0.35">
      <c r="A1145" s="13">
        <v>46291</v>
      </c>
      <c r="B1145" t="s">
        <v>77</v>
      </c>
      <c r="C1145" t="s">
        <v>216</v>
      </c>
      <c r="D1145" s="14">
        <v>12.2</v>
      </c>
    </row>
    <row r="1146" spans="1:4" x14ac:dyDescent="0.35">
      <c r="A1146" s="13">
        <v>46291</v>
      </c>
      <c r="B1146" t="s">
        <v>77</v>
      </c>
      <c r="C1146" t="s">
        <v>217</v>
      </c>
      <c r="D1146" s="14">
        <v>13.8</v>
      </c>
    </row>
    <row r="1147" spans="1:4" x14ac:dyDescent="0.35">
      <c r="A1147" s="13">
        <v>46291</v>
      </c>
      <c r="B1147" t="s">
        <v>77</v>
      </c>
      <c r="C1147" t="s">
        <v>218</v>
      </c>
      <c r="D1147" s="14">
        <v>13.9</v>
      </c>
    </row>
    <row r="1148" spans="1:4" x14ac:dyDescent="0.35">
      <c r="A1148" s="13">
        <v>46291</v>
      </c>
      <c r="B1148" t="s">
        <v>77</v>
      </c>
      <c r="C1148" t="s">
        <v>219</v>
      </c>
      <c r="D1148" s="14">
        <v>8</v>
      </c>
    </row>
    <row r="1149" spans="1:4" x14ac:dyDescent="0.35">
      <c r="A1149" s="13">
        <v>46291</v>
      </c>
      <c r="B1149" t="s">
        <v>77</v>
      </c>
      <c r="C1149" t="s">
        <v>220</v>
      </c>
      <c r="D1149" s="14">
        <v>12</v>
      </c>
    </row>
    <row r="1150" spans="1:4" x14ac:dyDescent="0.35">
      <c r="A1150" s="13">
        <v>46291</v>
      </c>
      <c r="B1150" t="s">
        <v>77</v>
      </c>
      <c r="C1150" t="s">
        <v>221</v>
      </c>
      <c r="D1150" s="14">
        <v>28.9</v>
      </c>
    </row>
    <row r="1151" spans="1:4" x14ac:dyDescent="0.35">
      <c r="A1151" s="13">
        <v>46291</v>
      </c>
      <c r="B1151" t="s">
        <v>77</v>
      </c>
      <c r="C1151" t="s">
        <v>222</v>
      </c>
      <c r="D1151" s="14">
        <v>13.1</v>
      </c>
    </row>
    <row r="1152" spans="1:4" x14ac:dyDescent="0.35">
      <c r="A1152" s="13">
        <v>46291</v>
      </c>
      <c r="B1152" t="s">
        <v>77</v>
      </c>
      <c r="C1152" t="s">
        <v>223</v>
      </c>
      <c r="D1152" s="14">
        <v>19</v>
      </c>
    </row>
    <row r="1153" spans="1:4" x14ac:dyDescent="0.35">
      <c r="A1153" s="13">
        <v>46291</v>
      </c>
      <c r="B1153" t="s">
        <v>77</v>
      </c>
      <c r="C1153" t="s">
        <v>224</v>
      </c>
      <c r="D1153" s="14">
        <v>13.5</v>
      </c>
    </row>
    <row r="1154" spans="1:4" x14ac:dyDescent="0.35">
      <c r="A1154" s="13">
        <v>46291</v>
      </c>
      <c r="B1154" t="s">
        <v>77</v>
      </c>
      <c r="C1154" t="s">
        <v>225</v>
      </c>
      <c r="D1154" s="14">
        <v>11.2</v>
      </c>
    </row>
    <row r="1155" spans="1:4" x14ac:dyDescent="0.35">
      <c r="A1155" s="13">
        <v>46291</v>
      </c>
      <c r="B1155" t="s">
        <v>77</v>
      </c>
      <c r="C1155" t="s">
        <v>226</v>
      </c>
      <c r="D1155" s="14">
        <v>18.8</v>
      </c>
    </row>
    <row r="1156" spans="1:4" x14ac:dyDescent="0.35">
      <c r="A1156" s="13">
        <v>46291</v>
      </c>
      <c r="B1156" t="s">
        <v>77</v>
      </c>
      <c r="C1156" t="s">
        <v>227</v>
      </c>
      <c r="D1156" s="14">
        <v>14.5</v>
      </c>
    </row>
    <row r="1157" spans="1:4" x14ac:dyDescent="0.35">
      <c r="A1157" s="13">
        <v>46291</v>
      </c>
      <c r="B1157" t="s">
        <v>77</v>
      </c>
      <c r="C1157" t="s">
        <v>228</v>
      </c>
      <c r="D1157" s="14">
        <v>22.5</v>
      </c>
    </row>
    <row r="1158" spans="1:4" x14ac:dyDescent="0.35">
      <c r="A1158" s="13">
        <v>46291</v>
      </c>
      <c r="B1158" t="s">
        <v>77</v>
      </c>
      <c r="C1158" t="s">
        <v>229</v>
      </c>
      <c r="D1158" s="14">
        <v>7.5</v>
      </c>
    </row>
    <row r="1159" spans="1:4" x14ac:dyDescent="0.35">
      <c r="A1159" s="13">
        <v>46291</v>
      </c>
      <c r="B1159" t="s">
        <v>77</v>
      </c>
      <c r="C1159" t="s">
        <v>230</v>
      </c>
      <c r="D1159" s="14">
        <v>8.6</v>
      </c>
    </row>
    <row r="1160" spans="1:4" x14ac:dyDescent="0.35">
      <c r="A1160" s="13">
        <v>46291</v>
      </c>
      <c r="B1160" t="s">
        <v>80</v>
      </c>
      <c r="C1160" t="s">
        <v>231</v>
      </c>
      <c r="D1160" s="14">
        <v>14.3</v>
      </c>
    </row>
    <row r="1161" spans="1:4" x14ac:dyDescent="0.35">
      <c r="A1161" s="13">
        <v>46291</v>
      </c>
      <c r="B1161" t="s">
        <v>80</v>
      </c>
      <c r="C1161" t="s">
        <v>232</v>
      </c>
      <c r="D1161" s="14">
        <v>21.7</v>
      </c>
    </row>
    <row r="1162" spans="1:4" x14ac:dyDescent="0.35">
      <c r="A1162" s="13">
        <v>46291</v>
      </c>
      <c r="B1162" t="s">
        <v>80</v>
      </c>
      <c r="C1162" t="s">
        <v>233</v>
      </c>
      <c r="D1162" s="14">
        <v>11.2</v>
      </c>
    </row>
    <row r="1163" spans="1:4" x14ac:dyDescent="0.35">
      <c r="A1163" s="13">
        <v>46291</v>
      </c>
      <c r="B1163" t="s">
        <v>80</v>
      </c>
      <c r="C1163" t="s">
        <v>234</v>
      </c>
      <c r="D1163" s="14">
        <v>7.6</v>
      </c>
    </row>
    <row r="1164" spans="1:4" x14ac:dyDescent="0.35">
      <c r="A1164" s="13">
        <v>46291</v>
      </c>
      <c r="B1164" t="s">
        <v>80</v>
      </c>
      <c r="C1164" t="s">
        <v>235</v>
      </c>
      <c r="D1164" s="14">
        <v>17</v>
      </c>
    </row>
    <row r="1165" spans="1:4" x14ac:dyDescent="0.35">
      <c r="A1165" s="13">
        <v>46291</v>
      </c>
      <c r="B1165" t="s">
        <v>80</v>
      </c>
      <c r="C1165" t="s">
        <v>236</v>
      </c>
      <c r="D1165" s="14">
        <v>18.7</v>
      </c>
    </row>
    <row r="1166" spans="1:4" x14ac:dyDescent="0.35">
      <c r="A1166" s="13">
        <v>46291</v>
      </c>
      <c r="B1166" t="s">
        <v>80</v>
      </c>
      <c r="C1166" t="s">
        <v>237</v>
      </c>
      <c r="D1166" s="14">
        <v>12.9</v>
      </c>
    </row>
    <row r="1167" spans="1:4" x14ac:dyDescent="0.35">
      <c r="A1167" s="13">
        <v>46291</v>
      </c>
      <c r="B1167" t="s">
        <v>80</v>
      </c>
      <c r="C1167" t="s">
        <v>238</v>
      </c>
      <c r="D1167" s="14">
        <v>17.2</v>
      </c>
    </row>
    <row r="1168" spans="1:4" x14ac:dyDescent="0.35">
      <c r="A1168" s="13">
        <v>46291</v>
      </c>
      <c r="B1168" t="s">
        <v>80</v>
      </c>
      <c r="C1168" t="s">
        <v>239</v>
      </c>
      <c r="D1168" s="14">
        <v>8.6999999999999993</v>
      </c>
    </row>
    <row r="1169" spans="1:4" x14ac:dyDescent="0.35">
      <c r="A1169" s="13">
        <v>46291</v>
      </c>
      <c r="B1169" t="s">
        <v>80</v>
      </c>
      <c r="C1169" t="s">
        <v>240</v>
      </c>
      <c r="D1169" s="14">
        <v>18.899999999999999</v>
      </c>
    </row>
    <row r="1170" spans="1:4" x14ac:dyDescent="0.35">
      <c r="A1170" s="13">
        <v>46291</v>
      </c>
      <c r="B1170" t="s">
        <v>80</v>
      </c>
      <c r="C1170" t="s">
        <v>241</v>
      </c>
      <c r="D1170" s="14">
        <v>12</v>
      </c>
    </row>
    <row r="1171" spans="1:4" x14ac:dyDescent="0.35">
      <c r="A1171" s="13">
        <v>46291</v>
      </c>
      <c r="B1171" t="s">
        <v>80</v>
      </c>
      <c r="C1171" t="s">
        <v>242</v>
      </c>
      <c r="D1171" s="14">
        <v>27.3</v>
      </c>
    </row>
    <row r="1172" spans="1:4" x14ac:dyDescent="0.35">
      <c r="A1172" s="13">
        <v>46291</v>
      </c>
      <c r="B1172" t="s">
        <v>80</v>
      </c>
      <c r="C1172" t="s">
        <v>243</v>
      </c>
      <c r="D1172" s="14">
        <v>21.7</v>
      </c>
    </row>
    <row r="1173" spans="1:4" x14ac:dyDescent="0.35">
      <c r="A1173" s="13">
        <v>46291</v>
      </c>
      <c r="B1173" t="s">
        <v>80</v>
      </c>
      <c r="C1173" t="s">
        <v>244</v>
      </c>
      <c r="D1173" s="14">
        <v>15.1</v>
      </c>
    </row>
    <row r="1174" spans="1:4" x14ac:dyDescent="0.35">
      <c r="A1174" s="13">
        <v>46291</v>
      </c>
      <c r="B1174" t="s">
        <v>80</v>
      </c>
      <c r="C1174" t="s">
        <v>245</v>
      </c>
      <c r="D1174" s="14">
        <v>14.4</v>
      </c>
    </row>
    <row r="1175" spans="1:4" x14ac:dyDescent="0.35">
      <c r="A1175" s="13">
        <v>46291</v>
      </c>
      <c r="B1175" t="s">
        <v>80</v>
      </c>
      <c r="C1175" t="s">
        <v>246</v>
      </c>
      <c r="D1175" s="14">
        <v>14.9</v>
      </c>
    </row>
    <row r="1176" spans="1:4" x14ac:dyDescent="0.35">
      <c r="A1176" s="13">
        <v>46291</v>
      </c>
      <c r="B1176" t="s">
        <v>80</v>
      </c>
      <c r="C1176" t="s">
        <v>247</v>
      </c>
      <c r="D1176" s="14">
        <v>26.3</v>
      </c>
    </row>
    <row r="1177" spans="1:4" x14ac:dyDescent="0.35">
      <c r="A1177" s="13">
        <v>46291</v>
      </c>
      <c r="B1177" t="s">
        <v>82</v>
      </c>
      <c r="C1177" t="s">
        <v>248</v>
      </c>
      <c r="D1177" s="14">
        <v>21.6</v>
      </c>
    </row>
    <row r="1178" spans="1:4" x14ac:dyDescent="0.35">
      <c r="A1178" s="13">
        <v>46291</v>
      </c>
      <c r="B1178" t="s">
        <v>82</v>
      </c>
      <c r="C1178" t="s">
        <v>249</v>
      </c>
      <c r="D1178" s="14">
        <v>9.6</v>
      </c>
    </row>
    <row r="1179" spans="1:4" x14ac:dyDescent="0.35">
      <c r="A1179" s="13">
        <v>46291</v>
      </c>
      <c r="B1179" t="s">
        <v>82</v>
      </c>
      <c r="C1179" t="s">
        <v>250</v>
      </c>
      <c r="D1179" s="14">
        <v>15.3</v>
      </c>
    </row>
    <row r="1180" spans="1:4" x14ac:dyDescent="0.35">
      <c r="A1180" s="13">
        <v>46291</v>
      </c>
      <c r="B1180" t="s">
        <v>82</v>
      </c>
      <c r="C1180" t="s">
        <v>251</v>
      </c>
      <c r="D1180" s="14">
        <v>10.7</v>
      </c>
    </row>
    <row r="1181" spans="1:4" x14ac:dyDescent="0.35">
      <c r="A1181" s="13">
        <v>46291</v>
      </c>
      <c r="B1181" t="s">
        <v>82</v>
      </c>
      <c r="C1181" t="s">
        <v>252</v>
      </c>
      <c r="D1181" s="14">
        <v>9.6999999999999993</v>
      </c>
    </row>
    <row r="1182" spans="1:4" x14ac:dyDescent="0.35">
      <c r="A1182" s="13">
        <v>46291</v>
      </c>
      <c r="B1182" t="s">
        <v>82</v>
      </c>
      <c r="C1182" t="s">
        <v>253</v>
      </c>
      <c r="D1182" s="14">
        <v>16.2</v>
      </c>
    </row>
    <row r="1183" spans="1:4" x14ac:dyDescent="0.35">
      <c r="A1183" s="13">
        <v>46291</v>
      </c>
      <c r="B1183" t="s">
        <v>82</v>
      </c>
      <c r="C1183" t="s">
        <v>254</v>
      </c>
      <c r="D1183" s="14">
        <v>8</v>
      </c>
    </row>
    <row r="1184" spans="1:4" x14ac:dyDescent="0.35">
      <c r="A1184" s="13">
        <v>46291</v>
      </c>
      <c r="B1184" t="s">
        <v>82</v>
      </c>
      <c r="C1184" t="s">
        <v>255</v>
      </c>
      <c r="D1184" s="14">
        <v>9.8000000000000007</v>
      </c>
    </row>
    <row r="1185" spans="1:4" x14ac:dyDescent="0.35">
      <c r="A1185" s="13">
        <v>46291</v>
      </c>
      <c r="B1185" t="s">
        <v>82</v>
      </c>
      <c r="C1185" t="s">
        <v>256</v>
      </c>
      <c r="D1185" s="14">
        <v>17.399999999999999</v>
      </c>
    </row>
    <row r="1186" spans="1:4" x14ac:dyDescent="0.35">
      <c r="A1186" s="13">
        <v>46291</v>
      </c>
      <c r="B1186" t="s">
        <v>82</v>
      </c>
      <c r="C1186" t="s">
        <v>257</v>
      </c>
      <c r="D1186" s="14">
        <v>15.7</v>
      </c>
    </row>
    <row r="1187" spans="1:4" x14ac:dyDescent="0.35">
      <c r="A1187" s="13">
        <v>46291</v>
      </c>
      <c r="B1187" t="s">
        <v>82</v>
      </c>
      <c r="C1187" t="s">
        <v>258</v>
      </c>
      <c r="D1187" s="14">
        <v>22.3</v>
      </c>
    </row>
    <row r="1188" spans="1:4" x14ac:dyDescent="0.35">
      <c r="A1188" s="13">
        <v>46291</v>
      </c>
      <c r="B1188" t="s">
        <v>82</v>
      </c>
      <c r="C1188" t="s">
        <v>259</v>
      </c>
      <c r="D1188" s="14">
        <v>10.6</v>
      </c>
    </row>
    <row r="1189" spans="1:4" x14ac:dyDescent="0.35">
      <c r="A1189" s="13">
        <v>46291</v>
      </c>
      <c r="B1189" t="s">
        <v>82</v>
      </c>
      <c r="C1189" t="s">
        <v>260</v>
      </c>
      <c r="D1189" s="14">
        <v>10.6</v>
      </c>
    </row>
    <row r="1190" spans="1:4" x14ac:dyDescent="0.35">
      <c r="A1190" s="13">
        <v>46291</v>
      </c>
      <c r="B1190" t="s">
        <v>82</v>
      </c>
      <c r="C1190" t="s">
        <v>261</v>
      </c>
      <c r="D1190" s="14">
        <v>15.5</v>
      </c>
    </row>
    <row r="1191" spans="1:4" x14ac:dyDescent="0.35">
      <c r="A1191" s="13">
        <v>46291</v>
      </c>
      <c r="B1191" t="s">
        <v>82</v>
      </c>
      <c r="C1191" t="s">
        <v>262</v>
      </c>
      <c r="D1191" s="14">
        <v>21.1</v>
      </c>
    </row>
    <row r="1192" spans="1:4" x14ac:dyDescent="0.35">
      <c r="A1192" s="13">
        <v>46291</v>
      </c>
      <c r="B1192" t="s">
        <v>82</v>
      </c>
      <c r="C1192" t="s">
        <v>263</v>
      </c>
      <c r="D1192" s="14">
        <v>9.3000000000000007</v>
      </c>
    </row>
    <row r="1193" spans="1:4" x14ac:dyDescent="0.35">
      <c r="A1193" s="13">
        <v>46291</v>
      </c>
      <c r="B1193" t="s">
        <v>82</v>
      </c>
      <c r="C1193" t="s">
        <v>264</v>
      </c>
      <c r="D1193" s="14">
        <v>23.5</v>
      </c>
    </row>
    <row r="1194" spans="1:4" x14ac:dyDescent="0.35">
      <c r="A1194" s="13">
        <v>46291</v>
      </c>
      <c r="B1194" t="s">
        <v>82</v>
      </c>
      <c r="C1194" t="s">
        <v>265</v>
      </c>
      <c r="D1194" s="14">
        <v>16</v>
      </c>
    </row>
    <row r="1195" spans="1:4" x14ac:dyDescent="0.35">
      <c r="A1195" s="13">
        <v>46291</v>
      </c>
      <c r="B1195" t="s">
        <v>85</v>
      </c>
      <c r="C1195" t="s">
        <v>266</v>
      </c>
      <c r="D1195" s="14">
        <v>10.8</v>
      </c>
    </row>
    <row r="1196" spans="1:4" x14ac:dyDescent="0.35">
      <c r="A1196" s="13">
        <v>46291</v>
      </c>
      <c r="B1196" t="s">
        <v>85</v>
      </c>
      <c r="C1196" t="s">
        <v>267</v>
      </c>
      <c r="D1196" s="14">
        <v>6.7</v>
      </c>
    </row>
    <row r="1197" spans="1:4" x14ac:dyDescent="0.35">
      <c r="A1197" s="13">
        <v>46291</v>
      </c>
      <c r="B1197" t="s">
        <v>85</v>
      </c>
      <c r="C1197" t="s">
        <v>268</v>
      </c>
      <c r="D1197" s="14">
        <v>21.3</v>
      </c>
    </row>
    <row r="1198" spans="1:4" x14ac:dyDescent="0.35">
      <c r="A1198" s="13">
        <v>46291</v>
      </c>
      <c r="B1198" t="s">
        <v>85</v>
      </c>
      <c r="C1198" t="s">
        <v>269</v>
      </c>
      <c r="D1198" s="14">
        <v>21.6</v>
      </c>
    </row>
    <row r="1199" spans="1:4" x14ac:dyDescent="0.35">
      <c r="A1199" s="13">
        <v>46291</v>
      </c>
      <c r="B1199" t="s">
        <v>85</v>
      </c>
      <c r="C1199" t="s">
        <v>270</v>
      </c>
      <c r="D1199" s="14">
        <v>17.8</v>
      </c>
    </row>
    <row r="1200" spans="1:4" x14ac:dyDescent="0.35">
      <c r="A1200" s="13">
        <v>46291</v>
      </c>
      <c r="B1200" t="s">
        <v>85</v>
      </c>
      <c r="C1200" t="s">
        <v>271</v>
      </c>
      <c r="D1200" s="14">
        <v>13.1</v>
      </c>
    </row>
    <row r="1201" spans="1:4" x14ac:dyDescent="0.35">
      <c r="A1201" s="13">
        <v>46291</v>
      </c>
      <c r="B1201" t="s">
        <v>85</v>
      </c>
      <c r="C1201" t="s">
        <v>272</v>
      </c>
      <c r="D1201" s="14">
        <v>18.100000000000001</v>
      </c>
    </row>
    <row r="1202" spans="1:4" x14ac:dyDescent="0.35">
      <c r="A1202" s="13">
        <v>46291</v>
      </c>
      <c r="B1202" t="s">
        <v>85</v>
      </c>
      <c r="C1202" t="s">
        <v>273</v>
      </c>
      <c r="D1202" s="14">
        <v>9</v>
      </c>
    </row>
    <row r="1203" spans="1:4" x14ac:dyDescent="0.35">
      <c r="A1203" s="13">
        <v>46291</v>
      </c>
      <c r="B1203" t="s">
        <v>85</v>
      </c>
      <c r="C1203" t="s">
        <v>274</v>
      </c>
      <c r="D1203" s="14">
        <v>8.4</v>
      </c>
    </row>
    <row r="1204" spans="1:4" x14ac:dyDescent="0.35">
      <c r="A1204" s="13">
        <v>46291</v>
      </c>
      <c r="B1204" t="s">
        <v>85</v>
      </c>
      <c r="C1204" t="s">
        <v>275</v>
      </c>
      <c r="D1204" s="14">
        <v>16.5</v>
      </c>
    </row>
    <row r="1205" spans="1:4" x14ac:dyDescent="0.35">
      <c r="A1205" s="13">
        <v>46291</v>
      </c>
      <c r="B1205" t="s">
        <v>85</v>
      </c>
      <c r="C1205" t="s">
        <v>276</v>
      </c>
      <c r="D1205" s="14">
        <v>11.1</v>
      </c>
    </row>
    <row r="1206" spans="1:4" x14ac:dyDescent="0.35">
      <c r="A1206" s="13">
        <v>46291</v>
      </c>
      <c r="B1206" t="s">
        <v>85</v>
      </c>
      <c r="C1206" t="s">
        <v>277</v>
      </c>
      <c r="D1206" s="14">
        <v>13.7</v>
      </c>
    </row>
    <row r="1207" spans="1:4" x14ac:dyDescent="0.35">
      <c r="A1207" s="13">
        <v>46291</v>
      </c>
      <c r="B1207" t="s">
        <v>85</v>
      </c>
      <c r="C1207" t="s">
        <v>278</v>
      </c>
      <c r="D1207" s="14">
        <v>16.100000000000001</v>
      </c>
    </row>
    <row r="1208" spans="1:4" x14ac:dyDescent="0.35">
      <c r="A1208" s="13">
        <v>46291</v>
      </c>
      <c r="B1208" t="s">
        <v>85</v>
      </c>
      <c r="C1208" t="s">
        <v>279</v>
      </c>
      <c r="D1208" s="14">
        <v>10.9</v>
      </c>
    </row>
    <row r="1209" spans="1:4" x14ac:dyDescent="0.35">
      <c r="A1209" s="13">
        <v>46291</v>
      </c>
      <c r="B1209" t="s">
        <v>85</v>
      </c>
      <c r="C1209" t="s">
        <v>280</v>
      </c>
      <c r="D1209" s="14">
        <v>14.5</v>
      </c>
    </row>
    <row r="1210" spans="1:4" x14ac:dyDescent="0.35">
      <c r="A1210" s="13">
        <v>46291</v>
      </c>
      <c r="B1210" t="s">
        <v>85</v>
      </c>
      <c r="C1210" t="s">
        <v>281</v>
      </c>
      <c r="D1210" s="14">
        <v>11.8</v>
      </c>
    </row>
    <row r="1211" spans="1:4" x14ac:dyDescent="0.35">
      <c r="A1211" s="13">
        <v>46291</v>
      </c>
      <c r="B1211" t="s">
        <v>87</v>
      </c>
      <c r="C1211" t="s">
        <v>282</v>
      </c>
      <c r="D1211" s="14">
        <v>7.5</v>
      </c>
    </row>
    <row r="1212" spans="1:4" x14ac:dyDescent="0.35">
      <c r="A1212" s="13">
        <v>46291</v>
      </c>
      <c r="B1212" t="s">
        <v>87</v>
      </c>
      <c r="C1212" t="s">
        <v>283</v>
      </c>
      <c r="D1212" s="14">
        <v>14.1</v>
      </c>
    </row>
    <row r="1213" spans="1:4" x14ac:dyDescent="0.35">
      <c r="A1213" s="13">
        <v>46291</v>
      </c>
      <c r="B1213" t="s">
        <v>87</v>
      </c>
      <c r="C1213" t="s">
        <v>284</v>
      </c>
      <c r="D1213" s="14">
        <v>12.1</v>
      </c>
    </row>
    <row r="1214" spans="1:4" x14ac:dyDescent="0.35">
      <c r="A1214" s="13">
        <v>46291</v>
      </c>
      <c r="B1214" t="s">
        <v>87</v>
      </c>
      <c r="C1214" t="s">
        <v>285</v>
      </c>
      <c r="D1214" s="14">
        <v>17.5</v>
      </c>
    </row>
    <row r="1215" spans="1:4" x14ac:dyDescent="0.35">
      <c r="A1215" s="13">
        <v>46291</v>
      </c>
      <c r="B1215" t="s">
        <v>87</v>
      </c>
      <c r="C1215" t="s">
        <v>286</v>
      </c>
      <c r="D1215" s="14">
        <v>12.5</v>
      </c>
    </row>
    <row r="1216" spans="1:4" x14ac:dyDescent="0.35">
      <c r="A1216" s="13">
        <v>46291</v>
      </c>
      <c r="B1216" t="s">
        <v>87</v>
      </c>
      <c r="C1216" t="s">
        <v>287</v>
      </c>
      <c r="D1216" s="14">
        <v>16.2</v>
      </c>
    </row>
    <row r="1217" spans="1:4" x14ac:dyDescent="0.35">
      <c r="A1217" s="13">
        <v>46291</v>
      </c>
      <c r="B1217" t="s">
        <v>87</v>
      </c>
      <c r="C1217" t="s">
        <v>288</v>
      </c>
      <c r="D1217" s="14">
        <v>10.199999999999999</v>
      </c>
    </row>
    <row r="1218" spans="1:4" x14ac:dyDescent="0.35">
      <c r="A1218" s="13">
        <v>46291</v>
      </c>
      <c r="B1218" t="s">
        <v>87</v>
      </c>
      <c r="C1218" t="s">
        <v>289</v>
      </c>
      <c r="D1218" s="14">
        <v>11.1</v>
      </c>
    </row>
    <row r="1219" spans="1:4" x14ac:dyDescent="0.35">
      <c r="A1219" s="13">
        <v>46291</v>
      </c>
      <c r="B1219" t="s">
        <v>87</v>
      </c>
      <c r="C1219" t="s">
        <v>290</v>
      </c>
      <c r="D1219" s="14">
        <v>16.7</v>
      </c>
    </row>
    <row r="1220" spans="1:4" x14ac:dyDescent="0.35">
      <c r="A1220" s="13">
        <v>46291</v>
      </c>
      <c r="B1220" t="s">
        <v>87</v>
      </c>
      <c r="C1220" t="s">
        <v>291</v>
      </c>
      <c r="D1220" s="14">
        <v>12.9</v>
      </c>
    </row>
    <row r="1221" spans="1:4" x14ac:dyDescent="0.35">
      <c r="A1221" s="13">
        <v>46291</v>
      </c>
      <c r="B1221" t="s">
        <v>87</v>
      </c>
      <c r="C1221" t="s">
        <v>292</v>
      </c>
      <c r="D1221" s="14">
        <v>10.8</v>
      </c>
    </row>
    <row r="1222" spans="1:4" x14ac:dyDescent="0.35">
      <c r="A1222" s="13">
        <v>46291</v>
      </c>
      <c r="B1222" t="s">
        <v>87</v>
      </c>
      <c r="C1222" t="s">
        <v>293</v>
      </c>
      <c r="D1222" s="14">
        <v>10</v>
      </c>
    </row>
    <row r="1223" spans="1:4" x14ac:dyDescent="0.35">
      <c r="A1223" s="13">
        <v>46291</v>
      </c>
      <c r="B1223" t="s">
        <v>87</v>
      </c>
      <c r="C1223" t="s">
        <v>294</v>
      </c>
      <c r="D1223" s="14">
        <v>9.9</v>
      </c>
    </row>
    <row r="1224" spans="1:4" x14ac:dyDescent="0.35">
      <c r="A1224" s="13">
        <v>46291</v>
      </c>
      <c r="B1224" t="s">
        <v>87</v>
      </c>
      <c r="C1224" t="s">
        <v>295</v>
      </c>
      <c r="D1224" s="14">
        <v>12.3</v>
      </c>
    </row>
    <row r="1225" spans="1:4" x14ac:dyDescent="0.35">
      <c r="A1225" s="13">
        <v>46291</v>
      </c>
      <c r="B1225" t="s">
        <v>87</v>
      </c>
      <c r="C1225" t="s">
        <v>296</v>
      </c>
      <c r="D1225" s="14">
        <v>18.600000000000001</v>
      </c>
    </row>
    <row r="1226" spans="1:4" x14ac:dyDescent="0.35">
      <c r="A1226" s="13">
        <v>46291</v>
      </c>
      <c r="B1226" t="s">
        <v>87</v>
      </c>
      <c r="C1226" t="s">
        <v>297</v>
      </c>
      <c r="D1226" s="14">
        <v>13.5</v>
      </c>
    </row>
    <row r="1227" spans="1:4" x14ac:dyDescent="0.35">
      <c r="A1227" s="13">
        <v>46291</v>
      </c>
      <c r="B1227" t="s">
        <v>77</v>
      </c>
      <c r="C1227" t="s">
        <v>298</v>
      </c>
      <c r="D1227" s="14">
        <v>9</v>
      </c>
    </row>
    <row r="1228" spans="1:4" x14ac:dyDescent="0.35">
      <c r="A1228" s="13">
        <v>46291</v>
      </c>
      <c r="B1228" t="s">
        <v>85</v>
      </c>
      <c r="C1228" t="s">
        <v>299</v>
      </c>
      <c r="D1228" s="14">
        <v>0</v>
      </c>
    </row>
    <row r="1229" spans="1:4" x14ac:dyDescent="0.35">
      <c r="A1229" s="13">
        <v>46298</v>
      </c>
      <c r="B1229" t="s">
        <v>70</v>
      </c>
      <c r="C1229" t="s">
        <v>155</v>
      </c>
      <c r="D1229" s="14">
        <v>24.1</v>
      </c>
    </row>
    <row r="1230" spans="1:4" x14ac:dyDescent="0.35">
      <c r="A1230" s="13">
        <v>46298</v>
      </c>
      <c r="B1230" t="s">
        <v>70</v>
      </c>
      <c r="C1230" t="s">
        <v>158</v>
      </c>
      <c r="D1230" s="14">
        <v>20.9</v>
      </c>
    </row>
    <row r="1231" spans="1:4" x14ac:dyDescent="0.35">
      <c r="A1231" s="13">
        <v>46298</v>
      </c>
      <c r="B1231" t="s">
        <v>70</v>
      </c>
      <c r="C1231" t="s">
        <v>159</v>
      </c>
      <c r="D1231" s="14">
        <v>15.9</v>
      </c>
    </row>
    <row r="1232" spans="1:4" x14ac:dyDescent="0.35">
      <c r="A1232" s="13">
        <v>46298</v>
      </c>
      <c r="B1232" t="s">
        <v>70</v>
      </c>
      <c r="C1232" t="s">
        <v>162</v>
      </c>
      <c r="D1232" s="14">
        <v>22.8</v>
      </c>
    </row>
    <row r="1233" spans="1:4" x14ac:dyDescent="0.35">
      <c r="A1233" s="13">
        <v>46298</v>
      </c>
      <c r="B1233" t="s">
        <v>70</v>
      </c>
      <c r="C1233" t="s">
        <v>164</v>
      </c>
      <c r="D1233" s="14">
        <v>10</v>
      </c>
    </row>
    <row r="1234" spans="1:4" x14ac:dyDescent="0.35">
      <c r="A1234" s="13">
        <v>46298</v>
      </c>
      <c r="B1234" t="s">
        <v>70</v>
      </c>
      <c r="C1234" t="s">
        <v>167</v>
      </c>
      <c r="D1234" s="14">
        <v>12.8</v>
      </c>
    </row>
    <row r="1235" spans="1:4" x14ac:dyDescent="0.35">
      <c r="A1235" s="13">
        <v>46298</v>
      </c>
      <c r="B1235" t="s">
        <v>70</v>
      </c>
      <c r="C1235" t="s">
        <v>169</v>
      </c>
      <c r="D1235" s="14">
        <v>9.6</v>
      </c>
    </row>
    <row r="1236" spans="1:4" x14ac:dyDescent="0.35">
      <c r="A1236" s="13">
        <v>46298</v>
      </c>
      <c r="B1236" t="s">
        <v>70</v>
      </c>
      <c r="C1236" t="s">
        <v>170</v>
      </c>
      <c r="D1236" s="14">
        <v>18.8</v>
      </c>
    </row>
    <row r="1237" spans="1:4" x14ac:dyDescent="0.35">
      <c r="A1237" s="13">
        <v>46298</v>
      </c>
      <c r="B1237" t="s">
        <v>70</v>
      </c>
      <c r="C1237" t="s">
        <v>171</v>
      </c>
      <c r="D1237" s="14">
        <v>14.9</v>
      </c>
    </row>
    <row r="1238" spans="1:4" x14ac:dyDescent="0.35">
      <c r="A1238" s="13">
        <v>46298</v>
      </c>
      <c r="B1238" t="s">
        <v>70</v>
      </c>
      <c r="C1238" t="s">
        <v>172</v>
      </c>
      <c r="D1238" s="14">
        <v>9.6999999999999993</v>
      </c>
    </row>
    <row r="1239" spans="1:4" x14ac:dyDescent="0.35">
      <c r="A1239" s="13">
        <v>46298</v>
      </c>
      <c r="B1239" t="s">
        <v>70</v>
      </c>
      <c r="C1239" t="s">
        <v>173</v>
      </c>
      <c r="D1239" s="14">
        <v>17.600000000000001</v>
      </c>
    </row>
    <row r="1240" spans="1:4" x14ac:dyDescent="0.35">
      <c r="A1240" s="13">
        <v>46298</v>
      </c>
      <c r="B1240" t="s">
        <v>70</v>
      </c>
      <c r="C1240" t="s">
        <v>174</v>
      </c>
      <c r="D1240" s="14">
        <v>21.4</v>
      </c>
    </row>
    <row r="1241" spans="1:4" x14ac:dyDescent="0.35">
      <c r="A1241" s="13">
        <v>46298</v>
      </c>
      <c r="B1241" t="s">
        <v>70</v>
      </c>
      <c r="C1241" t="s">
        <v>175</v>
      </c>
      <c r="D1241" s="14">
        <v>14.8</v>
      </c>
    </row>
    <row r="1242" spans="1:4" x14ac:dyDescent="0.35">
      <c r="A1242" s="13">
        <v>46298</v>
      </c>
      <c r="B1242" t="s">
        <v>70</v>
      </c>
      <c r="C1242" t="s">
        <v>176</v>
      </c>
      <c r="D1242" s="14">
        <v>11.5</v>
      </c>
    </row>
    <row r="1243" spans="1:4" x14ac:dyDescent="0.35">
      <c r="A1243" s="13">
        <v>46298</v>
      </c>
      <c r="B1243" t="s">
        <v>73</v>
      </c>
      <c r="C1243" t="s">
        <v>177</v>
      </c>
      <c r="D1243" s="14">
        <v>12.3</v>
      </c>
    </row>
    <row r="1244" spans="1:4" x14ac:dyDescent="0.35">
      <c r="A1244" s="13">
        <v>46298</v>
      </c>
      <c r="B1244" t="s">
        <v>73</v>
      </c>
      <c r="C1244" t="s">
        <v>178</v>
      </c>
      <c r="D1244" s="14">
        <v>10.6</v>
      </c>
    </row>
    <row r="1245" spans="1:4" x14ac:dyDescent="0.35">
      <c r="A1245" s="13">
        <v>46298</v>
      </c>
      <c r="B1245" t="s">
        <v>73</v>
      </c>
      <c r="C1245" t="s">
        <v>179</v>
      </c>
      <c r="D1245" s="14">
        <v>15.8</v>
      </c>
    </row>
    <row r="1246" spans="1:4" x14ac:dyDescent="0.35">
      <c r="A1246" s="13">
        <v>46298</v>
      </c>
      <c r="B1246" t="s">
        <v>73</v>
      </c>
      <c r="C1246" t="s">
        <v>180</v>
      </c>
      <c r="D1246" s="14">
        <v>8.9</v>
      </c>
    </row>
    <row r="1247" spans="1:4" x14ac:dyDescent="0.35">
      <c r="A1247" s="13">
        <v>46298</v>
      </c>
      <c r="B1247" t="s">
        <v>73</v>
      </c>
      <c r="C1247" t="s">
        <v>181</v>
      </c>
      <c r="D1247" s="14">
        <v>10.1</v>
      </c>
    </row>
    <row r="1248" spans="1:4" x14ac:dyDescent="0.35">
      <c r="A1248" s="13">
        <v>46298</v>
      </c>
      <c r="B1248" t="s">
        <v>73</v>
      </c>
      <c r="C1248" t="s">
        <v>182</v>
      </c>
      <c r="D1248" s="14">
        <v>13.2</v>
      </c>
    </row>
    <row r="1249" spans="1:4" x14ac:dyDescent="0.35">
      <c r="A1249" s="13">
        <v>46298</v>
      </c>
      <c r="B1249" t="s">
        <v>73</v>
      </c>
      <c r="C1249" t="s">
        <v>183</v>
      </c>
      <c r="D1249" s="14">
        <v>19.8</v>
      </c>
    </row>
    <row r="1250" spans="1:4" x14ac:dyDescent="0.35">
      <c r="A1250" s="13">
        <v>46298</v>
      </c>
      <c r="B1250" t="s">
        <v>73</v>
      </c>
      <c r="C1250" t="s">
        <v>184</v>
      </c>
      <c r="D1250" s="14">
        <v>15.7</v>
      </c>
    </row>
    <row r="1251" spans="1:4" x14ac:dyDescent="0.35">
      <c r="A1251" s="13">
        <v>46298</v>
      </c>
      <c r="B1251" t="s">
        <v>73</v>
      </c>
      <c r="C1251" t="s">
        <v>185</v>
      </c>
      <c r="D1251" s="14">
        <v>9.9</v>
      </c>
    </row>
    <row r="1252" spans="1:4" x14ac:dyDescent="0.35">
      <c r="A1252" s="13">
        <v>46298</v>
      </c>
      <c r="B1252" t="s">
        <v>73</v>
      </c>
      <c r="C1252" t="s">
        <v>186</v>
      </c>
      <c r="D1252" s="14">
        <v>14.3</v>
      </c>
    </row>
    <row r="1253" spans="1:4" x14ac:dyDescent="0.35">
      <c r="A1253" s="13">
        <v>46298</v>
      </c>
      <c r="B1253" t="s">
        <v>73</v>
      </c>
      <c r="C1253" t="s">
        <v>187</v>
      </c>
      <c r="D1253" s="14">
        <v>7.7</v>
      </c>
    </row>
    <row r="1254" spans="1:4" x14ac:dyDescent="0.35">
      <c r="A1254" s="13">
        <v>46298</v>
      </c>
      <c r="B1254" t="s">
        <v>73</v>
      </c>
      <c r="C1254" t="s">
        <v>189</v>
      </c>
      <c r="D1254" s="14">
        <v>10.6</v>
      </c>
    </row>
    <row r="1255" spans="1:4" x14ac:dyDescent="0.35">
      <c r="A1255" s="13">
        <v>46298</v>
      </c>
      <c r="B1255" t="s">
        <v>73</v>
      </c>
      <c r="C1255" t="s">
        <v>190</v>
      </c>
      <c r="D1255" s="14">
        <v>12.3</v>
      </c>
    </row>
    <row r="1256" spans="1:4" x14ac:dyDescent="0.35">
      <c r="A1256" s="13">
        <v>46298</v>
      </c>
      <c r="B1256" t="s">
        <v>73</v>
      </c>
      <c r="C1256" t="s">
        <v>191</v>
      </c>
      <c r="D1256" s="14">
        <v>11.7</v>
      </c>
    </row>
    <row r="1257" spans="1:4" x14ac:dyDescent="0.35">
      <c r="A1257" s="13">
        <v>46298</v>
      </c>
      <c r="B1257" t="s">
        <v>73</v>
      </c>
      <c r="C1257" t="s">
        <v>192</v>
      </c>
      <c r="D1257" s="14">
        <v>7.4</v>
      </c>
    </row>
    <row r="1258" spans="1:4" x14ac:dyDescent="0.35">
      <c r="A1258" s="13">
        <v>46298</v>
      </c>
      <c r="B1258" t="s">
        <v>73</v>
      </c>
      <c r="C1258" t="s">
        <v>193</v>
      </c>
      <c r="D1258" s="14">
        <v>14.8</v>
      </c>
    </row>
    <row r="1259" spans="1:4" x14ac:dyDescent="0.35">
      <c r="A1259" s="13">
        <v>46298</v>
      </c>
      <c r="B1259" t="s">
        <v>73</v>
      </c>
      <c r="C1259" t="s">
        <v>194</v>
      </c>
      <c r="D1259" s="14">
        <v>9.5</v>
      </c>
    </row>
    <row r="1260" spans="1:4" x14ac:dyDescent="0.35">
      <c r="A1260" s="13">
        <v>46298</v>
      </c>
      <c r="B1260" t="s">
        <v>73</v>
      </c>
      <c r="C1260" t="s">
        <v>195</v>
      </c>
      <c r="D1260" s="14">
        <v>14.9</v>
      </c>
    </row>
    <row r="1261" spans="1:4" x14ac:dyDescent="0.35">
      <c r="A1261" s="13">
        <v>46298</v>
      </c>
      <c r="B1261" t="s">
        <v>73</v>
      </c>
      <c r="C1261" t="s">
        <v>196</v>
      </c>
      <c r="D1261" s="14">
        <v>8.1</v>
      </c>
    </row>
    <row r="1262" spans="1:4" x14ac:dyDescent="0.35">
      <c r="A1262" s="13">
        <v>46298</v>
      </c>
      <c r="B1262" t="s">
        <v>3</v>
      </c>
      <c r="C1262" t="s">
        <v>197</v>
      </c>
      <c r="D1262" s="14">
        <v>13.3</v>
      </c>
    </row>
    <row r="1263" spans="1:4" x14ac:dyDescent="0.35">
      <c r="A1263" s="13">
        <v>46298</v>
      </c>
      <c r="B1263" t="s">
        <v>3</v>
      </c>
      <c r="C1263" t="s">
        <v>198</v>
      </c>
      <c r="D1263" s="14">
        <v>11.7</v>
      </c>
    </row>
    <row r="1264" spans="1:4" x14ac:dyDescent="0.35">
      <c r="A1264" s="13">
        <v>46298</v>
      </c>
      <c r="B1264" t="s">
        <v>3</v>
      </c>
      <c r="C1264" t="s">
        <v>199</v>
      </c>
      <c r="D1264" s="14">
        <v>18.2</v>
      </c>
    </row>
    <row r="1265" spans="1:4" x14ac:dyDescent="0.35">
      <c r="A1265" s="13">
        <v>46298</v>
      </c>
      <c r="B1265" t="s">
        <v>3</v>
      </c>
      <c r="C1265" t="s">
        <v>200</v>
      </c>
      <c r="D1265" s="14">
        <v>13</v>
      </c>
    </row>
    <row r="1266" spans="1:4" x14ac:dyDescent="0.35">
      <c r="A1266" s="13">
        <v>46298</v>
      </c>
      <c r="B1266" t="s">
        <v>3</v>
      </c>
      <c r="C1266" t="s">
        <v>201</v>
      </c>
      <c r="D1266" s="14">
        <v>20.7</v>
      </c>
    </row>
    <row r="1267" spans="1:4" x14ac:dyDescent="0.35">
      <c r="A1267" s="13">
        <v>46298</v>
      </c>
      <c r="B1267" t="s">
        <v>3</v>
      </c>
      <c r="C1267" t="s">
        <v>202</v>
      </c>
      <c r="D1267" s="14">
        <v>8.4</v>
      </c>
    </row>
    <row r="1268" spans="1:4" x14ac:dyDescent="0.35">
      <c r="A1268" s="13">
        <v>46298</v>
      </c>
      <c r="B1268" t="s">
        <v>3</v>
      </c>
      <c r="C1268" t="s">
        <v>203</v>
      </c>
      <c r="D1268" s="14">
        <v>14.3</v>
      </c>
    </row>
    <row r="1269" spans="1:4" x14ac:dyDescent="0.35">
      <c r="A1269" s="13">
        <v>46298</v>
      </c>
      <c r="B1269" t="s">
        <v>3</v>
      </c>
      <c r="C1269" t="s">
        <v>204</v>
      </c>
      <c r="D1269" s="14">
        <v>8.1</v>
      </c>
    </row>
    <row r="1270" spans="1:4" x14ac:dyDescent="0.35">
      <c r="A1270" s="13">
        <v>46298</v>
      </c>
      <c r="B1270" t="s">
        <v>3</v>
      </c>
      <c r="C1270" t="s">
        <v>205</v>
      </c>
      <c r="D1270" s="14">
        <v>23.1</v>
      </c>
    </row>
    <row r="1271" spans="1:4" x14ac:dyDescent="0.35">
      <c r="A1271" s="13">
        <v>46298</v>
      </c>
      <c r="B1271" t="s">
        <v>3</v>
      </c>
      <c r="C1271" t="s">
        <v>206</v>
      </c>
      <c r="D1271" s="14">
        <v>21.8</v>
      </c>
    </row>
    <row r="1272" spans="1:4" x14ac:dyDescent="0.35">
      <c r="A1272" s="13">
        <v>46298</v>
      </c>
      <c r="B1272" t="s">
        <v>3</v>
      </c>
      <c r="C1272" t="s">
        <v>207</v>
      </c>
      <c r="D1272" s="14">
        <v>22.1</v>
      </c>
    </row>
    <row r="1273" spans="1:4" x14ac:dyDescent="0.35">
      <c r="A1273" s="13">
        <v>46298</v>
      </c>
      <c r="B1273" t="s">
        <v>3</v>
      </c>
      <c r="C1273" t="s">
        <v>208</v>
      </c>
      <c r="D1273" s="14">
        <v>21.3</v>
      </c>
    </row>
    <row r="1274" spans="1:4" x14ac:dyDescent="0.35">
      <c r="A1274" s="13">
        <v>46298</v>
      </c>
      <c r="B1274" t="s">
        <v>3</v>
      </c>
      <c r="C1274" t="s">
        <v>209</v>
      </c>
      <c r="D1274" s="14">
        <v>20.2</v>
      </c>
    </row>
    <row r="1275" spans="1:4" x14ac:dyDescent="0.35">
      <c r="A1275" s="13">
        <v>46298</v>
      </c>
      <c r="B1275" t="s">
        <v>3</v>
      </c>
      <c r="C1275" t="s">
        <v>210</v>
      </c>
      <c r="D1275" s="14">
        <v>12.9</v>
      </c>
    </row>
    <row r="1276" spans="1:4" x14ac:dyDescent="0.35">
      <c r="A1276" s="13">
        <v>46298</v>
      </c>
      <c r="B1276" t="s">
        <v>3</v>
      </c>
      <c r="C1276" t="s">
        <v>211</v>
      </c>
      <c r="D1276" s="14">
        <v>14.2</v>
      </c>
    </row>
    <row r="1277" spans="1:4" x14ac:dyDescent="0.35">
      <c r="A1277" s="13">
        <v>46298</v>
      </c>
      <c r="B1277" t="s">
        <v>3</v>
      </c>
      <c r="C1277" t="s">
        <v>212</v>
      </c>
      <c r="D1277" s="14">
        <v>19.899999999999999</v>
      </c>
    </row>
    <row r="1278" spans="1:4" x14ac:dyDescent="0.35">
      <c r="A1278" s="13">
        <v>46298</v>
      </c>
      <c r="B1278" t="s">
        <v>3</v>
      </c>
      <c r="C1278" t="s">
        <v>213</v>
      </c>
      <c r="D1278" s="14">
        <v>11.6</v>
      </c>
    </row>
    <row r="1279" spans="1:4" x14ac:dyDescent="0.35">
      <c r="A1279" s="13">
        <v>46298</v>
      </c>
      <c r="B1279" t="s">
        <v>3</v>
      </c>
      <c r="C1279" t="s">
        <v>214</v>
      </c>
      <c r="D1279" s="14">
        <v>13.8</v>
      </c>
    </row>
    <row r="1280" spans="1:4" x14ac:dyDescent="0.35">
      <c r="A1280" s="13">
        <v>46298</v>
      </c>
      <c r="B1280" t="s">
        <v>3</v>
      </c>
      <c r="C1280" t="s">
        <v>215</v>
      </c>
      <c r="D1280" s="14">
        <v>9.9</v>
      </c>
    </row>
    <row r="1281" spans="1:4" x14ac:dyDescent="0.35">
      <c r="A1281" s="13">
        <v>46298</v>
      </c>
      <c r="B1281" t="s">
        <v>77</v>
      </c>
      <c r="C1281" t="s">
        <v>216</v>
      </c>
      <c r="D1281" s="14">
        <v>12.4</v>
      </c>
    </row>
    <row r="1282" spans="1:4" x14ac:dyDescent="0.35">
      <c r="A1282" s="13">
        <v>46298</v>
      </c>
      <c r="B1282" t="s">
        <v>77</v>
      </c>
      <c r="C1282" t="s">
        <v>217</v>
      </c>
      <c r="D1282" s="14">
        <v>14.1</v>
      </c>
    </row>
    <row r="1283" spans="1:4" x14ac:dyDescent="0.35">
      <c r="A1283" s="13">
        <v>46298</v>
      </c>
      <c r="B1283" t="s">
        <v>77</v>
      </c>
      <c r="C1283" t="s">
        <v>218</v>
      </c>
      <c r="D1283" s="14">
        <v>14.2</v>
      </c>
    </row>
    <row r="1284" spans="1:4" x14ac:dyDescent="0.35">
      <c r="A1284" s="13">
        <v>46298</v>
      </c>
      <c r="B1284" t="s">
        <v>77</v>
      </c>
      <c r="C1284" t="s">
        <v>219</v>
      </c>
      <c r="D1284" s="14">
        <v>8.1</v>
      </c>
    </row>
    <row r="1285" spans="1:4" x14ac:dyDescent="0.35">
      <c r="A1285" s="13">
        <v>46298</v>
      </c>
      <c r="B1285" t="s">
        <v>77</v>
      </c>
      <c r="C1285" t="s">
        <v>220</v>
      </c>
      <c r="D1285" s="14">
        <v>12.3</v>
      </c>
    </row>
    <row r="1286" spans="1:4" x14ac:dyDescent="0.35">
      <c r="A1286" s="13">
        <v>46298</v>
      </c>
      <c r="B1286" t="s">
        <v>77</v>
      </c>
      <c r="C1286" t="s">
        <v>221</v>
      </c>
      <c r="D1286" s="14">
        <v>29.5</v>
      </c>
    </row>
    <row r="1287" spans="1:4" x14ac:dyDescent="0.35">
      <c r="A1287" s="13">
        <v>46298</v>
      </c>
      <c r="B1287" t="s">
        <v>77</v>
      </c>
      <c r="C1287" t="s">
        <v>222</v>
      </c>
      <c r="D1287" s="14">
        <v>13.4</v>
      </c>
    </row>
    <row r="1288" spans="1:4" x14ac:dyDescent="0.35">
      <c r="A1288" s="13">
        <v>46298</v>
      </c>
      <c r="B1288" t="s">
        <v>77</v>
      </c>
      <c r="C1288" t="s">
        <v>223</v>
      </c>
      <c r="D1288" s="14">
        <v>19.399999999999999</v>
      </c>
    </row>
    <row r="1289" spans="1:4" x14ac:dyDescent="0.35">
      <c r="A1289" s="13">
        <v>46298</v>
      </c>
      <c r="B1289" t="s">
        <v>77</v>
      </c>
      <c r="C1289" t="s">
        <v>224</v>
      </c>
      <c r="D1289" s="14">
        <v>13.8</v>
      </c>
    </row>
    <row r="1290" spans="1:4" x14ac:dyDescent="0.35">
      <c r="A1290" s="13">
        <v>46298</v>
      </c>
      <c r="B1290" t="s">
        <v>77</v>
      </c>
      <c r="C1290" t="s">
        <v>225</v>
      </c>
      <c r="D1290" s="14">
        <v>11.5</v>
      </c>
    </row>
    <row r="1291" spans="1:4" x14ac:dyDescent="0.35">
      <c r="A1291" s="13">
        <v>46298</v>
      </c>
      <c r="B1291" t="s">
        <v>77</v>
      </c>
      <c r="C1291" t="s">
        <v>226</v>
      </c>
      <c r="D1291" s="14">
        <v>19.2</v>
      </c>
    </row>
    <row r="1292" spans="1:4" x14ac:dyDescent="0.35">
      <c r="A1292" s="13">
        <v>46298</v>
      </c>
      <c r="B1292" t="s">
        <v>77</v>
      </c>
      <c r="C1292" t="s">
        <v>227</v>
      </c>
      <c r="D1292" s="14">
        <v>14.9</v>
      </c>
    </row>
    <row r="1293" spans="1:4" x14ac:dyDescent="0.35">
      <c r="A1293" s="13">
        <v>46298</v>
      </c>
      <c r="B1293" t="s">
        <v>77</v>
      </c>
      <c r="C1293" t="s">
        <v>228</v>
      </c>
      <c r="D1293" s="14">
        <v>23</v>
      </c>
    </row>
    <row r="1294" spans="1:4" x14ac:dyDescent="0.35">
      <c r="A1294" s="13">
        <v>46298</v>
      </c>
      <c r="B1294" t="s">
        <v>77</v>
      </c>
      <c r="C1294" t="s">
        <v>229</v>
      </c>
      <c r="D1294" s="14">
        <v>7.6</v>
      </c>
    </row>
    <row r="1295" spans="1:4" x14ac:dyDescent="0.35">
      <c r="A1295" s="13">
        <v>46298</v>
      </c>
      <c r="B1295" t="s">
        <v>77</v>
      </c>
      <c r="C1295" t="s">
        <v>230</v>
      </c>
      <c r="D1295" s="14">
        <v>8.8000000000000007</v>
      </c>
    </row>
    <row r="1296" spans="1:4" x14ac:dyDescent="0.35">
      <c r="A1296" s="13">
        <v>46298</v>
      </c>
      <c r="B1296" t="s">
        <v>80</v>
      </c>
      <c r="C1296" t="s">
        <v>231</v>
      </c>
      <c r="D1296" s="14">
        <v>14.5</v>
      </c>
    </row>
    <row r="1297" spans="1:4" x14ac:dyDescent="0.35">
      <c r="A1297" s="13">
        <v>46298</v>
      </c>
      <c r="B1297" t="s">
        <v>80</v>
      </c>
      <c r="C1297" t="s">
        <v>232</v>
      </c>
      <c r="D1297" s="14">
        <v>22</v>
      </c>
    </row>
    <row r="1298" spans="1:4" x14ac:dyDescent="0.35">
      <c r="A1298" s="13">
        <v>46298</v>
      </c>
      <c r="B1298" t="s">
        <v>80</v>
      </c>
      <c r="C1298" t="s">
        <v>233</v>
      </c>
      <c r="D1298" s="14">
        <v>11.3</v>
      </c>
    </row>
    <row r="1299" spans="1:4" x14ac:dyDescent="0.35">
      <c r="A1299" s="13">
        <v>46298</v>
      </c>
      <c r="B1299" t="s">
        <v>80</v>
      </c>
      <c r="C1299" t="s">
        <v>234</v>
      </c>
      <c r="D1299" s="14">
        <v>7.7</v>
      </c>
    </row>
    <row r="1300" spans="1:4" x14ac:dyDescent="0.35">
      <c r="A1300" s="13">
        <v>46298</v>
      </c>
      <c r="B1300" t="s">
        <v>80</v>
      </c>
      <c r="C1300" t="s">
        <v>235</v>
      </c>
      <c r="D1300" s="14">
        <v>17.2</v>
      </c>
    </row>
    <row r="1301" spans="1:4" x14ac:dyDescent="0.35">
      <c r="A1301" s="13">
        <v>46298</v>
      </c>
      <c r="B1301" t="s">
        <v>80</v>
      </c>
      <c r="C1301" t="s">
        <v>236</v>
      </c>
      <c r="D1301" s="14">
        <v>18.899999999999999</v>
      </c>
    </row>
    <row r="1302" spans="1:4" x14ac:dyDescent="0.35">
      <c r="A1302" s="13">
        <v>46298</v>
      </c>
      <c r="B1302" t="s">
        <v>80</v>
      </c>
      <c r="C1302" t="s">
        <v>237</v>
      </c>
      <c r="D1302" s="14">
        <v>13</v>
      </c>
    </row>
    <row r="1303" spans="1:4" x14ac:dyDescent="0.35">
      <c r="A1303" s="13">
        <v>46298</v>
      </c>
      <c r="B1303" t="s">
        <v>80</v>
      </c>
      <c r="C1303" t="s">
        <v>238</v>
      </c>
      <c r="D1303" s="14">
        <v>17.3</v>
      </c>
    </row>
    <row r="1304" spans="1:4" x14ac:dyDescent="0.35">
      <c r="A1304" s="13">
        <v>46298</v>
      </c>
      <c r="B1304" t="s">
        <v>80</v>
      </c>
      <c r="C1304" t="s">
        <v>239</v>
      </c>
      <c r="D1304" s="14">
        <v>8.6999999999999993</v>
      </c>
    </row>
    <row r="1305" spans="1:4" x14ac:dyDescent="0.35">
      <c r="A1305" s="13">
        <v>46298</v>
      </c>
      <c r="B1305" t="s">
        <v>80</v>
      </c>
      <c r="C1305" t="s">
        <v>240</v>
      </c>
      <c r="D1305" s="14">
        <v>19.2</v>
      </c>
    </row>
    <row r="1306" spans="1:4" x14ac:dyDescent="0.35">
      <c r="A1306" s="13">
        <v>46298</v>
      </c>
      <c r="B1306" t="s">
        <v>80</v>
      </c>
      <c r="C1306" t="s">
        <v>241</v>
      </c>
      <c r="D1306" s="14">
        <v>12.1</v>
      </c>
    </row>
    <row r="1307" spans="1:4" x14ac:dyDescent="0.35">
      <c r="A1307" s="13">
        <v>46298</v>
      </c>
      <c r="B1307" t="s">
        <v>80</v>
      </c>
      <c r="C1307" t="s">
        <v>242</v>
      </c>
      <c r="D1307" s="14">
        <v>27.6</v>
      </c>
    </row>
    <row r="1308" spans="1:4" x14ac:dyDescent="0.35">
      <c r="A1308" s="13">
        <v>46298</v>
      </c>
      <c r="B1308" t="s">
        <v>80</v>
      </c>
      <c r="C1308" t="s">
        <v>243</v>
      </c>
      <c r="D1308" s="14">
        <v>22</v>
      </c>
    </row>
    <row r="1309" spans="1:4" x14ac:dyDescent="0.35">
      <c r="A1309" s="13">
        <v>46298</v>
      </c>
      <c r="B1309" t="s">
        <v>80</v>
      </c>
      <c r="C1309" t="s">
        <v>244</v>
      </c>
      <c r="D1309" s="14">
        <v>15.2</v>
      </c>
    </row>
    <row r="1310" spans="1:4" x14ac:dyDescent="0.35">
      <c r="A1310" s="13">
        <v>46298</v>
      </c>
      <c r="B1310" t="s">
        <v>80</v>
      </c>
      <c r="C1310" t="s">
        <v>245</v>
      </c>
      <c r="D1310" s="14">
        <v>14.5</v>
      </c>
    </row>
    <row r="1311" spans="1:4" x14ac:dyDescent="0.35">
      <c r="A1311" s="13">
        <v>46298</v>
      </c>
      <c r="B1311" t="s">
        <v>80</v>
      </c>
      <c r="C1311" t="s">
        <v>246</v>
      </c>
      <c r="D1311" s="14">
        <v>15.1</v>
      </c>
    </row>
    <row r="1312" spans="1:4" x14ac:dyDescent="0.35">
      <c r="A1312" s="13">
        <v>46298</v>
      </c>
      <c r="B1312" t="s">
        <v>80</v>
      </c>
      <c r="C1312" t="s">
        <v>247</v>
      </c>
      <c r="D1312" s="14">
        <v>26.6</v>
      </c>
    </row>
    <row r="1313" spans="1:4" x14ac:dyDescent="0.35">
      <c r="A1313" s="13">
        <v>46298</v>
      </c>
      <c r="B1313" t="s">
        <v>82</v>
      </c>
      <c r="C1313" t="s">
        <v>248</v>
      </c>
      <c r="D1313" s="14">
        <v>21.9</v>
      </c>
    </row>
    <row r="1314" spans="1:4" x14ac:dyDescent="0.35">
      <c r="A1314" s="13">
        <v>46298</v>
      </c>
      <c r="B1314" t="s">
        <v>82</v>
      </c>
      <c r="C1314" t="s">
        <v>249</v>
      </c>
      <c r="D1314" s="14">
        <v>9.8000000000000007</v>
      </c>
    </row>
    <row r="1315" spans="1:4" x14ac:dyDescent="0.35">
      <c r="A1315" s="13">
        <v>46298</v>
      </c>
      <c r="B1315" t="s">
        <v>82</v>
      </c>
      <c r="C1315" t="s">
        <v>250</v>
      </c>
      <c r="D1315" s="14">
        <v>15.5</v>
      </c>
    </row>
    <row r="1316" spans="1:4" x14ac:dyDescent="0.35">
      <c r="A1316" s="13">
        <v>46298</v>
      </c>
      <c r="B1316" t="s">
        <v>82</v>
      </c>
      <c r="C1316" t="s">
        <v>251</v>
      </c>
      <c r="D1316" s="14">
        <v>10.9</v>
      </c>
    </row>
    <row r="1317" spans="1:4" x14ac:dyDescent="0.35">
      <c r="A1317" s="13">
        <v>46298</v>
      </c>
      <c r="B1317" t="s">
        <v>82</v>
      </c>
      <c r="C1317" t="s">
        <v>252</v>
      </c>
      <c r="D1317" s="14">
        <v>9.8000000000000007</v>
      </c>
    </row>
    <row r="1318" spans="1:4" x14ac:dyDescent="0.35">
      <c r="A1318" s="13">
        <v>46298</v>
      </c>
      <c r="B1318" t="s">
        <v>82</v>
      </c>
      <c r="C1318" t="s">
        <v>253</v>
      </c>
      <c r="D1318" s="14">
        <v>16.399999999999999</v>
      </c>
    </row>
    <row r="1319" spans="1:4" x14ac:dyDescent="0.35">
      <c r="A1319" s="13">
        <v>46298</v>
      </c>
      <c r="B1319" t="s">
        <v>82</v>
      </c>
      <c r="C1319" t="s">
        <v>254</v>
      </c>
      <c r="D1319" s="14">
        <v>8.1</v>
      </c>
    </row>
    <row r="1320" spans="1:4" x14ac:dyDescent="0.35">
      <c r="A1320" s="13">
        <v>46298</v>
      </c>
      <c r="B1320" t="s">
        <v>82</v>
      </c>
      <c r="C1320" t="s">
        <v>255</v>
      </c>
      <c r="D1320" s="14">
        <v>10</v>
      </c>
    </row>
    <row r="1321" spans="1:4" x14ac:dyDescent="0.35">
      <c r="A1321" s="13">
        <v>46298</v>
      </c>
      <c r="B1321" t="s">
        <v>82</v>
      </c>
      <c r="C1321" t="s">
        <v>256</v>
      </c>
      <c r="D1321" s="14">
        <v>17.7</v>
      </c>
    </row>
    <row r="1322" spans="1:4" x14ac:dyDescent="0.35">
      <c r="A1322" s="13">
        <v>46298</v>
      </c>
      <c r="B1322" t="s">
        <v>82</v>
      </c>
      <c r="C1322" t="s">
        <v>257</v>
      </c>
      <c r="D1322" s="14">
        <v>15.9</v>
      </c>
    </row>
    <row r="1323" spans="1:4" x14ac:dyDescent="0.35">
      <c r="A1323" s="13">
        <v>46298</v>
      </c>
      <c r="B1323" t="s">
        <v>82</v>
      </c>
      <c r="C1323" t="s">
        <v>258</v>
      </c>
      <c r="D1323" s="14">
        <v>22.6</v>
      </c>
    </row>
    <row r="1324" spans="1:4" x14ac:dyDescent="0.35">
      <c r="A1324" s="13">
        <v>46298</v>
      </c>
      <c r="B1324" t="s">
        <v>82</v>
      </c>
      <c r="C1324" t="s">
        <v>259</v>
      </c>
      <c r="D1324" s="14">
        <v>10.7</v>
      </c>
    </row>
    <row r="1325" spans="1:4" x14ac:dyDescent="0.35">
      <c r="A1325" s="13">
        <v>46298</v>
      </c>
      <c r="B1325" t="s">
        <v>82</v>
      </c>
      <c r="C1325" t="s">
        <v>260</v>
      </c>
      <c r="D1325" s="14">
        <v>10.8</v>
      </c>
    </row>
    <row r="1326" spans="1:4" x14ac:dyDescent="0.35">
      <c r="A1326" s="13">
        <v>46298</v>
      </c>
      <c r="B1326" t="s">
        <v>82</v>
      </c>
      <c r="C1326" t="s">
        <v>261</v>
      </c>
      <c r="D1326" s="14">
        <v>15.7</v>
      </c>
    </row>
    <row r="1327" spans="1:4" x14ac:dyDescent="0.35">
      <c r="A1327" s="13">
        <v>46298</v>
      </c>
      <c r="B1327" t="s">
        <v>82</v>
      </c>
      <c r="C1327" t="s">
        <v>262</v>
      </c>
      <c r="D1327" s="14">
        <v>21.4</v>
      </c>
    </row>
    <row r="1328" spans="1:4" x14ac:dyDescent="0.35">
      <c r="A1328" s="13">
        <v>46298</v>
      </c>
      <c r="B1328" t="s">
        <v>82</v>
      </c>
      <c r="C1328" t="s">
        <v>263</v>
      </c>
      <c r="D1328" s="14">
        <v>9.5</v>
      </c>
    </row>
    <row r="1329" spans="1:4" x14ac:dyDescent="0.35">
      <c r="A1329" s="13">
        <v>46298</v>
      </c>
      <c r="B1329" t="s">
        <v>82</v>
      </c>
      <c r="C1329" t="s">
        <v>264</v>
      </c>
      <c r="D1329" s="14">
        <v>23.9</v>
      </c>
    </row>
    <row r="1330" spans="1:4" x14ac:dyDescent="0.35">
      <c r="A1330" s="13">
        <v>46298</v>
      </c>
      <c r="B1330" t="s">
        <v>82</v>
      </c>
      <c r="C1330" t="s">
        <v>265</v>
      </c>
      <c r="D1330" s="14">
        <v>16.3</v>
      </c>
    </row>
    <row r="1331" spans="1:4" x14ac:dyDescent="0.35">
      <c r="A1331" s="13">
        <v>46298</v>
      </c>
      <c r="B1331" t="s">
        <v>85</v>
      </c>
      <c r="C1331" t="s">
        <v>266</v>
      </c>
      <c r="D1331" s="14">
        <v>10.7</v>
      </c>
    </row>
    <row r="1332" spans="1:4" x14ac:dyDescent="0.35">
      <c r="A1332" s="13">
        <v>46298</v>
      </c>
      <c r="B1332" t="s">
        <v>85</v>
      </c>
      <c r="C1332" t="s">
        <v>267</v>
      </c>
      <c r="D1332" s="14">
        <v>6.7</v>
      </c>
    </row>
    <row r="1333" spans="1:4" x14ac:dyDescent="0.35">
      <c r="A1333" s="13">
        <v>46298</v>
      </c>
      <c r="B1333" t="s">
        <v>85</v>
      </c>
      <c r="C1333" t="s">
        <v>268</v>
      </c>
      <c r="D1333" s="14">
        <v>21.1</v>
      </c>
    </row>
    <row r="1334" spans="1:4" x14ac:dyDescent="0.35">
      <c r="A1334" s="13">
        <v>46298</v>
      </c>
      <c r="B1334" t="s">
        <v>85</v>
      </c>
      <c r="C1334" t="s">
        <v>269</v>
      </c>
      <c r="D1334" s="14">
        <v>21.4</v>
      </c>
    </row>
    <row r="1335" spans="1:4" x14ac:dyDescent="0.35">
      <c r="A1335" s="13">
        <v>46298</v>
      </c>
      <c r="B1335" t="s">
        <v>85</v>
      </c>
      <c r="C1335" t="s">
        <v>270</v>
      </c>
      <c r="D1335" s="14">
        <v>17.7</v>
      </c>
    </row>
    <row r="1336" spans="1:4" x14ac:dyDescent="0.35">
      <c r="A1336" s="13">
        <v>46298</v>
      </c>
      <c r="B1336" t="s">
        <v>85</v>
      </c>
      <c r="C1336" t="s">
        <v>271</v>
      </c>
      <c r="D1336" s="14">
        <v>13</v>
      </c>
    </row>
    <row r="1337" spans="1:4" x14ac:dyDescent="0.35">
      <c r="A1337" s="13">
        <v>46298</v>
      </c>
      <c r="B1337" t="s">
        <v>85</v>
      </c>
      <c r="C1337" t="s">
        <v>272</v>
      </c>
      <c r="D1337" s="14">
        <v>17.899999999999999</v>
      </c>
    </row>
    <row r="1338" spans="1:4" x14ac:dyDescent="0.35">
      <c r="A1338" s="13">
        <v>46298</v>
      </c>
      <c r="B1338" t="s">
        <v>85</v>
      </c>
      <c r="C1338" t="s">
        <v>273</v>
      </c>
      <c r="D1338" s="14">
        <v>8.9</v>
      </c>
    </row>
    <row r="1339" spans="1:4" x14ac:dyDescent="0.35">
      <c r="A1339" s="13">
        <v>46298</v>
      </c>
      <c r="B1339" t="s">
        <v>85</v>
      </c>
      <c r="C1339" t="s">
        <v>274</v>
      </c>
      <c r="D1339" s="14">
        <v>8.4</v>
      </c>
    </row>
    <row r="1340" spans="1:4" x14ac:dyDescent="0.35">
      <c r="A1340" s="13">
        <v>46298</v>
      </c>
      <c r="B1340" t="s">
        <v>85</v>
      </c>
      <c r="C1340" t="s">
        <v>275</v>
      </c>
      <c r="D1340" s="14">
        <v>16.399999999999999</v>
      </c>
    </row>
    <row r="1341" spans="1:4" x14ac:dyDescent="0.35">
      <c r="A1341" s="13">
        <v>46298</v>
      </c>
      <c r="B1341" t="s">
        <v>85</v>
      </c>
      <c r="C1341" t="s">
        <v>276</v>
      </c>
      <c r="D1341" s="14">
        <v>11</v>
      </c>
    </row>
    <row r="1342" spans="1:4" x14ac:dyDescent="0.35">
      <c r="A1342" s="13">
        <v>46298</v>
      </c>
      <c r="B1342" t="s">
        <v>85</v>
      </c>
      <c r="C1342" t="s">
        <v>277</v>
      </c>
      <c r="D1342" s="14">
        <v>13.6</v>
      </c>
    </row>
    <row r="1343" spans="1:4" x14ac:dyDescent="0.35">
      <c r="A1343" s="13">
        <v>46298</v>
      </c>
      <c r="B1343" t="s">
        <v>85</v>
      </c>
      <c r="C1343" t="s">
        <v>278</v>
      </c>
      <c r="D1343" s="14">
        <v>16</v>
      </c>
    </row>
    <row r="1344" spans="1:4" x14ac:dyDescent="0.35">
      <c r="A1344" s="13">
        <v>46298</v>
      </c>
      <c r="B1344" t="s">
        <v>85</v>
      </c>
      <c r="C1344" t="s">
        <v>279</v>
      </c>
      <c r="D1344" s="14">
        <v>10.8</v>
      </c>
    </row>
    <row r="1345" spans="1:4" x14ac:dyDescent="0.35">
      <c r="A1345" s="13">
        <v>46298</v>
      </c>
      <c r="B1345" t="s">
        <v>85</v>
      </c>
      <c r="C1345" t="s">
        <v>280</v>
      </c>
      <c r="D1345" s="14">
        <v>14.4</v>
      </c>
    </row>
    <row r="1346" spans="1:4" x14ac:dyDescent="0.35">
      <c r="A1346" s="13">
        <v>46298</v>
      </c>
      <c r="B1346" t="s">
        <v>85</v>
      </c>
      <c r="C1346" t="s">
        <v>281</v>
      </c>
      <c r="D1346" s="14">
        <v>11.7</v>
      </c>
    </row>
    <row r="1347" spans="1:4" x14ac:dyDescent="0.35">
      <c r="A1347" s="13">
        <v>46298</v>
      </c>
      <c r="B1347" t="s">
        <v>87</v>
      </c>
      <c r="C1347" t="s">
        <v>282</v>
      </c>
      <c r="D1347" s="14">
        <v>7.6</v>
      </c>
    </row>
    <row r="1348" spans="1:4" x14ac:dyDescent="0.35">
      <c r="A1348" s="13">
        <v>46298</v>
      </c>
      <c r="B1348" t="s">
        <v>87</v>
      </c>
      <c r="C1348" t="s">
        <v>283</v>
      </c>
      <c r="D1348" s="14">
        <v>14.4</v>
      </c>
    </row>
    <row r="1349" spans="1:4" x14ac:dyDescent="0.35">
      <c r="A1349" s="13">
        <v>46298</v>
      </c>
      <c r="B1349" t="s">
        <v>87</v>
      </c>
      <c r="C1349" t="s">
        <v>284</v>
      </c>
      <c r="D1349" s="14">
        <v>12.3</v>
      </c>
    </row>
    <row r="1350" spans="1:4" x14ac:dyDescent="0.35">
      <c r="A1350" s="13">
        <v>46298</v>
      </c>
      <c r="B1350" t="s">
        <v>87</v>
      </c>
      <c r="C1350" t="s">
        <v>285</v>
      </c>
      <c r="D1350" s="14">
        <v>17.8</v>
      </c>
    </row>
    <row r="1351" spans="1:4" x14ac:dyDescent="0.35">
      <c r="A1351" s="13">
        <v>46298</v>
      </c>
      <c r="B1351" t="s">
        <v>87</v>
      </c>
      <c r="C1351" t="s">
        <v>286</v>
      </c>
      <c r="D1351" s="14">
        <v>12.8</v>
      </c>
    </row>
    <row r="1352" spans="1:4" x14ac:dyDescent="0.35">
      <c r="A1352" s="13">
        <v>46298</v>
      </c>
      <c r="B1352" t="s">
        <v>87</v>
      </c>
      <c r="C1352" t="s">
        <v>287</v>
      </c>
      <c r="D1352" s="14">
        <v>16.5</v>
      </c>
    </row>
    <row r="1353" spans="1:4" x14ac:dyDescent="0.35">
      <c r="A1353" s="13">
        <v>46298</v>
      </c>
      <c r="B1353" t="s">
        <v>87</v>
      </c>
      <c r="C1353" t="s">
        <v>288</v>
      </c>
      <c r="D1353" s="14">
        <v>10.4</v>
      </c>
    </row>
    <row r="1354" spans="1:4" x14ac:dyDescent="0.35">
      <c r="A1354" s="13">
        <v>46298</v>
      </c>
      <c r="B1354" t="s">
        <v>87</v>
      </c>
      <c r="C1354" t="s">
        <v>289</v>
      </c>
      <c r="D1354" s="14">
        <v>11.3</v>
      </c>
    </row>
    <row r="1355" spans="1:4" x14ac:dyDescent="0.35">
      <c r="A1355" s="13">
        <v>46298</v>
      </c>
      <c r="B1355" t="s">
        <v>87</v>
      </c>
      <c r="C1355" t="s">
        <v>290</v>
      </c>
      <c r="D1355" s="14">
        <v>17</v>
      </c>
    </row>
    <row r="1356" spans="1:4" x14ac:dyDescent="0.35">
      <c r="A1356" s="13">
        <v>46298</v>
      </c>
      <c r="B1356" t="s">
        <v>87</v>
      </c>
      <c r="C1356" t="s">
        <v>291</v>
      </c>
      <c r="D1356" s="14">
        <v>13.1</v>
      </c>
    </row>
    <row r="1357" spans="1:4" x14ac:dyDescent="0.35">
      <c r="A1357" s="13">
        <v>46298</v>
      </c>
      <c r="B1357" t="s">
        <v>87</v>
      </c>
      <c r="C1357" t="s">
        <v>292</v>
      </c>
      <c r="D1357" s="14">
        <v>11</v>
      </c>
    </row>
    <row r="1358" spans="1:4" x14ac:dyDescent="0.35">
      <c r="A1358" s="13">
        <v>46298</v>
      </c>
      <c r="B1358" t="s">
        <v>87</v>
      </c>
      <c r="C1358" t="s">
        <v>293</v>
      </c>
      <c r="D1358" s="14">
        <v>10.199999999999999</v>
      </c>
    </row>
    <row r="1359" spans="1:4" x14ac:dyDescent="0.35">
      <c r="A1359" s="13">
        <v>46298</v>
      </c>
      <c r="B1359" t="s">
        <v>87</v>
      </c>
      <c r="C1359" t="s">
        <v>294</v>
      </c>
      <c r="D1359" s="14">
        <v>10.1</v>
      </c>
    </row>
    <row r="1360" spans="1:4" x14ac:dyDescent="0.35">
      <c r="A1360" s="13">
        <v>46298</v>
      </c>
      <c r="B1360" t="s">
        <v>87</v>
      </c>
      <c r="C1360" t="s">
        <v>295</v>
      </c>
      <c r="D1360" s="14">
        <v>12.6</v>
      </c>
    </row>
    <row r="1361" spans="1:4" x14ac:dyDescent="0.35">
      <c r="A1361" s="13">
        <v>46298</v>
      </c>
      <c r="B1361" t="s">
        <v>87</v>
      </c>
      <c r="C1361" t="s">
        <v>296</v>
      </c>
      <c r="D1361" s="14">
        <v>18.899999999999999</v>
      </c>
    </row>
    <row r="1362" spans="1:4" x14ac:dyDescent="0.35">
      <c r="A1362" s="13">
        <v>46298</v>
      </c>
      <c r="B1362" t="s">
        <v>87</v>
      </c>
      <c r="C1362" t="s">
        <v>297</v>
      </c>
      <c r="D1362" s="14">
        <v>13.7</v>
      </c>
    </row>
    <row r="1363" spans="1:4" x14ac:dyDescent="0.35">
      <c r="A1363" s="13">
        <v>46298</v>
      </c>
      <c r="B1363" t="s">
        <v>77</v>
      </c>
      <c r="C1363" t="s">
        <v>298</v>
      </c>
      <c r="D1363" s="14">
        <v>9.9</v>
      </c>
    </row>
    <row r="1364" spans="1:4" x14ac:dyDescent="0.35">
      <c r="A1364" s="13">
        <v>46298</v>
      </c>
      <c r="B1364" t="s">
        <v>85</v>
      </c>
      <c r="C1364" t="s">
        <v>299</v>
      </c>
      <c r="D1364" s="14">
        <v>0</v>
      </c>
    </row>
    <row r="1365" spans="1:4" x14ac:dyDescent="0.35">
      <c r="A1365" s="13">
        <v>46305</v>
      </c>
      <c r="B1365" t="s">
        <v>70</v>
      </c>
      <c r="C1365" t="s">
        <v>155</v>
      </c>
      <c r="D1365" s="14">
        <v>25.4</v>
      </c>
    </row>
    <row r="1366" spans="1:4" x14ac:dyDescent="0.35">
      <c r="A1366" s="13">
        <v>46305</v>
      </c>
      <c r="B1366" t="s">
        <v>70</v>
      </c>
      <c r="C1366" t="s">
        <v>158</v>
      </c>
      <c r="D1366" s="14">
        <v>22</v>
      </c>
    </row>
    <row r="1367" spans="1:4" x14ac:dyDescent="0.35">
      <c r="A1367" s="13">
        <v>46305</v>
      </c>
      <c r="B1367" t="s">
        <v>70</v>
      </c>
      <c r="C1367" t="s">
        <v>159</v>
      </c>
      <c r="D1367" s="14">
        <v>16.7</v>
      </c>
    </row>
    <row r="1368" spans="1:4" x14ac:dyDescent="0.35">
      <c r="A1368" s="13">
        <v>46305</v>
      </c>
      <c r="B1368" t="s">
        <v>70</v>
      </c>
      <c r="C1368" t="s">
        <v>162</v>
      </c>
      <c r="D1368" s="14">
        <v>24</v>
      </c>
    </row>
    <row r="1369" spans="1:4" x14ac:dyDescent="0.35">
      <c r="A1369" s="13">
        <v>46305</v>
      </c>
      <c r="B1369" t="s">
        <v>70</v>
      </c>
      <c r="C1369" t="s">
        <v>164</v>
      </c>
      <c r="D1369" s="14">
        <v>10.5</v>
      </c>
    </row>
    <row r="1370" spans="1:4" x14ac:dyDescent="0.35">
      <c r="A1370" s="13">
        <v>46305</v>
      </c>
      <c r="B1370" t="s">
        <v>70</v>
      </c>
      <c r="C1370" t="s">
        <v>167</v>
      </c>
      <c r="D1370" s="14">
        <v>13.4</v>
      </c>
    </row>
    <row r="1371" spans="1:4" x14ac:dyDescent="0.35">
      <c r="A1371" s="13">
        <v>46305</v>
      </c>
      <c r="B1371" t="s">
        <v>70</v>
      </c>
      <c r="C1371" t="s">
        <v>169</v>
      </c>
      <c r="D1371" s="14">
        <v>10.1</v>
      </c>
    </row>
    <row r="1372" spans="1:4" x14ac:dyDescent="0.35">
      <c r="A1372" s="13">
        <v>46305</v>
      </c>
      <c r="B1372" t="s">
        <v>70</v>
      </c>
      <c r="C1372" t="s">
        <v>170</v>
      </c>
      <c r="D1372" s="14">
        <v>19.8</v>
      </c>
    </row>
    <row r="1373" spans="1:4" x14ac:dyDescent="0.35">
      <c r="A1373" s="13">
        <v>46305</v>
      </c>
      <c r="B1373" t="s">
        <v>70</v>
      </c>
      <c r="C1373" t="s">
        <v>171</v>
      </c>
      <c r="D1373" s="14">
        <v>15.7</v>
      </c>
    </row>
    <row r="1374" spans="1:4" x14ac:dyDescent="0.35">
      <c r="A1374" s="13">
        <v>46305</v>
      </c>
      <c r="B1374" t="s">
        <v>70</v>
      </c>
      <c r="C1374" t="s">
        <v>172</v>
      </c>
      <c r="D1374" s="14">
        <v>10.199999999999999</v>
      </c>
    </row>
    <row r="1375" spans="1:4" x14ac:dyDescent="0.35">
      <c r="A1375" s="13">
        <v>46305</v>
      </c>
      <c r="B1375" t="s">
        <v>70</v>
      </c>
      <c r="C1375" t="s">
        <v>173</v>
      </c>
      <c r="D1375" s="14">
        <v>18.5</v>
      </c>
    </row>
    <row r="1376" spans="1:4" x14ac:dyDescent="0.35">
      <c r="A1376" s="13">
        <v>46305</v>
      </c>
      <c r="B1376" t="s">
        <v>70</v>
      </c>
      <c r="C1376" t="s">
        <v>174</v>
      </c>
      <c r="D1376" s="14">
        <v>22.6</v>
      </c>
    </row>
    <row r="1377" spans="1:4" x14ac:dyDescent="0.35">
      <c r="A1377" s="13">
        <v>46305</v>
      </c>
      <c r="B1377" t="s">
        <v>70</v>
      </c>
      <c r="C1377" t="s">
        <v>175</v>
      </c>
      <c r="D1377" s="14">
        <v>15.6</v>
      </c>
    </row>
    <row r="1378" spans="1:4" x14ac:dyDescent="0.35">
      <c r="A1378" s="13">
        <v>46305</v>
      </c>
      <c r="B1378" t="s">
        <v>70</v>
      </c>
      <c r="C1378" t="s">
        <v>176</v>
      </c>
      <c r="D1378" s="14">
        <v>12.2</v>
      </c>
    </row>
    <row r="1379" spans="1:4" x14ac:dyDescent="0.35">
      <c r="A1379" s="13">
        <v>46305</v>
      </c>
      <c r="B1379" t="s">
        <v>73</v>
      </c>
      <c r="C1379" t="s">
        <v>177</v>
      </c>
      <c r="D1379" s="14">
        <v>12.4</v>
      </c>
    </row>
    <row r="1380" spans="1:4" x14ac:dyDescent="0.35">
      <c r="A1380" s="13">
        <v>46305</v>
      </c>
      <c r="B1380" t="s">
        <v>73</v>
      </c>
      <c r="C1380" t="s">
        <v>178</v>
      </c>
      <c r="D1380" s="14">
        <v>10.8</v>
      </c>
    </row>
    <row r="1381" spans="1:4" x14ac:dyDescent="0.35">
      <c r="A1381" s="13">
        <v>46305</v>
      </c>
      <c r="B1381" t="s">
        <v>73</v>
      </c>
      <c r="C1381" t="s">
        <v>179</v>
      </c>
      <c r="D1381" s="14">
        <v>16</v>
      </c>
    </row>
    <row r="1382" spans="1:4" x14ac:dyDescent="0.35">
      <c r="A1382" s="13">
        <v>46305</v>
      </c>
      <c r="B1382" t="s">
        <v>73</v>
      </c>
      <c r="C1382" t="s">
        <v>180</v>
      </c>
      <c r="D1382" s="14">
        <v>9</v>
      </c>
    </row>
    <row r="1383" spans="1:4" x14ac:dyDescent="0.35">
      <c r="A1383" s="13">
        <v>46305</v>
      </c>
      <c r="B1383" t="s">
        <v>73</v>
      </c>
      <c r="C1383" t="s">
        <v>181</v>
      </c>
      <c r="D1383" s="14">
        <v>10.199999999999999</v>
      </c>
    </row>
    <row r="1384" spans="1:4" x14ac:dyDescent="0.35">
      <c r="A1384" s="13">
        <v>46305</v>
      </c>
      <c r="B1384" t="s">
        <v>73</v>
      </c>
      <c r="C1384" t="s">
        <v>182</v>
      </c>
      <c r="D1384" s="14">
        <v>13.4</v>
      </c>
    </row>
    <row r="1385" spans="1:4" x14ac:dyDescent="0.35">
      <c r="A1385" s="13">
        <v>46305</v>
      </c>
      <c r="B1385" t="s">
        <v>73</v>
      </c>
      <c r="C1385" t="s">
        <v>183</v>
      </c>
      <c r="D1385" s="14">
        <v>20</v>
      </c>
    </row>
    <row r="1386" spans="1:4" x14ac:dyDescent="0.35">
      <c r="A1386" s="13">
        <v>46305</v>
      </c>
      <c r="B1386" t="s">
        <v>73</v>
      </c>
      <c r="C1386" t="s">
        <v>184</v>
      </c>
      <c r="D1386" s="14">
        <v>15.9</v>
      </c>
    </row>
    <row r="1387" spans="1:4" x14ac:dyDescent="0.35">
      <c r="A1387" s="13">
        <v>46305</v>
      </c>
      <c r="B1387" t="s">
        <v>73</v>
      </c>
      <c r="C1387" t="s">
        <v>185</v>
      </c>
      <c r="D1387" s="14">
        <v>10</v>
      </c>
    </row>
    <row r="1388" spans="1:4" x14ac:dyDescent="0.35">
      <c r="A1388" s="13">
        <v>46305</v>
      </c>
      <c r="B1388" t="s">
        <v>73</v>
      </c>
      <c r="C1388" t="s">
        <v>186</v>
      </c>
      <c r="D1388" s="14">
        <v>14.5</v>
      </c>
    </row>
    <row r="1389" spans="1:4" x14ac:dyDescent="0.35">
      <c r="A1389" s="13">
        <v>46305</v>
      </c>
      <c r="B1389" t="s">
        <v>73</v>
      </c>
      <c r="C1389" t="s">
        <v>187</v>
      </c>
      <c r="D1389" s="14">
        <v>7.8</v>
      </c>
    </row>
    <row r="1390" spans="1:4" x14ac:dyDescent="0.35">
      <c r="A1390" s="13">
        <v>46305</v>
      </c>
      <c r="B1390" t="s">
        <v>73</v>
      </c>
      <c r="C1390" t="s">
        <v>189</v>
      </c>
      <c r="D1390" s="14">
        <v>10.8</v>
      </c>
    </row>
    <row r="1391" spans="1:4" x14ac:dyDescent="0.35">
      <c r="A1391" s="13">
        <v>46305</v>
      </c>
      <c r="B1391" t="s">
        <v>73</v>
      </c>
      <c r="C1391" t="s">
        <v>190</v>
      </c>
      <c r="D1391" s="14">
        <v>12.5</v>
      </c>
    </row>
    <row r="1392" spans="1:4" x14ac:dyDescent="0.35">
      <c r="A1392" s="13">
        <v>46305</v>
      </c>
      <c r="B1392" t="s">
        <v>73</v>
      </c>
      <c r="C1392" t="s">
        <v>191</v>
      </c>
      <c r="D1392" s="14">
        <v>11.8</v>
      </c>
    </row>
    <row r="1393" spans="1:4" x14ac:dyDescent="0.35">
      <c r="A1393" s="13">
        <v>46305</v>
      </c>
      <c r="B1393" t="s">
        <v>73</v>
      </c>
      <c r="C1393" t="s">
        <v>192</v>
      </c>
      <c r="D1393" s="14">
        <v>7.5</v>
      </c>
    </row>
    <row r="1394" spans="1:4" x14ac:dyDescent="0.35">
      <c r="A1394" s="13">
        <v>46305</v>
      </c>
      <c r="B1394" t="s">
        <v>73</v>
      </c>
      <c r="C1394" t="s">
        <v>193</v>
      </c>
      <c r="D1394" s="14">
        <v>14.9</v>
      </c>
    </row>
    <row r="1395" spans="1:4" x14ac:dyDescent="0.35">
      <c r="A1395" s="13">
        <v>46305</v>
      </c>
      <c r="B1395" t="s">
        <v>73</v>
      </c>
      <c r="C1395" t="s">
        <v>194</v>
      </c>
      <c r="D1395" s="14">
        <v>9.6</v>
      </c>
    </row>
    <row r="1396" spans="1:4" x14ac:dyDescent="0.35">
      <c r="A1396" s="13">
        <v>46305</v>
      </c>
      <c r="B1396" t="s">
        <v>73</v>
      </c>
      <c r="C1396" t="s">
        <v>195</v>
      </c>
      <c r="D1396" s="14">
        <v>15.1</v>
      </c>
    </row>
    <row r="1397" spans="1:4" x14ac:dyDescent="0.35">
      <c r="A1397" s="13">
        <v>46305</v>
      </c>
      <c r="B1397" t="s">
        <v>73</v>
      </c>
      <c r="C1397" t="s">
        <v>196</v>
      </c>
      <c r="D1397" s="14">
        <v>8.1999999999999993</v>
      </c>
    </row>
    <row r="1398" spans="1:4" x14ac:dyDescent="0.35">
      <c r="A1398" s="13">
        <v>46305</v>
      </c>
      <c r="B1398" t="s">
        <v>3</v>
      </c>
      <c r="C1398" t="s">
        <v>197</v>
      </c>
      <c r="D1398" s="14">
        <v>13.8</v>
      </c>
    </row>
    <row r="1399" spans="1:4" x14ac:dyDescent="0.35">
      <c r="A1399" s="13">
        <v>46305</v>
      </c>
      <c r="B1399" t="s">
        <v>3</v>
      </c>
      <c r="C1399" t="s">
        <v>198</v>
      </c>
      <c r="D1399" s="14">
        <v>12.2</v>
      </c>
    </row>
    <row r="1400" spans="1:4" x14ac:dyDescent="0.35">
      <c r="A1400" s="13">
        <v>46305</v>
      </c>
      <c r="B1400" t="s">
        <v>3</v>
      </c>
      <c r="C1400" t="s">
        <v>199</v>
      </c>
      <c r="D1400" s="14">
        <v>18.899999999999999</v>
      </c>
    </row>
    <row r="1401" spans="1:4" x14ac:dyDescent="0.35">
      <c r="A1401" s="13">
        <v>46305</v>
      </c>
      <c r="B1401" t="s">
        <v>3</v>
      </c>
      <c r="C1401" t="s">
        <v>200</v>
      </c>
      <c r="D1401" s="14">
        <v>13.6</v>
      </c>
    </row>
    <row r="1402" spans="1:4" x14ac:dyDescent="0.35">
      <c r="A1402" s="13">
        <v>46305</v>
      </c>
      <c r="B1402" t="s">
        <v>3</v>
      </c>
      <c r="C1402" t="s">
        <v>201</v>
      </c>
      <c r="D1402" s="14">
        <v>21.6</v>
      </c>
    </row>
    <row r="1403" spans="1:4" x14ac:dyDescent="0.35">
      <c r="A1403" s="13">
        <v>46305</v>
      </c>
      <c r="B1403" t="s">
        <v>3</v>
      </c>
      <c r="C1403" t="s">
        <v>202</v>
      </c>
      <c r="D1403" s="14">
        <v>8.8000000000000007</v>
      </c>
    </row>
    <row r="1404" spans="1:4" x14ac:dyDescent="0.35">
      <c r="A1404" s="13">
        <v>46305</v>
      </c>
      <c r="B1404" t="s">
        <v>3</v>
      </c>
      <c r="C1404" t="s">
        <v>203</v>
      </c>
      <c r="D1404" s="14">
        <v>14.9</v>
      </c>
    </row>
    <row r="1405" spans="1:4" x14ac:dyDescent="0.35">
      <c r="A1405" s="13">
        <v>46305</v>
      </c>
      <c r="B1405" t="s">
        <v>3</v>
      </c>
      <c r="C1405" t="s">
        <v>204</v>
      </c>
      <c r="D1405" s="14">
        <v>8.4</v>
      </c>
    </row>
    <row r="1406" spans="1:4" x14ac:dyDescent="0.35">
      <c r="A1406" s="13">
        <v>46305</v>
      </c>
      <c r="B1406" t="s">
        <v>3</v>
      </c>
      <c r="C1406" t="s">
        <v>205</v>
      </c>
      <c r="D1406" s="14">
        <v>24.1</v>
      </c>
    </row>
    <row r="1407" spans="1:4" x14ac:dyDescent="0.35">
      <c r="A1407" s="13">
        <v>46305</v>
      </c>
      <c r="B1407" t="s">
        <v>3</v>
      </c>
      <c r="C1407" t="s">
        <v>206</v>
      </c>
      <c r="D1407" s="14">
        <v>22.8</v>
      </c>
    </row>
    <row r="1408" spans="1:4" x14ac:dyDescent="0.35">
      <c r="A1408" s="13">
        <v>46305</v>
      </c>
      <c r="B1408" t="s">
        <v>3</v>
      </c>
      <c r="C1408" t="s">
        <v>207</v>
      </c>
      <c r="D1408" s="14">
        <v>23.1</v>
      </c>
    </row>
    <row r="1409" spans="1:4" x14ac:dyDescent="0.35">
      <c r="A1409" s="13">
        <v>46305</v>
      </c>
      <c r="B1409" t="s">
        <v>3</v>
      </c>
      <c r="C1409" t="s">
        <v>208</v>
      </c>
      <c r="D1409" s="14">
        <v>22.2</v>
      </c>
    </row>
    <row r="1410" spans="1:4" x14ac:dyDescent="0.35">
      <c r="A1410" s="13">
        <v>46305</v>
      </c>
      <c r="B1410" t="s">
        <v>3</v>
      </c>
      <c r="C1410" t="s">
        <v>209</v>
      </c>
      <c r="D1410" s="14">
        <v>21.1</v>
      </c>
    </row>
    <row r="1411" spans="1:4" x14ac:dyDescent="0.35">
      <c r="A1411" s="13">
        <v>46305</v>
      </c>
      <c r="B1411" t="s">
        <v>3</v>
      </c>
      <c r="C1411" t="s">
        <v>210</v>
      </c>
      <c r="D1411" s="14">
        <v>13.4</v>
      </c>
    </row>
    <row r="1412" spans="1:4" x14ac:dyDescent="0.35">
      <c r="A1412" s="13">
        <v>46305</v>
      </c>
      <c r="B1412" t="s">
        <v>3</v>
      </c>
      <c r="C1412" t="s">
        <v>211</v>
      </c>
      <c r="D1412" s="14">
        <v>14.8</v>
      </c>
    </row>
    <row r="1413" spans="1:4" x14ac:dyDescent="0.35">
      <c r="A1413" s="13">
        <v>46305</v>
      </c>
      <c r="B1413" t="s">
        <v>3</v>
      </c>
      <c r="C1413" t="s">
        <v>212</v>
      </c>
      <c r="D1413" s="14">
        <v>20.8</v>
      </c>
    </row>
    <row r="1414" spans="1:4" x14ac:dyDescent="0.35">
      <c r="A1414" s="13">
        <v>46305</v>
      </c>
      <c r="B1414" t="s">
        <v>3</v>
      </c>
      <c r="C1414" t="s">
        <v>213</v>
      </c>
      <c r="D1414" s="14">
        <v>12</v>
      </c>
    </row>
    <row r="1415" spans="1:4" x14ac:dyDescent="0.35">
      <c r="A1415" s="13">
        <v>46305</v>
      </c>
      <c r="B1415" t="s">
        <v>3</v>
      </c>
      <c r="C1415" t="s">
        <v>214</v>
      </c>
      <c r="D1415" s="14">
        <v>14.3</v>
      </c>
    </row>
    <row r="1416" spans="1:4" x14ac:dyDescent="0.35">
      <c r="A1416" s="13">
        <v>46305</v>
      </c>
      <c r="B1416" t="s">
        <v>3</v>
      </c>
      <c r="C1416" t="s">
        <v>215</v>
      </c>
      <c r="D1416" s="14">
        <v>10.3</v>
      </c>
    </row>
    <row r="1417" spans="1:4" x14ac:dyDescent="0.35">
      <c r="A1417" s="13">
        <v>46305</v>
      </c>
      <c r="B1417" t="s">
        <v>77</v>
      </c>
      <c r="C1417" t="s">
        <v>216</v>
      </c>
      <c r="D1417" s="14">
        <v>12.3</v>
      </c>
    </row>
    <row r="1418" spans="1:4" x14ac:dyDescent="0.35">
      <c r="A1418" s="13">
        <v>46305</v>
      </c>
      <c r="B1418" t="s">
        <v>77</v>
      </c>
      <c r="C1418" t="s">
        <v>217</v>
      </c>
      <c r="D1418" s="14">
        <v>14</v>
      </c>
    </row>
    <row r="1419" spans="1:4" x14ac:dyDescent="0.35">
      <c r="A1419" s="13">
        <v>46305</v>
      </c>
      <c r="B1419" t="s">
        <v>77</v>
      </c>
      <c r="C1419" t="s">
        <v>218</v>
      </c>
      <c r="D1419" s="14">
        <v>14.1</v>
      </c>
    </row>
    <row r="1420" spans="1:4" x14ac:dyDescent="0.35">
      <c r="A1420" s="13">
        <v>46305</v>
      </c>
      <c r="B1420" t="s">
        <v>77</v>
      </c>
      <c r="C1420" t="s">
        <v>219</v>
      </c>
      <c r="D1420" s="14">
        <v>8.1</v>
      </c>
    </row>
    <row r="1421" spans="1:4" x14ac:dyDescent="0.35">
      <c r="A1421" s="13">
        <v>46305</v>
      </c>
      <c r="B1421" t="s">
        <v>77</v>
      </c>
      <c r="C1421" t="s">
        <v>220</v>
      </c>
      <c r="D1421" s="14">
        <v>12.2</v>
      </c>
    </row>
    <row r="1422" spans="1:4" x14ac:dyDescent="0.35">
      <c r="A1422" s="13">
        <v>46305</v>
      </c>
      <c r="B1422" t="s">
        <v>77</v>
      </c>
      <c r="C1422" t="s">
        <v>221</v>
      </c>
      <c r="D1422" s="14">
        <v>29.3</v>
      </c>
    </row>
    <row r="1423" spans="1:4" x14ac:dyDescent="0.35">
      <c r="A1423" s="13">
        <v>46305</v>
      </c>
      <c r="B1423" t="s">
        <v>77</v>
      </c>
      <c r="C1423" t="s">
        <v>222</v>
      </c>
      <c r="D1423" s="14">
        <v>13.3</v>
      </c>
    </row>
    <row r="1424" spans="1:4" x14ac:dyDescent="0.35">
      <c r="A1424" s="13">
        <v>46305</v>
      </c>
      <c r="B1424" t="s">
        <v>77</v>
      </c>
      <c r="C1424" t="s">
        <v>223</v>
      </c>
      <c r="D1424" s="14">
        <v>19.3</v>
      </c>
    </row>
    <row r="1425" spans="1:4" x14ac:dyDescent="0.35">
      <c r="A1425" s="13">
        <v>46305</v>
      </c>
      <c r="B1425" t="s">
        <v>77</v>
      </c>
      <c r="C1425" t="s">
        <v>224</v>
      </c>
      <c r="D1425" s="14">
        <v>13.7</v>
      </c>
    </row>
    <row r="1426" spans="1:4" x14ac:dyDescent="0.35">
      <c r="A1426" s="13">
        <v>46305</v>
      </c>
      <c r="B1426" t="s">
        <v>77</v>
      </c>
      <c r="C1426" t="s">
        <v>225</v>
      </c>
      <c r="D1426" s="14">
        <v>11.4</v>
      </c>
    </row>
    <row r="1427" spans="1:4" x14ac:dyDescent="0.35">
      <c r="A1427" s="13">
        <v>46305</v>
      </c>
      <c r="B1427" t="s">
        <v>77</v>
      </c>
      <c r="C1427" t="s">
        <v>226</v>
      </c>
      <c r="D1427" s="14">
        <v>19.100000000000001</v>
      </c>
    </row>
    <row r="1428" spans="1:4" x14ac:dyDescent="0.35">
      <c r="A1428" s="13">
        <v>46305</v>
      </c>
      <c r="B1428" t="s">
        <v>77</v>
      </c>
      <c r="C1428" t="s">
        <v>227</v>
      </c>
      <c r="D1428" s="14">
        <v>14.8</v>
      </c>
    </row>
    <row r="1429" spans="1:4" x14ac:dyDescent="0.35">
      <c r="A1429" s="13">
        <v>46305</v>
      </c>
      <c r="B1429" t="s">
        <v>77</v>
      </c>
      <c r="C1429" t="s">
        <v>228</v>
      </c>
      <c r="D1429" s="14">
        <v>22.9</v>
      </c>
    </row>
    <row r="1430" spans="1:4" x14ac:dyDescent="0.35">
      <c r="A1430" s="13">
        <v>46305</v>
      </c>
      <c r="B1430" t="s">
        <v>77</v>
      </c>
      <c r="C1430" t="s">
        <v>229</v>
      </c>
      <c r="D1430" s="14">
        <v>7.6</v>
      </c>
    </row>
    <row r="1431" spans="1:4" x14ac:dyDescent="0.35">
      <c r="A1431" s="13">
        <v>46305</v>
      </c>
      <c r="B1431" t="s">
        <v>77</v>
      </c>
      <c r="C1431" t="s">
        <v>230</v>
      </c>
      <c r="D1431" s="14">
        <v>8.6999999999999993</v>
      </c>
    </row>
    <row r="1432" spans="1:4" x14ac:dyDescent="0.35">
      <c r="A1432" s="13">
        <v>46305</v>
      </c>
      <c r="B1432" t="s">
        <v>80</v>
      </c>
      <c r="C1432" t="s">
        <v>231</v>
      </c>
      <c r="D1432" s="14">
        <v>14.9</v>
      </c>
    </row>
    <row r="1433" spans="1:4" x14ac:dyDescent="0.35">
      <c r="A1433" s="13">
        <v>46305</v>
      </c>
      <c r="B1433" t="s">
        <v>80</v>
      </c>
      <c r="C1433" t="s">
        <v>232</v>
      </c>
      <c r="D1433" s="14">
        <v>22.7</v>
      </c>
    </row>
    <row r="1434" spans="1:4" x14ac:dyDescent="0.35">
      <c r="A1434" s="13">
        <v>46305</v>
      </c>
      <c r="B1434" t="s">
        <v>80</v>
      </c>
      <c r="C1434" t="s">
        <v>233</v>
      </c>
      <c r="D1434" s="14">
        <v>11.7</v>
      </c>
    </row>
    <row r="1435" spans="1:4" x14ac:dyDescent="0.35">
      <c r="A1435" s="13">
        <v>46305</v>
      </c>
      <c r="B1435" t="s">
        <v>80</v>
      </c>
      <c r="C1435" t="s">
        <v>234</v>
      </c>
      <c r="D1435" s="14">
        <v>7.9</v>
      </c>
    </row>
    <row r="1436" spans="1:4" x14ac:dyDescent="0.35">
      <c r="A1436" s="13">
        <v>46305</v>
      </c>
      <c r="B1436" t="s">
        <v>80</v>
      </c>
      <c r="C1436" t="s">
        <v>235</v>
      </c>
      <c r="D1436" s="14">
        <v>17.7</v>
      </c>
    </row>
    <row r="1437" spans="1:4" x14ac:dyDescent="0.35">
      <c r="A1437" s="13">
        <v>46305</v>
      </c>
      <c r="B1437" t="s">
        <v>80</v>
      </c>
      <c r="C1437" t="s">
        <v>236</v>
      </c>
      <c r="D1437" s="14">
        <v>19.5</v>
      </c>
    </row>
    <row r="1438" spans="1:4" x14ac:dyDescent="0.35">
      <c r="A1438" s="13">
        <v>46305</v>
      </c>
      <c r="B1438" t="s">
        <v>80</v>
      </c>
      <c r="C1438" t="s">
        <v>237</v>
      </c>
      <c r="D1438" s="14">
        <v>13.4</v>
      </c>
    </row>
    <row r="1439" spans="1:4" x14ac:dyDescent="0.35">
      <c r="A1439" s="13">
        <v>46305</v>
      </c>
      <c r="B1439" t="s">
        <v>80</v>
      </c>
      <c r="C1439" t="s">
        <v>238</v>
      </c>
      <c r="D1439" s="14">
        <v>17.899999999999999</v>
      </c>
    </row>
    <row r="1440" spans="1:4" x14ac:dyDescent="0.35">
      <c r="A1440" s="13">
        <v>46305</v>
      </c>
      <c r="B1440" t="s">
        <v>80</v>
      </c>
      <c r="C1440" t="s">
        <v>239</v>
      </c>
      <c r="D1440" s="14">
        <v>9</v>
      </c>
    </row>
    <row r="1441" spans="1:4" x14ac:dyDescent="0.35">
      <c r="A1441" s="13">
        <v>46305</v>
      </c>
      <c r="B1441" t="s">
        <v>80</v>
      </c>
      <c r="C1441" t="s">
        <v>240</v>
      </c>
      <c r="D1441" s="14">
        <v>19.7</v>
      </c>
    </row>
    <row r="1442" spans="1:4" x14ac:dyDescent="0.35">
      <c r="A1442" s="13">
        <v>46305</v>
      </c>
      <c r="B1442" t="s">
        <v>80</v>
      </c>
      <c r="C1442" t="s">
        <v>241</v>
      </c>
      <c r="D1442" s="14">
        <v>12.5</v>
      </c>
    </row>
    <row r="1443" spans="1:4" x14ac:dyDescent="0.35">
      <c r="A1443" s="13">
        <v>46305</v>
      </c>
      <c r="B1443" t="s">
        <v>80</v>
      </c>
      <c r="C1443" t="s">
        <v>242</v>
      </c>
      <c r="D1443" s="14">
        <v>28.5</v>
      </c>
    </row>
    <row r="1444" spans="1:4" x14ac:dyDescent="0.35">
      <c r="A1444" s="13">
        <v>46305</v>
      </c>
      <c r="B1444" t="s">
        <v>80</v>
      </c>
      <c r="C1444" t="s">
        <v>243</v>
      </c>
      <c r="D1444" s="14">
        <v>22.7</v>
      </c>
    </row>
    <row r="1445" spans="1:4" x14ac:dyDescent="0.35">
      <c r="A1445" s="13">
        <v>46305</v>
      </c>
      <c r="B1445" t="s">
        <v>80</v>
      </c>
      <c r="C1445" t="s">
        <v>244</v>
      </c>
      <c r="D1445" s="14">
        <v>15.7</v>
      </c>
    </row>
    <row r="1446" spans="1:4" x14ac:dyDescent="0.35">
      <c r="A1446" s="13">
        <v>46305</v>
      </c>
      <c r="B1446" t="s">
        <v>80</v>
      </c>
      <c r="C1446" t="s">
        <v>245</v>
      </c>
      <c r="D1446" s="14">
        <v>15</v>
      </c>
    </row>
    <row r="1447" spans="1:4" x14ac:dyDescent="0.35">
      <c r="A1447" s="13">
        <v>46305</v>
      </c>
      <c r="B1447" t="s">
        <v>80</v>
      </c>
      <c r="C1447" t="s">
        <v>246</v>
      </c>
      <c r="D1447" s="14">
        <v>15.6</v>
      </c>
    </row>
    <row r="1448" spans="1:4" x14ac:dyDescent="0.35">
      <c r="A1448" s="13">
        <v>46305</v>
      </c>
      <c r="B1448" t="s">
        <v>80</v>
      </c>
      <c r="C1448" t="s">
        <v>247</v>
      </c>
      <c r="D1448" s="14">
        <v>27.4</v>
      </c>
    </row>
    <row r="1449" spans="1:4" x14ac:dyDescent="0.35">
      <c r="A1449" s="13">
        <v>46305</v>
      </c>
      <c r="B1449" t="s">
        <v>82</v>
      </c>
      <c r="C1449" t="s">
        <v>248</v>
      </c>
      <c r="D1449" s="14">
        <v>22</v>
      </c>
    </row>
    <row r="1450" spans="1:4" x14ac:dyDescent="0.35">
      <c r="A1450" s="13">
        <v>46305</v>
      </c>
      <c r="B1450" t="s">
        <v>82</v>
      </c>
      <c r="C1450" t="s">
        <v>249</v>
      </c>
      <c r="D1450" s="14">
        <v>9.8000000000000007</v>
      </c>
    </row>
    <row r="1451" spans="1:4" x14ac:dyDescent="0.35">
      <c r="A1451" s="13">
        <v>46305</v>
      </c>
      <c r="B1451" t="s">
        <v>82</v>
      </c>
      <c r="C1451" t="s">
        <v>250</v>
      </c>
      <c r="D1451" s="14">
        <v>15.6</v>
      </c>
    </row>
    <row r="1452" spans="1:4" x14ac:dyDescent="0.35">
      <c r="A1452" s="13">
        <v>46305</v>
      </c>
      <c r="B1452" t="s">
        <v>82</v>
      </c>
      <c r="C1452" t="s">
        <v>251</v>
      </c>
      <c r="D1452" s="14">
        <v>10.9</v>
      </c>
    </row>
    <row r="1453" spans="1:4" x14ac:dyDescent="0.35">
      <c r="A1453" s="13">
        <v>46305</v>
      </c>
      <c r="B1453" t="s">
        <v>82</v>
      </c>
      <c r="C1453" t="s">
        <v>252</v>
      </c>
      <c r="D1453" s="14">
        <v>9.8000000000000007</v>
      </c>
    </row>
    <row r="1454" spans="1:4" x14ac:dyDescent="0.35">
      <c r="A1454" s="13">
        <v>46305</v>
      </c>
      <c r="B1454" t="s">
        <v>82</v>
      </c>
      <c r="C1454" t="s">
        <v>253</v>
      </c>
      <c r="D1454" s="14">
        <v>16.399999999999999</v>
      </c>
    </row>
    <row r="1455" spans="1:4" x14ac:dyDescent="0.35">
      <c r="A1455" s="13">
        <v>46305</v>
      </c>
      <c r="B1455" t="s">
        <v>82</v>
      </c>
      <c r="C1455" t="s">
        <v>254</v>
      </c>
      <c r="D1455" s="14">
        <v>8.1</v>
      </c>
    </row>
    <row r="1456" spans="1:4" x14ac:dyDescent="0.35">
      <c r="A1456" s="13">
        <v>46305</v>
      </c>
      <c r="B1456" t="s">
        <v>82</v>
      </c>
      <c r="C1456" t="s">
        <v>255</v>
      </c>
      <c r="D1456" s="14">
        <v>10</v>
      </c>
    </row>
    <row r="1457" spans="1:4" x14ac:dyDescent="0.35">
      <c r="A1457" s="13">
        <v>46305</v>
      </c>
      <c r="B1457" t="s">
        <v>82</v>
      </c>
      <c r="C1457" t="s">
        <v>256</v>
      </c>
      <c r="D1457" s="14">
        <v>17.7</v>
      </c>
    </row>
    <row r="1458" spans="1:4" x14ac:dyDescent="0.35">
      <c r="A1458" s="13">
        <v>46305</v>
      </c>
      <c r="B1458" t="s">
        <v>82</v>
      </c>
      <c r="C1458" t="s">
        <v>257</v>
      </c>
      <c r="D1458" s="14">
        <v>15.9</v>
      </c>
    </row>
    <row r="1459" spans="1:4" x14ac:dyDescent="0.35">
      <c r="A1459" s="13">
        <v>46305</v>
      </c>
      <c r="B1459" t="s">
        <v>82</v>
      </c>
      <c r="C1459" t="s">
        <v>258</v>
      </c>
      <c r="D1459" s="14">
        <v>22.7</v>
      </c>
    </row>
    <row r="1460" spans="1:4" x14ac:dyDescent="0.35">
      <c r="A1460" s="13">
        <v>46305</v>
      </c>
      <c r="B1460" t="s">
        <v>82</v>
      </c>
      <c r="C1460" t="s">
        <v>259</v>
      </c>
      <c r="D1460" s="14">
        <v>10.7</v>
      </c>
    </row>
    <row r="1461" spans="1:4" x14ac:dyDescent="0.35">
      <c r="A1461" s="13">
        <v>46305</v>
      </c>
      <c r="B1461" t="s">
        <v>82</v>
      </c>
      <c r="C1461" t="s">
        <v>260</v>
      </c>
      <c r="D1461" s="14">
        <v>10.8</v>
      </c>
    </row>
    <row r="1462" spans="1:4" x14ac:dyDescent="0.35">
      <c r="A1462" s="13">
        <v>46305</v>
      </c>
      <c r="B1462" t="s">
        <v>82</v>
      </c>
      <c r="C1462" t="s">
        <v>261</v>
      </c>
      <c r="D1462" s="14">
        <v>15.8</v>
      </c>
    </row>
    <row r="1463" spans="1:4" x14ac:dyDescent="0.35">
      <c r="A1463" s="13">
        <v>46305</v>
      </c>
      <c r="B1463" t="s">
        <v>82</v>
      </c>
      <c r="C1463" t="s">
        <v>262</v>
      </c>
      <c r="D1463" s="14">
        <v>21.5</v>
      </c>
    </row>
    <row r="1464" spans="1:4" x14ac:dyDescent="0.35">
      <c r="A1464" s="13">
        <v>46305</v>
      </c>
      <c r="B1464" t="s">
        <v>82</v>
      </c>
      <c r="C1464" t="s">
        <v>263</v>
      </c>
      <c r="D1464" s="14">
        <v>9.5</v>
      </c>
    </row>
    <row r="1465" spans="1:4" x14ac:dyDescent="0.35">
      <c r="A1465" s="13">
        <v>46305</v>
      </c>
      <c r="B1465" t="s">
        <v>82</v>
      </c>
      <c r="C1465" t="s">
        <v>264</v>
      </c>
      <c r="D1465" s="14">
        <v>23.9</v>
      </c>
    </row>
    <row r="1466" spans="1:4" x14ac:dyDescent="0.35">
      <c r="A1466" s="13">
        <v>46305</v>
      </c>
      <c r="B1466" t="s">
        <v>82</v>
      </c>
      <c r="C1466" t="s">
        <v>265</v>
      </c>
      <c r="D1466" s="14">
        <v>16.3</v>
      </c>
    </row>
    <row r="1467" spans="1:4" x14ac:dyDescent="0.35">
      <c r="A1467" s="13">
        <v>46305</v>
      </c>
      <c r="B1467" t="s">
        <v>85</v>
      </c>
      <c r="C1467" t="s">
        <v>266</v>
      </c>
      <c r="D1467" s="14">
        <v>11.2</v>
      </c>
    </row>
    <row r="1468" spans="1:4" x14ac:dyDescent="0.35">
      <c r="A1468" s="13">
        <v>46305</v>
      </c>
      <c r="B1468" t="s">
        <v>85</v>
      </c>
      <c r="C1468" t="s">
        <v>267</v>
      </c>
      <c r="D1468" s="14">
        <v>6.9</v>
      </c>
    </row>
    <row r="1469" spans="1:4" x14ac:dyDescent="0.35">
      <c r="A1469" s="13">
        <v>46305</v>
      </c>
      <c r="B1469" t="s">
        <v>85</v>
      </c>
      <c r="C1469" t="s">
        <v>268</v>
      </c>
      <c r="D1469" s="14">
        <v>22</v>
      </c>
    </row>
    <row r="1470" spans="1:4" x14ac:dyDescent="0.35">
      <c r="A1470" s="13">
        <v>46305</v>
      </c>
      <c r="B1470" t="s">
        <v>85</v>
      </c>
      <c r="C1470" t="s">
        <v>269</v>
      </c>
      <c r="D1470" s="14">
        <v>22.3</v>
      </c>
    </row>
    <row r="1471" spans="1:4" x14ac:dyDescent="0.35">
      <c r="A1471" s="13">
        <v>46305</v>
      </c>
      <c r="B1471" t="s">
        <v>85</v>
      </c>
      <c r="C1471" t="s">
        <v>270</v>
      </c>
      <c r="D1471" s="14">
        <v>18.399999999999999</v>
      </c>
    </row>
    <row r="1472" spans="1:4" x14ac:dyDescent="0.35">
      <c r="A1472" s="13">
        <v>46305</v>
      </c>
      <c r="B1472" t="s">
        <v>85</v>
      </c>
      <c r="C1472" t="s">
        <v>271</v>
      </c>
      <c r="D1472" s="14">
        <v>13.5</v>
      </c>
    </row>
    <row r="1473" spans="1:4" x14ac:dyDescent="0.35">
      <c r="A1473" s="13">
        <v>46305</v>
      </c>
      <c r="B1473" t="s">
        <v>85</v>
      </c>
      <c r="C1473" t="s">
        <v>272</v>
      </c>
      <c r="D1473" s="14">
        <v>18.7</v>
      </c>
    </row>
    <row r="1474" spans="1:4" x14ac:dyDescent="0.35">
      <c r="A1474" s="13">
        <v>46305</v>
      </c>
      <c r="B1474" t="s">
        <v>85</v>
      </c>
      <c r="C1474" t="s">
        <v>273</v>
      </c>
      <c r="D1474" s="14">
        <v>9.3000000000000007</v>
      </c>
    </row>
    <row r="1475" spans="1:4" x14ac:dyDescent="0.35">
      <c r="A1475" s="13">
        <v>46305</v>
      </c>
      <c r="B1475" t="s">
        <v>85</v>
      </c>
      <c r="C1475" t="s">
        <v>274</v>
      </c>
      <c r="D1475" s="14">
        <v>8.6999999999999993</v>
      </c>
    </row>
    <row r="1476" spans="1:4" x14ac:dyDescent="0.35">
      <c r="A1476" s="13">
        <v>46305</v>
      </c>
      <c r="B1476" t="s">
        <v>85</v>
      </c>
      <c r="C1476" t="s">
        <v>275</v>
      </c>
      <c r="D1476" s="14">
        <v>17</v>
      </c>
    </row>
    <row r="1477" spans="1:4" x14ac:dyDescent="0.35">
      <c r="A1477" s="13">
        <v>46305</v>
      </c>
      <c r="B1477" t="s">
        <v>85</v>
      </c>
      <c r="C1477" t="s">
        <v>276</v>
      </c>
      <c r="D1477" s="14">
        <v>11.5</v>
      </c>
    </row>
    <row r="1478" spans="1:4" x14ac:dyDescent="0.35">
      <c r="A1478" s="13">
        <v>46305</v>
      </c>
      <c r="B1478" t="s">
        <v>85</v>
      </c>
      <c r="C1478" t="s">
        <v>277</v>
      </c>
      <c r="D1478" s="14">
        <v>14.1</v>
      </c>
    </row>
    <row r="1479" spans="1:4" x14ac:dyDescent="0.35">
      <c r="A1479" s="13">
        <v>46305</v>
      </c>
      <c r="B1479" t="s">
        <v>85</v>
      </c>
      <c r="C1479" t="s">
        <v>278</v>
      </c>
      <c r="D1479" s="14">
        <v>16.7</v>
      </c>
    </row>
    <row r="1480" spans="1:4" x14ac:dyDescent="0.35">
      <c r="A1480" s="13">
        <v>46305</v>
      </c>
      <c r="B1480" t="s">
        <v>85</v>
      </c>
      <c r="C1480" t="s">
        <v>279</v>
      </c>
      <c r="D1480" s="14">
        <v>11.3</v>
      </c>
    </row>
    <row r="1481" spans="1:4" x14ac:dyDescent="0.35">
      <c r="A1481" s="13">
        <v>46305</v>
      </c>
      <c r="B1481" t="s">
        <v>85</v>
      </c>
      <c r="C1481" t="s">
        <v>280</v>
      </c>
      <c r="D1481" s="14">
        <v>15</v>
      </c>
    </row>
    <row r="1482" spans="1:4" x14ac:dyDescent="0.35">
      <c r="A1482" s="13">
        <v>46305</v>
      </c>
      <c r="B1482" t="s">
        <v>85</v>
      </c>
      <c r="C1482" t="s">
        <v>281</v>
      </c>
      <c r="D1482" s="14">
        <v>12.2</v>
      </c>
    </row>
    <row r="1483" spans="1:4" x14ac:dyDescent="0.35">
      <c r="A1483" s="13">
        <v>46305</v>
      </c>
      <c r="B1483" t="s">
        <v>87</v>
      </c>
      <c r="C1483" t="s">
        <v>282</v>
      </c>
      <c r="D1483" s="14">
        <v>7.6</v>
      </c>
    </row>
    <row r="1484" spans="1:4" x14ac:dyDescent="0.35">
      <c r="A1484" s="13">
        <v>46305</v>
      </c>
      <c r="B1484" t="s">
        <v>87</v>
      </c>
      <c r="C1484" t="s">
        <v>283</v>
      </c>
      <c r="D1484" s="14">
        <v>14.3</v>
      </c>
    </row>
    <row r="1485" spans="1:4" x14ac:dyDescent="0.35">
      <c r="A1485" s="13">
        <v>46305</v>
      </c>
      <c r="B1485" t="s">
        <v>87</v>
      </c>
      <c r="C1485" t="s">
        <v>284</v>
      </c>
      <c r="D1485" s="14">
        <v>12.3</v>
      </c>
    </row>
    <row r="1486" spans="1:4" x14ac:dyDescent="0.35">
      <c r="A1486" s="13">
        <v>46305</v>
      </c>
      <c r="B1486" t="s">
        <v>87</v>
      </c>
      <c r="C1486" t="s">
        <v>285</v>
      </c>
      <c r="D1486" s="14">
        <v>17.8</v>
      </c>
    </row>
    <row r="1487" spans="1:4" x14ac:dyDescent="0.35">
      <c r="A1487" s="13">
        <v>46305</v>
      </c>
      <c r="B1487" t="s">
        <v>87</v>
      </c>
      <c r="C1487" t="s">
        <v>286</v>
      </c>
      <c r="D1487" s="14">
        <v>12.7</v>
      </c>
    </row>
    <row r="1488" spans="1:4" x14ac:dyDescent="0.35">
      <c r="A1488" s="13">
        <v>46305</v>
      </c>
      <c r="B1488" t="s">
        <v>87</v>
      </c>
      <c r="C1488" t="s">
        <v>287</v>
      </c>
      <c r="D1488" s="14">
        <v>16.5</v>
      </c>
    </row>
    <row r="1489" spans="1:4" x14ac:dyDescent="0.35">
      <c r="A1489" s="13">
        <v>46305</v>
      </c>
      <c r="B1489" t="s">
        <v>87</v>
      </c>
      <c r="C1489" t="s">
        <v>288</v>
      </c>
      <c r="D1489" s="14">
        <v>10.4</v>
      </c>
    </row>
    <row r="1490" spans="1:4" x14ac:dyDescent="0.35">
      <c r="A1490" s="13">
        <v>46305</v>
      </c>
      <c r="B1490" t="s">
        <v>87</v>
      </c>
      <c r="C1490" t="s">
        <v>289</v>
      </c>
      <c r="D1490" s="14">
        <v>11.3</v>
      </c>
    </row>
    <row r="1491" spans="1:4" x14ac:dyDescent="0.35">
      <c r="A1491" s="13">
        <v>46305</v>
      </c>
      <c r="B1491" t="s">
        <v>87</v>
      </c>
      <c r="C1491" t="s">
        <v>290</v>
      </c>
      <c r="D1491" s="14">
        <v>17</v>
      </c>
    </row>
    <row r="1492" spans="1:4" x14ac:dyDescent="0.35">
      <c r="A1492" s="13">
        <v>46305</v>
      </c>
      <c r="B1492" t="s">
        <v>87</v>
      </c>
      <c r="C1492" t="s">
        <v>291</v>
      </c>
      <c r="D1492" s="14">
        <v>13.1</v>
      </c>
    </row>
    <row r="1493" spans="1:4" x14ac:dyDescent="0.35">
      <c r="A1493" s="13">
        <v>46305</v>
      </c>
      <c r="B1493" t="s">
        <v>87</v>
      </c>
      <c r="C1493" t="s">
        <v>292</v>
      </c>
      <c r="D1493" s="14">
        <v>11</v>
      </c>
    </row>
    <row r="1494" spans="1:4" x14ac:dyDescent="0.35">
      <c r="A1494" s="13">
        <v>46305</v>
      </c>
      <c r="B1494" t="s">
        <v>87</v>
      </c>
      <c r="C1494" t="s">
        <v>293</v>
      </c>
      <c r="D1494" s="14">
        <v>10.199999999999999</v>
      </c>
    </row>
    <row r="1495" spans="1:4" x14ac:dyDescent="0.35">
      <c r="A1495" s="13">
        <v>46305</v>
      </c>
      <c r="B1495" t="s">
        <v>87</v>
      </c>
      <c r="C1495" t="s">
        <v>294</v>
      </c>
      <c r="D1495" s="14">
        <v>10</v>
      </c>
    </row>
    <row r="1496" spans="1:4" x14ac:dyDescent="0.35">
      <c r="A1496" s="13">
        <v>46305</v>
      </c>
      <c r="B1496" t="s">
        <v>87</v>
      </c>
      <c r="C1496" t="s">
        <v>295</v>
      </c>
      <c r="D1496" s="14">
        <v>12.5</v>
      </c>
    </row>
    <row r="1497" spans="1:4" x14ac:dyDescent="0.35">
      <c r="A1497" s="13">
        <v>46305</v>
      </c>
      <c r="B1497" t="s">
        <v>87</v>
      </c>
      <c r="C1497" t="s">
        <v>296</v>
      </c>
      <c r="D1497" s="14">
        <v>18.899999999999999</v>
      </c>
    </row>
    <row r="1498" spans="1:4" x14ac:dyDescent="0.35">
      <c r="A1498" s="13">
        <v>46305</v>
      </c>
      <c r="B1498" t="s">
        <v>87</v>
      </c>
      <c r="C1498" t="s">
        <v>297</v>
      </c>
      <c r="D1498" s="14">
        <v>13.7</v>
      </c>
    </row>
    <row r="1499" spans="1:4" x14ac:dyDescent="0.35">
      <c r="A1499" s="13">
        <v>46305</v>
      </c>
      <c r="B1499" t="s">
        <v>77</v>
      </c>
      <c r="C1499" t="s">
        <v>298</v>
      </c>
      <c r="D1499" s="14">
        <v>10.7</v>
      </c>
    </row>
    <row r="1500" spans="1:4" x14ac:dyDescent="0.35">
      <c r="A1500" s="13">
        <v>46305</v>
      </c>
      <c r="B1500" t="s">
        <v>85</v>
      </c>
      <c r="C1500" t="s">
        <v>299</v>
      </c>
      <c r="D1500" s="14">
        <v>0</v>
      </c>
    </row>
    <row r="1501" spans="1:4" x14ac:dyDescent="0.35">
      <c r="A1501" s="13">
        <v>46312</v>
      </c>
      <c r="B1501" t="s">
        <v>70</v>
      </c>
      <c r="C1501" t="s">
        <v>155</v>
      </c>
      <c r="D1501" s="14">
        <v>26.1</v>
      </c>
    </row>
    <row r="1502" spans="1:4" x14ac:dyDescent="0.35">
      <c r="A1502" s="13">
        <v>46312</v>
      </c>
      <c r="B1502" t="s">
        <v>70</v>
      </c>
      <c r="C1502" t="s">
        <v>158</v>
      </c>
      <c r="D1502" s="14">
        <v>22.6</v>
      </c>
    </row>
    <row r="1503" spans="1:4" x14ac:dyDescent="0.35">
      <c r="A1503" s="13">
        <v>46312</v>
      </c>
      <c r="B1503" t="s">
        <v>70</v>
      </c>
      <c r="C1503" t="s">
        <v>159</v>
      </c>
      <c r="D1503" s="14">
        <v>17.2</v>
      </c>
    </row>
    <row r="1504" spans="1:4" x14ac:dyDescent="0.35">
      <c r="A1504" s="13">
        <v>46312</v>
      </c>
      <c r="B1504" t="s">
        <v>70</v>
      </c>
      <c r="C1504" t="s">
        <v>162</v>
      </c>
      <c r="D1504" s="14">
        <v>24.7</v>
      </c>
    </row>
    <row r="1505" spans="1:4" x14ac:dyDescent="0.35">
      <c r="A1505" s="13">
        <v>46312</v>
      </c>
      <c r="B1505" t="s">
        <v>70</v>
      </c>
      <c r="C1505" t="s">
        <v>164</v>
      </c>
      <c r="D1505" s="14">
        <v>10.8</v>
      </c>
    </row>
    <row r="1506" spans="1:4" x14ac:dyDescent="0.35">
      <c r="A1506" s="13">
        <v>46312</v>
      </c>
      <c r="B1506" t="s">
        <v>70</v>
      </c>
      <c r="C1506" t="s">
        <v>167</v>
      </c>
      <c r="D1506" s="14">
        <v>13.8</v>
      </c>
    </row>
    <row r="1507" spans="1:4" x14ac:dyDescent="0.35">
      <c r="A1507" s="13">
        <v>46312</v>
      </c>
      <c r="B1507" t="s">
        <v>70</v>
      </c>
      <c r="C1507" t="s">
        <v>169</v>
      </c>
      <c r="D1507" s="14">
        <v>10.4</v>
      </c>
    </row>
    <row r="1508" spans="1:4" x14ac:dyDescent="0.35">
      <c r="A1508" s="13">
        <v>46312</v>
      </c>
      <c r="B1508" t="s">
        <v>70</v>
      </c>
      <c r="C1508" t="s">
        <v>170</v>
      </c>
      <c r="D1508" s="14">
        <v>20.399999999999999</v>
      </c>
    </row>
    <row r="1509" spans="1:4" x14ac:dyDescent="0.35">
      <c r="A1509" s="13">
        <v>46312</v>
      </c>
      <c r="B1509" t="s">
        <v>70</v>
      </c>
      <c r="C1509" t="s">
        <v>171</v>
      </c>
      <c r="D1509" s="14">
        <v>16.2</v>
      </c>
    </row>
    <row r="1510" spans="1:4" x14ac:dyDescent="0.35">
      <c r="A1510" s="13">
        <v>46312</v>
      </c>
      <c r="B1510" t="s">
        <v>70</v>
      </c>
      <c r="C1510" t="s">
        <v>172</v>
      </c>
      <c r="D1510" s="14">
        <v>10.5</v>
      </c>
    </row>
    <row r="1511" spans="1:4" x14ac:dyDescent="0.35">
      <c r="A1511" s="13">
        <v>46312</v>
      </c>
      <c r="B1511" t="s">
        <v>70</v>
      </c>
      <c r="C1511" t="s">
        <v>173</v>
      </c>
      <c r="D1511" s="14">
        <v>19.100000000000001</v>
      </c>
    </row>
    <row r="1512" spans="1:4" x14ac:dyDescent="0.35">
      <c r="A1512" s="13">
        <v>46312</v>
      </c>
      <c r="B1512" t="s">
        <v>70</v>
      </c>
      <c r="C1512" t="s">
        <v>174</v>
      </c>
      <c r="D1512" s="14">
        <v>23.2</v>
      </c>
    </row>
    <row r="1513" spans="1:4" x14ac:dyDescent="0.35">
      <c r="A1513" s="13">
        <v>46312</v>
      </c>
      <c r="B1513" t="s">
        <v>70</v>
      </c>
      <c r="C1513" t="s">
        <v>175</v>
      </c>
      <c r="D1513" s="14">
        <v>16</v>
      </c>
    </row>
    <row r="1514" spans="1:4" x14ac:dyDescent="0.35">
      <c r="A1514" s="13">
        <v>46312</v>
      </c>
      <c r="B1514" t="s">
        <v>70</v>
      </c>
      <c r="C1514" t="s">
        <v>176</v>
      </c>
      <c r="D1514" s="14">
        <v>12.5</v>
      </c>
    </row>
    <row r="1515" spans="1:4" x14ac:dyDescent="0.35">
      <c r="A1515" s="13">
        <v>46312</v>
      </c>
      <c r="B1515" t="s">
        <v>73</v>
      </c>
      <c r="C1515" t="s">
        <v>177</v>
      </c>
      <c r="D1515" s="14">
        <v>13.1</v>
      </c>
    </row>
    <row r="1516" spans="1:4" x14ac:dyDescent="0.35">
      <c r="A1516" s="13">
        <v>46312</v>
      </c>
      <c r="B1516" t="s">
        <v>73</v>
      </c>
      <c r="C1516" t="s">
        <v>178</v>
      </c>
      <c r="D1516" s="14">
        <v>11.3</v>
      </c>
    </row>
    <row r="1517" spans="1:4" x14ac:dyDescent="0.35">
      <c r="A1517" s="13">
        <v>46312</v>
      </c>
      <c r="B1517" t="s">
        <v>73</v>
      </c>
      <c r="C1517" t="s">
        <v>179</v>
      </c>
      <c r="D1517" s="14">
        <v>16.8</v>
      </c>
    </row>
    <row r="1518" spans="1:4" x14ac:dyDescent="0.35">
      <c r="A1518" s="13">
        <v>46312</v>
      </c>
      <c r="B1518" t="s">
        <v>73</v>
      </c>
      <c r="C1518" t="s">
        <v>180</v>
      </c>
      <c r="D1518" s="14">
        <v>9.5</v>
      </c>
    </row>
    <row r="1519" spans="1:4" x14ac:dyDescent="0.35">
      <c r="A1519" s="13">
        <v>46312</v>
      </c>
      <c r="B1519" t="s">
        <v>73</v>
      </c>
      <c r="C1519" t="s">
        <v>181</v>
      </c>
      <c r="D1519" s="14">
        <v>10.7</v>
      </c>
    </row>
    <row r="1520" spans="1:4" x14ac:dyDescent="0.35">
      <c r="A1520" s="13">
        <v>46312</v>
      </c>
      <c r="B1520" t="s">
        <v>73</v>
      </c>
      <c r="C1520" t="s">
        <v>182</v>
      </c>
      <c r="D1520" s="14">
        <v>14.1</v>
      </c>
    </row>
    <row r="1521" spans="1:4" x14ac:dyDescent="0.35">
      <c r="A1521" s="13">
        <v>46312</v>
      </c>
      <c r="B1521" t="s">
        <v>73</v>
      </c>
      <c r="C1521" t="s">
        <v>183</v>
      </c>
      <c r="D1521" s="14">
        <v>21</v>
      </c>
    </row>
    <row r="1522" spans="1:4" x14ac:dyDescent="0.35">
      <c r="A1522" s="13">
        <v>46312</v>
      </c>
      <c r="B1522" t="s">
        <v>73</v>
      </c>
      <c r="C1522" t="s">
        <v>184</v>
      </c>
      <c r="D1522" s="14">
        <v>16.7</v>
      </c>
    </row>
    <row r="1523" spans="1:4" x14ac:dyDescent="0.35">
      <c r="A1523" s="13">
        <v>46312</v>
      </c>
      <c r="B1523" t="s">
        <v>73</v>
      </c>
      <c r="C1523" t="s">
        <v>185</v>
      </c>
      <c r="D1523" s="14">
        <v>10.6</v>
      </c>
    </row>
    <row r="1524" spans="1:4" x14ac:dyDescent="0.35">
      <c r="A1524" s="13">
        <v>46312</v>
      </c>
      <c r="B1524" t="s">
        <v>73</v>
      </c>
      <c r="C1524" t="s">
        <v>186</v>
      </c>
      <c r="D1524" s="14">
        <v>15.2</v>
      </c>
    </row>
    <row r="1525" spans="1:4" x14ac:dyDescent="0.35">
      <c r="A1525" s="13">
        <v>46312</v>
      </c>
      <c r="B1525" t="s">
        <v>73</v>
      </c>
      <c r="C1525" t="s">
        <v>187</v>
      </c>
      <c r="D1525" s="14">
        <v>8.1999999999999993</v>
      </c>
    </row>
    <row r="1526" spans="1:4" x14ac:dyDescent="0.35">
      <c r="A1526" s="13">
        <v>46312</v>
      </c>
      <c r="B1526" t="s">
        <v>73</v>
      </c>
      <c r="C1526" t="s">
        <v>189</v>
      </c>
      <c r="D1526" s="14">
        <v>11.3</v>
      </c>
    </row>
    <row r="1527" spans="1:4" x14ac:dyDescent="0.35">
      <c r="A1527" s="13">
        <v>46312</v>
      </c>
      <c r="B1527" t="s">
        <v>73</v>
      </c>
      <c r="C1527" t="s">
        <v>190</v>
      </c>
      <c r="D1527" s="14">
        <v>13.1</v>
      </c>
    </row>
    <row r="1528" spans="1:4" x14ac:dyDescent="0.35">
      <c r="A1528" s="13">
        <v>46312</v>
      </c>
      <c r="B1528" t="s">
        <v>73</v>
      </c>
      <c r="C1528" t="s">
        <v>191</v>
      </c>
      <c r="D1528" s="14">
        <v>12.4</v>
      </c>
    </row>
    <row r="1529" spans="1:4" x14ac:dyDescent="0.35">
      <c r="A1529" s="13">
        <v>46312</v>
      </c>
      <c r="B1529" t="s">
        <v>73</v>
      </c>
      <c r="C1529" t="s">
        <v>192</v>
      </c>
      <c r="D1529" s="14">
        <v>7.9</v>
      </c>
    </row>
    <row r="1530" spans="1:4" x14ac:dyDescent="0.35">
      <c r="A1530" s="13">
        <v>46312</v>
      </c>
      <c r="B1530" t="s">
        <v>73</v>
      </c>
      <c r="C1530" t="s">
        <v>193</v>
      </c>
      <c r="D1530" s="14">
        <v>15.7</v>
      </c>
    </row>
    <row r="1531" spans="1:4" x14ac:dyDescent="0.35">
      <c r="A1531" s="13">
        <v>46312</v>
      </c>
      <c r="B1531" t="s">
        <v>73</v>
      </c>
      <c r="C1531" t="s">
        <v>194</v>
      </c>
      <c r="D1531" s="14">
        <v>10.1</v>
      </c>
    </row>
    <row r="1532" spans="1:4" x14ac:dyDescent="0.35">
      <c r="A1532" s="13">
        <v>46312</v>
      </c>
      <c r="B1532" t="s">
        <v>73</v>
      </c>
      <c r="C1532" t="s">
        <v>195</v>
      </c>
      <c r="D1532" s="14">
        <v>15.9</v>
      </c>
    </row>
    <row r="1533" spans="1:4" x14ac:dyDescent="0.35">
      <c r="A1533" s="13">
        <v>46312</v>
      </c>
      <c r="B1533" t="s">
        <v>73</v>
      </c>
      <c r="C1533" t="s">
        <v>196</v>
      </c>
      <c r="D1533" s="14">
        <v>8.6</v>
      </c>
    </row>
    <row r="1534" spans="1:4" x14ac:dyDescent="0.35">
      <c r="A1534" s="13">
        <v>46312</v>
      </c>
      <c r="B1534" t="s">
        <v>3</v>
      </c>
      <c r="C1534" t="s">
        <v>197</v>
      </c>
      <c r="D1534" s="14">
        <v>14.2</v>
      </c>
    </row>
    <row r="1535" spans="1:4" x14ac:dyDescent="0.35">
      <c r="A1535" s="13">
        <v>46312</v>
      </c>
      <c r="B1535" t="s">
        <v>3</v>
      </c>
      <c r="C1535" t="s">
        <v>198</v>
      </c>
      <c r="D1535" s="14">
        <v>12.5</v>
      </c>
    </row>
    <row r="1536" spans="1:4" x14ac:dyDescent="0.35">
      <c r="A1536" s="13">
        <v>46312</v>
      </c>
      <c r="B1536" t="s">
        <v>3</v>
      </c>
      <c r="C1536" t="s">
        <v>199</v>
      </c>
      <c r="D1536" s="14">
        <v>19.399999999999999</v>
      </c>
    </row>
    <row r="1537" spans="1:4" x14ac:dyDescent="0.35">
      <c r="A1537" s="13">
        <v>46312</v>
      </c>
      <c r="B1537" t="s">
        <v>3</v>
      </c>
      <c r="C1537" t="s">
        <v>200</v>
      </c>
      <c r="D1537" s="14">
        <v>14</v>
      </c>
    </row>
    <row r="1538" spans="1:4" x14ac:dyDescent="0.35">
      <c r="A1538" s="13">
        <v>46312</v>
      </c>
      <c r="B1538" t="s">
        <v>3</v>
      </c>
      <c r="C1538" t="s">
        <v>201</v>
      </c>
      <c r="D1538" s="14">
        <v>22.1</v>
      </c>
    </row>
    <row r="1539" spans="1:4" x14ac:dyDescent="0.35">
      <c r="A1539" s="13">
        <v>46312</v>
      </c>
      <c r="B1539" t="s">
        <v>3</v>
      </c>
      <c r="C1539" t="s">
        <v>202</v>
      </c>
      <c r="D1539" s="14">
        <v>9</v>
      </c>
    </row>
    <row r="1540" spans="1:4" x14ac:dyDescent="0.35">
      <c r="A1540" s="13">
        <v>46312</v>
      </c>
      <c r="B1540" t="s">
        <v>3</v>
      </c>
      <c r="C1540" t="s">
        <v>203</v>
      </c>
      <c r="D1540" s="14">
        <v>15.2</v>
      </c>
    </row>
    <row r="1541" spans="1:4" x14ac:dyDescent="0.35">
      <c r="A1541" s="13">
        <v>46312</v>
      </c>
      <c r="B1541" t="s">
        <v>3</v>
      </c>
      <c r="C1541" t="s">
        <v>204</v>
      </c>
      <c r="D1541" s="14">
        <v>8.6</v>
      </c>
    </row>
    <row r="1542" spans="1:4" x14ac:dyDescent="0.35">
      <c r="A1542" s="13">
        <v>46312</v>
      </c>
      <c r="B1542" t="s">
        <v>3</v>
      </c>
      <c r="C1542" t="s">
        <v>205</v>
      </c>
      <c r="D1542" s="14">
        <v>24.7</v>
      </c>
    </row>
    <row r="1543" spans="1:4" x14ac:dyDescent="0.35">
      <c r="A1543" s="13">
        <v>46312</v>
      </c>
      <c r="B1543" t="s">
        <v>3</v>
      </c>
      <c r="C1543" t="s">
        <v>206</v>
      </c>
      <c r="D1543" s="14">
        <v>23.4</v>
      </c>
    </row>
    <row r="1544" spans="1:4" x14ac:dyDescent="0.35">
      <c r="A1544" s="13">
        <v>46312</v>
      </c>
      <c r="B1544" t="s">
        <v>3</v>
      </c>
      <c r="C1544" t="s">
        <v>207</v>
      </c>
      <c r="D1544" s="14">
        <v>23.7</v>
      </c>
    </row>
    <row r="1545" spans="1:4" x14ac:dyDescent="0.35">
      <c r="A1545" s="13">
        <v>46312</v>
      </c>
      <c r="B1545" t="s">
        <v>3</v>
      </c>
      <c r="C1545" t="s">
        <v>208</v>
      </c>
      <c r="D1545" s="14">
        <v>22.8</v>
      </c>
    </row>
    <row r="1546" spans="1:4" x14ac:dyDescent="0.35">
      <c r="A1546" s="13">
        <v>46312</v>
      </c>
      <c r="B1546" t="s">
        <v>3</v>
      </c>
      <c r="C1546" t="s">
        <v>209</v>
      </c>
      <c r="D1546" s="14">
        <v>21.6</v>
      </c>
    </row>
    <row r="1547" spans="1:4" x14ac:dyDescent="0.35">
      <c r="A1547" s="13">
        <v>46312</v>
      </c>
      <c r="B1547" t="s">
        <v>3</v>
      </c>
      <c r="C1547" t="s">
        <v>210</v>
      </c>
      <c r="D1547" s="14">
        <v>13.8</v>
      </c>
    </row>
    <row r="1548" spans="1:4" x14ac:dyDescent="0.35">
      <c r="A1548" s="13">
        <v>46312</v>
      </c>
      <c r="B1548" t="s">
        <v>3</v>
      </c>
      <c r="C1548" t="s">
        <v>211</v>
      </c>
      <c r="D1548" s="14">
        <v>15.2</v>
      </c>
    </row>
    <row r="1549" spans="1:4" x14ac:dyDescent="0.35">
      <c r="A1549" s="13">
        <v>46312</v>
      </c>
      <c r="B1549" t="s">
        <v>3</v>
      </c>
      <c r="C1549" t="s">
        <v>212</v>
      </c>
      <c r="D1549" s="14">
        <v>21.3</v>
      </c>
    </row>
    <row r="1550" spans="1:4" x14ac:dyDescent="0.35">
      <c r="A1550" s="13">
        <v>46312</v>
      </c>
      <c r="B1550" t="s">
        <v>3</v>
      </c>
      <c r="C1550" t="s">
        <v>213</v>
      </c>
      <c r="D1550" s="14">
        <v>12.4</v>
      </c>
    </row>
    <row r="1551" spans="1:4" x14ac:dyDescent="0.35">
      <c r="A1551" s="13">
        <v>46312</v>
      </c>
      <c r="B1551" t="s">
        <v>3</v>
      </c>
      <c r="C1551" t="s">
        <v>214</v>
      </c>
      <c r="D1551" s="14">
        <v>14.7</v>
      </c>
    </row>
    <row r="1552" spans="1:4" x14ac:dyDescent="0.35">
      <c r="A1552" s="13">
        <v>46312</v>
      </c>
      <c r="B1552" t="s">
        <v>3</v>
      </c>
      <c r="C1552" t="s">
        <v>215</v>
      </c>
      <c r="D1552" s="14">
        <v>10.6</v>
      </c>
    </row>
    <row r="1553" spans="1:4" x14ac:dyDescent="0.35">
      <c r="A1553" s="13">
        <v>46312</v>
      </c>
      <c r="B1553" t="s">
        <v>77</v>
      </c>
      <c r="C1553" t="s">
        <v>216</v>
      </c>
      <c r="D1553" s="14">
        <v>13.4</v>
      </c>
    </row>
    <row r="1554" spans="1:4" x14ac:dyDescent="0.35">
      <c r="A1554" s="13">
        <v>46312</v>
      </c>
      <c r="B1554" t="s">
        <v>77</v>
      </c>
      <c r="C1554" t="s">
        <v>217</v>
      </c>
      <c r="D1554" s="14">
        <v>15.2</v>
      </c>
    </row>
    <row r="1555" spans="1:4" x14ac:dyDescent="0.35">
      <c r="A1555" s="13">
        <v>46312</v>
      </c>
      <c r="B1555" t="s">
        <v>77</v>
      </c>
      <c r="C1555" t="s">
        <v>218</v>
      </c>
      <c r="D1555" s="14">
        <v>15.3</v>
      </c>
    </row>
    <row r="1556" spans="1:4" x14ac:dyDescent="0.35">
      <c r="A1556" s="13">
        <v>46312</v>
      </c>
      <c r="B1556" t="s">
        <v>77</v>
      </c>
      <c r="C1556" t="s">
        <v>219</v>
      </c>
      <c r="D1556" s="14">
        <v>8.8000000000000007</v>
      </c>
    </row>
    <row r="1557" spans="1:4" x14ac:dyDescent="0.35">
      <c r="A1557" s="13">
        <v>46312</v>
      </c>
      <c r="B1557" t="s">
        <v>77</v>
      </c>
      <c r="C1557" t="s">
        <v>220</v>
      </c>
      <c r="D1557" s="14">
        <v>13.2</v>
      </c>
    </row>
    <row r="1558" spans="1:4" x14ac:dyDescent="0.35">
      <c r="A1558" s="13">
        <v>46312</v>
      </c>
      <c r="B1558" t="s">
        <v>77</v>
      </c>
      <c r="C1558" t="s">
        <v>221</v>
      </c>
      <c r="D1558" s="14">
        <v>31.8</v>
      </c>
    </row>
    <row r="1559" spans="1:4" x14ac:dyDescent="0.35">
      <c r="A1559" s="13">
        <v>46312</v>
      </c>
      <c r="B1559" t="s">
        <v>77</v>
      </c>
      <c r="C1559" t="s">
        <v>222</v>
      </c>
      <c r="D1559" s="14">
        <v>14.4</v>
      </c>
    </row>
    <row r="1560" spans="1:4" x14ac:dyDescent="0.35">
      <c r="A1560" s="13">
        <v>46312</v>
      </c>
      <c r="B1560" t="s">
        <v>77</v>
      </c>
      <c r="C1560" t="s">
        <v>223</v>
      </c>
      <c r="D1560" s="14">
        <v>20.9</v>
      </c>
    </row>
    <row r="1561" spans="1:4" x14ac:dyDescent="0.35">
      <c r="A1561" s="13">
        <v>46312</v>
      </c>
      <c r="B1561" t="s">
        <v>77</v>
      </c>
      <c r="C1561" t="s">
        <v>224</v>
      </c>
      <c r="D1561" s="14">
        <v>14.9</v>
      </c>
    </row>
    <row r="1562" spans="1:4" x14ac:dyDescent="0.35">
      <c r="A1562" s="13">
        <v>46312</v>
      </c>
      <c r="B1562" t="s">
        <v>77</v>
      </c>
      <c r="C1562" t="s">
        <v>225</v>
      </c>
      <c r="D1562" s="14">
        <v>12.3</v>
      </c>
    </row>
    <row r="1563" spans="1:4" x14ac:dyDescent="0.35">
      <c r="A1563" s="13">
        <v>46312</v>
      </c>
      <c r="B1563" t="s">
        <v>77</v>
      </c>
      <c r="C1563" t="s">
        <v>226</v>
      </c>
      <c r="D1563" s="14">
        <v>20.7</v>
      </c>
    </row>
    <row r="1564" spans="1:4" x14ac:dyDescent="0.35">
      <c r="A1564" s="13">
        <v>46312</v>
      </c>
      <c r="B1564" t="s">
        <v>77</v>
      </c>
      <c r="C1564" t="s">
        <v>227</v>
      </c>
      <c r="D1564" s="14">
        <v>16</v>
      </c>
    </row>
    <row r="1565" spans="1:4" x14ac:dyDescent="0.35">
      <c r="A1565" s="13">
        <v>46312</v>
      </c>
      <c r="B1565" t="s">
        <v>77</v>
      </c>
      <c r="C1565" t="s">
        <v>228</v>
      </c>
      <c r="D1565" s="14">
        <v>24.8</v>
      </c>
    </row>
    <row r="1566" spans="1:4" x14ac:dyDescent="0.35">
      <c r="A1566" s="13">
        <v>46312</v>
      </c>
      <c r="B1566" t="s">
        <v>77</v>
      </c>
      <c r="C1566" t="s">
        <v>229</v>
      </c>
      <c r="D1566" s="14">
        <v>8.1999999999999993</v>
      </c>
    </row>
    <row r="1567" spans="1:4" x14ac:dyDescent="0.35">
      <c r="A1567" s="13">
        <v>46312</v>
      </c>
      <c r="B1567" t="s">
        <v>77</v>
      </c>
      <c r="C1567" t="s">
        <v>230</v>
      </c>
      <c r="D1567" s="14">
        <v>9.5</v>
      </c>
    </row>
    <row r="1568" spans="1:4" x14ac:dyDescent="0.35">
      <c r="A1568" s="13">
        <v>46312</v>
      </c>
      <c r="B1568" t="s">
        <v>80</v>
      </c>
      <c r="C1568" t="s">
        <v>231</v>
      </c>
      <c r="D1568" s="14">
        <v>15.6</v>
      </c>
    </row>
    <row r="1569" spans="1:4" x14ac:dyDescent="0.35">
      <c r="A1569" s="13">
        <v>46312</v>
      </c>
      <c r="B1569" t="s">
        <v>80</v>
      </c>
      <c r="C1569" t="s">
        <v>232</v>
      </c>
      <c r="D1569" s="14">
        <v>23.7</v>
      </c>
    </row>
    <row r="1570" spans="1:4" x14ac:dyDescent="0.35">
      <c r="A1570" s="13">
        <v>46312</v>
      </c>
      <c r="B1570" t="s">
        <v>80</v>
      </c>
      <c r="C1570" t="s">
        <v>233</v>
      </c>
      <c r="D1570" s="14">
        <v>12.3</v>
      </c>
    </row>
    <row r="1571" spans="1:4" x14ac:dyDescent="0.35">
      <c r="A1571" s="13">
        <v>46312</v>
      </c>
      <c r="B1571" t="s">
        <v>80</v>
      </c>
      <c r="C1571" t="s">
        <v>234</v>
      </c>
      <c r="D1571" s="14">
        <v>8.3000000000000007</v>
      </c>
    </row>
    <row r="1572" spans="1:4" x14ac:dyDescent="0.35">
      <c r="A1572" s="13">
        <v>46312</v>
      </c>
      <c r="B1572" t="s">
        <v>80</v>
      </c>
      <c r="C1572" t="s">
        <v>235</v>
      </c>
      <c r="D1572" s="14">
        <v>18.600000000000001</v>
      </c>
    </row>
    <row r="1573" spans="1:4" x14ac:dyDescent="0.35">
      <c r="A1573" s="13">
        <v>46312</v>
      </c>
      <c r="B1573" t="s">
        <v>80</v>
      </c>
      <c r="C1573" t="s">
        <v>236</v>
      </c>
      <c r="D1573" s="14">
        <v>20.399999999999999</v>
      </c>
    </row>
    <row r="1574" spans="1:4" x14ac:dyDescent="0.35">
      <c r="A1574" s="13">
        <v>46312</v>
      </c>
      <c r="B1574" t="s">
        <v>80</v>
      </c>
      <c r="C1574" t="s">
        <v>237</v>
      </c>
      <c r="D1574" s="14">
        <v>14</v>
      </c>
    </row>
    <row r="1575" spans="1:4" x14ac:dyDescent="0.35">
      <c r="A1575" s="13">
        <v>46312</v>
      </c>
      <c r="B1575" t="s">
        <v>80</v>
      </c>
      <c r="C1575" t="s">
        <v>238</v>
      </c>
      <c r="D1575" s="14">
        <v>18.7</v>
      </c>
    </row>
    <row r="1576" spans="1:4" x14ac:dyDescent="0.35">
      <c r="A1576" s="13">
        <v>46312</v>
      </c>
      <c r="B1576" t="s">
        <v>80</v>
      </c>
      <c r="C1576" t="s">
        <v>239</v>
      </c>
      <c r="D1576" s="14">
        <v>9.4</v>
      </c>
    </row>
    <row r="1577" spans="1:4" x14ac:dyDescent="0.35">
      <c r="A1577" s="13">
        <v>46312</v>
      </c>
      <c r="B1577" t="s">
        <v>80</v>
      </c>
      <c r="C1577" t="s">
        <v>240</v>
      </c>
      <c r="D1577" s="14">
        <v>20.7</v>
      </c>
    </row>
    <row r="1578" spans="1:4" x14ac:dyDescent="0.35">
      <c r="A1578" s="13">
        <v>46312</v>
      </c>
      <c r="B1578" t="s">
        <v>80</v>
      </c>
      <c r="C1578" t="s">
        <v>241</v>
      </c>
      <c r="D1578" s="14">
        <v>13.1</v>
      </c>
    </row>
    <row r="1579" spans="1:4" x14ac:dyDescent="0.35">
      <c r="A1579" s="13">
        <v>46312</v>
      </c>
      <c r="B1579" t="s">
        <v>80</v>
      </c>
      <c r="C1579" t="s">
        <v>242</v>
      </c>
      <c r="D1579" s="14">
        <v>29.8</v>
      </c>
    </row>
    <row r="1580" spans="1:4" x14ac:dyDescent="0.35">
      <c r="A1580" s="13">
        <v>46312</v>
      </c>
      <c r="B1580" t="s">
        <v>80</v>
      </c>
      <c r="C1580" t="s">
        <v>243</v>
      </c>
      <c r="D1580" s="14">
        <v>23.7</v>
      </c>
    </row>
    <row r="1581" spans="1:4" x14ac:dyDescent="0.35">
      <c r="A1581" s="13">
        <v>46312</v>
      </c>
      <c r="B1581" t="s">
        <v>80</v>
      </c>
      <c r="C1581" t="s">
        <v>244</v>
      </c>
      <c r="D1581" s="14">
        <v>16.5</v>
      </c>
    </row>
    <row r="1582" spans="1:4" x14ac:dyDescent="0.35">
      <c r="A1582" s="13">
        <v>46312</v>
      </c>
      <c r="B1582" t="s">
        <v>80</v>
      </c>
      <c r="C1582" t="s">
        <v>245</v>
      </c>
      <c r="D1582" s="14">
        <v>15.7</v>
      </c>
    </row>
    <row r="1583" spans="1:4" x14ac:dyDescent="0.35">
      <c r="A1583" s="13">
        <v>46312</v>
      </c>
      <c r="B1583" t="s">
        <v>80</v>
      </c>
      <c r="C1583" t="s">
        <v>246</v>
      </c>
      <c r="D1583" s="14">
        <v>16.3</v>
      </c>
    </row>
    <row r="1584" spans="1:4" x14ac:dyDescent="0.35">
      <c r="A1584" s="13">
        <v>46312</v>
      </c>
      <c r="B1584" t="s">
        <v>80</v>
      </c>
      <c r="C1584" t="s">
        <v>247</v>
      </c>
      <c r="D1584" s="14">
        <v>28.7</v>
      </c>
    </row>
    <row r="1585" spans="1:4" x14ac:dyDescent="0.35">
      <c r="A1585" s="13">
        <v>46312</v>
      </c>
      <c r="B1585" t="s">
        <v>82</v>
      </c>
      <c r="C1585" t="s">
        <v>248</v>
      </c>
      <c r="D1585" s="14">
        <v>23.3</v>
      </c>
    </row>
    <row r="1586" spans="1:4" x14ac:dyDescent="0.35">
      <c r="A1586" s="13">
        <v>46312</v>
      </c>
      <c r="B1586" t="s">
        <v>82</v>
      </c>
      <c r="C1586" t="s">
        <v>249</v>
      </c>
      <c r="D1586" s="14">
        <v>10.4</v>
      </c>
    </row>
    <row r="1587" spans="1:4" x14ac:dyDescent="0.35">
      <c r="A1587" s="13">
        <v>46312</v>
      </c>
      <c r="B1587" t="s">
        <v>82</v>
      </c>
      <c r="C1587" t="s">
        <v>250</v>
      </c>
      <c r="D1587" s="14">
        <v>16.5</v>
      </c>
    </row>
    <row r="1588" spans="1:4" x14ac:dyDescent="0.35">
      <c r="A1588" s="13">
        <v>46312</v>
      </c>
      <c r="B1588" t="s">
        <v>82</v>
      </c>
      <c r="C1588" t="s">
        <v>251</v>
      </c>
      <c r="D1588" s="14">
        <v>11.5</v>
      </c>
    </row>
    <row r="1589" spans="1:4" x14ac:dyDescent="0.35">
      <c r="A1589" s="13">
        <v>46312</v>
      </c>
      <c r="B1589" t="s">
        <v>82</v>
      </c>
      <c r="C1589" t="s">
        <v>252</v>
      </c>
      <c r="D1589" s="14">
        <v>10.4</v>
      </c>
    </row>
    <row r="1590" spans="1:4" x14ac:dyDescent="0.35">
      <c r="A1590" s="13">
        <v>46312</v>
      </c>
      <c r="B1590" t="s">
        <v>82</v>
      </c>
      <c r="C1590" t="s">
        <v>253</v>
      </c>
      <c r="D1590" s="14">
        <v>17.399999999999999</v>
      </c>
    </row>
    <row r="1591" spans="1:4" x14ac:dyDescent="0.35">
      <c r="A1591" s="13">
        <v>46312</v>
      </c>
      <c r="B1591" t="s">
        <v>82</v>
      </c>
      <c r="C1591" t="s">
        <v>254</v>
      </c>
      <c r="D1591" s="14">
        <v>8.6</v>
      </c>
    </row>
    <row r="1592" spans="1:4" x14ac:dyDescent="0.35">
      <c r="A1592" s="13">
        <v>46312</v>
      </c>
      <c r="B1592" t="s">
        <v>82</v>
      </c>
      <c r="C1592" t="s">
        <v>255</v>
      </c>
      <c r="D1592" s="14">
        <v>10.6</v>
      </c>
    </row>
    <row r="1593" spans="1:4" x14ac:dyDescent="0.35">
      <c r="A1593" s="13">
        <v>46312</v>
      </c>
      <c r="B1593" t="s">
        <v>82</v>
      </c>
      <c r="C1593" t="s">
        <v>256</v>
      </c>
      <c r="D1593" s="14">
        <v>18.8</v>
      </c>
    </row>
    <row r="1594" spans="1:4" x14ac:dyDescent="0.35">
      <c r="A1594" s="13">
        <v>46312</v>
      </c>
      <c r="B1594" t="s">
        <v>82</v>
      </c>
      <c r="C1594" t="s">
        <v>257</v>
      </c>
      <c r="D1594" s="14">
        <v>16.899999999999999</v>
      </c>
    </row>
    <row r="1595" spans="1:4" x14ac:dyDescent="0.35">
      <c r="A1595" s="13">
        <v>46312</v>
      </c>
      <c r="B1595" t="s">
        <v>82</v>
      </c>
      <c r="C1595" t="s">
        <v>258</v>
      </c>
      <c r="D1595" s="14">
        <v>24</v>
      </c>
    </row>
    <row r="1596" spans="1:4" x14ac:dyDescent="0.35">
      <c r="A1596" s="13">
        <v>46312</v>
      </c>
      <c r="B1596" t="s">
        <v>82</v>
      </c>
      <c r="C1596" t="s">
        <v>259</v>
      </c>
      <c r="D1596" s="14">
        <v>11.4</v>
      </c>
    </row>
    <row r="1597" spans="1:4" x14ac:dyDescent="0.35">
      <c r="A1597" s="13">
        <v>46312</v>
      </c>
      <c r="B1597" t="s">
        <v>82</v>
      </c>
      <c r="C1597" t="s">
        <v>260</v>
      </c>
      <c r="D1597" s="14">
        <v>11.5</v>
      </c>
    </row>
    <row r="1598" spans="1:4" x14ac:dyDescent="0.35">
      <c r="A1598" s="13">
        <v>46312</v>
      </c>
      <c r="B1598" t="s">
        <v>82</v>
      </c>
      <c r="C1598" t="s">
        <v>261</v>
      </c>
      <c r="D1598" s="14">
        <v>16.7</v>
      </c>
    </row>
    <row r="1599" spans="1:4" x14ac:dyDescent="0.35">
      <c r="A1599" s="13">
        <v>46312</v>
      </c>
      <c r="B1599" t="s">
        <v>82</v>
      </c>
      <c r="C1599" t="s">
        <v>262</v>
      </c>
      <c r="D1599" s="14">
        <v>22.8</v>
      </c>
    </row>
    <row r="1600" spans="1:4" x14ac:dyDescent="0.35">
      <c r="A1600" s="13">
        <v>46312</v>
      </c>
      <c r="B1600" t="s">
        <v>82</v>
      </c>
      <c r="C1600" t="s">
        <v>263</v>
      </c>
      <c r="D1600" s="14">
        <v>10</v>
      </c>
    </row>
    <row r="1601" spans="1:4" x14ac:dyDescent="0.35">
      <c r="A1601" s="13">
        <v>46312</v>
      </c>
      <c r="B1601" t="s">
        <v>82</v>
      </c>
      <c r="C1601" t="s">
        <v>264</v>
      </c>
      <c r="D1601" s="14">
        <v>25.3</v>
      </c>
    </row>
    <row r="1602" spans="1:4" x14ac:dyDescent="0.35">
      <c r="A1602" s="13">
        <v>46312</v>
      </c>
      <c r="B1602" t="s">
        <v>82</v>
      </c>
      <c r="C1602" t="s">
        <v>265</v>
      </c>
      <c r="D1602" s="14">
        <v>17.3</v>
      </c>
    </row>
    <row r="1603" spans="1:4" x14ac:dyDescent="0.35">
      <c r="A1603" s="13">
        <v>46312</v>
      </c>
      <c r="B1603" t="s">
        <v>85</v>
      </c>
      <c r="C1603" t="s">
        <v>266</v>
      </c>
      <c r="D1603" s="14">
        <v>11.5</v>
      </c>
    </row>
    <row r="1604" spans="1:4" x14ac:dyDescent="0.35">
      <c r="A1604" s="13">
        <v>46312</v>
      </c>
      <c r="B1604" t="s">
        <v>85</v>
      </c>
      <c r="C1604" t="s">
        <v>267</v>
      </c>
      <c r="D1604" s="14">
        <v>7.1</v>
      </c>
    </row>
    <row r="1605" spans="1:4" x14ac:dyDescent="0.35">
      <c r="A1605" s="13">
        <v>46312</v>
      </c>
      <c r="B1605" t="s">
        <v>85</v>
      </c>
      <c r="C1605" t="s">
        <v>268</v>
      </c>
      <c r="D1605" s="14">
        <v>22.6</v>
      </c>
    </row>
    <row r="1606" spans="1:4" x14ac:dyDescent="0.35">
      <c r="A1606" s="13">
        <v>46312</v>
      </c>
      <c r="B1606" t="s">
        <v>85</v>
      </c>
      <c r="C1606" t="s">
        <v>269</v>
      </c>
      <c r="D1606" s="14">
        <v>22.9</v>
      </c>
    </row>
    <row r="1607" spans="1:4" x14ac:dyDescent="0.35">
      <c r="A1607" s="13">
        <v>46312</v>
      </c>
      <c r="B1607" t="s">
        <v>85</v>
      </c>
      <c r="C1607" t="s">
        <v>270</v>
      </c>
      <c r="D1607" s="14">
        <v>18.899999999999999</v>
      </c>
    </row>
    <row r="1608" spans="1:4" x14ac:dyDescent="0.35">
      <c r="A1608" s="13">
        <v>46312</v>
      </c>
      <c r="B1608" t="s">
        <v>85</v>
      </c>
      <c r="C1608" t="s">
        <v>271</v>
      </c>
      <c r="D1608" s="14">
        <v>13.8</v>
      </c>
    </row>
    <row r="1609" spans="1:4" x14ac:dyDescent="0.35">
      <c r="A1609" s="13">
        <v>46312</v>
      </c>
      <c r="B1609" t="s">
        <v>85</v>
      </c>
      <c r="C1609" t="s">
        <v>272</v>
      </c>
      <c r="D1609" s="14">
        <v>19.100000000000001</v>
      </c>
    </row>
    <row r="1610" spans="1:4" x14ac:dyDescent="0.35">
      <c r="A1610" s="13">
        <v>46312</v>
      </c>
      <c r="B1610" t="s">
        <v>85</v>
      </c>
      <c r="C1610" t="s">
        <v>273</v>
      </c>
      <c r="D1610" s="14">
        <v>9.5</v>
      </c>
    </row>
    <row r="1611" spans="1:4" x14ac:dyDescent="0.35">
      <c r="A1611" s="13">
        <v>46312</v>
      </c>
      <c r="B1611" t="s">
        <v>85</v>
      </c>
      <c r="C1611" t="s">
        <v>274</v>
      </c>
      <c r="D1611" s="14">
        <v>8.9</v>
      </c>
    </row>
    <row r="1612" spans="1:4" x14ac:dyDescent="0.35">
      <c r="A1612" s="13">
        <v>46312</v>
      </c>
      <c r="B1612" t="s">
        <v>85</v>
      </c>
      <c r="C1612" t="s">
        <v>275</v>
      </c>
      <c r="D1612" s="14">
        <v>17.5</v>
      </c>
    </row>
    <row r="1613" spans="1:4" x14ac:dyDescent="0.35">
      <c r="A1613" s="13">
        <v>46312</v>
      </c>
      <c r="B1613" t="s">
        <v>85</v>
      </c>
      <c r="C1613" t="s">
        <v>276</v>
      </c>
      <c r="D1613" s="14">
        <v>11.8</v>
      </c>
    </row>
    <row r="1614" spans="1:4" x14ac:dyDescent="0.35">
      <c r="A1614" s="13">
        <v>46312</v>
      </c>
      <c r="B1614" t="s">
        <v>85</v>
      </c>
      <c r="C1614" t="s">
        <v>277</v>
      </c>
      <c r="D1614" s="14">
        <v>14.5</v>
      </c>
    </row>
    <row r="1615" spans="1:4" x14ac:dyDescent="0.35">
      <c r="A1615" s="13">
        <v>46312</v>
      </c>
      <c r="B1615" t="s">
        <v>85</v>
      </c>
      <c r="C1615" t="s">
        <v>278</v>
      </c>
      <c r="D1615" s="14">
        <v>17.100000000000001</v>
      </c>
    </row>
    <row r="1616" spans="1:4" x14ac:dyDescent="0.35">
      <c r="A1616" s="13">
        <v>46312</v>
      </c>
      <c r="B1616" t="s">
        <v>85</v>
      </c>
      <c r="C1616" t="s">
        <v>279</v>
      </c>
      <c r="D1616" s="14">
        <v>11.6</v>
      </c>
    </row>
    <row r="1617" spans="1:4" x14ac:dyDescent="0.35">
      <c r="A1617" s="13">
        <v>46312</v>
      </c>
      <c r="B1617" t="s">
        <v>85</v>
      </c>
      <c r="C1617" t="s">
        <v>280</v>
      </c>
      <c r="D1617" s="14">
        <v>15.3</v>
      </c>
    </row>
    <row r="1618" spans="1:4" x14ac:dyDescent="0.35">
      <c r="A1618" s="13">
        <v>46312</v>
      </c>
      <c r="B1618" t="s">
        <v>85</v>
      </c>
      <c r="C1618" t="s">
        <v>281</v>
      </c>
      <c r="D1618" s="14">
        <v>12.5</v>
      </c>
    </row>
    <row r="1619" spans="1:4" x14ac:dyDescent="0.35">
      <c r="A1619" s="13">
        <v>46312</v>
      </c>
      <c r="B1619" t="s">
        <v>87</v>
      </c>
      <c r="C1619" t="s">
        <v>282</v>
      </c>
      <c r="D1619" s="14">
        <v>8</v>
      </c>
    </row>
    <row r="1620" spans="1:4" x14ac:dyDescent="0.35">
      <c r="A1620" s="13">
        <v>46312</v>
      </c>
      <c r="B1620" t="s">
        <v>87</v>
      </c>
      <c r="C1620" t="s">
        <v>283</v>
      </c>
      <c r="D1620" s="14">
        <v>15.2</v>
      </c>
    </row>
    <row r="1621" spans="1:4" x14ac:dyDescent="0.35">
      <c r="A1621" s="13">
        <v>46312</v>
      </c>
      <c r="B1621" t="s">
        <v>87</v>
      </c>
      <c r="C1621" t="s">
        <v>284</v>
      </c>
      <c r="D1621" s="14">
        <v>13</v>
      </c>
    </row>
    <row r="1622" spans="1:4" x14ac:dyDescent="0.35">
      <c r="A1622" s="13">
        <v>46312</v>
      </c>
      <c r="B1622" t="s">
        <v>87</v>
      </c>
      <c r="C1622" t="s">
        <v>285</v>
      </c>
      <c r="D1622" s="14">
        <v>18.8</v>
      </c>
    </row>
    <row r="1623" spans="1:4" x14ac:dyDescent="0.35">
      <c r="A1623" s="13">
        <v>46312</v>
      </c>
      <c r="B1623" t="s">
        <v>87</v>
      </c>
      <c r="C1623" t="s">
        <v>286</v>
      </c>
      <c r="D1623" s="14">
        <v>13.5</v>
      </c>
    </row>
    <row r="1624" spans="1:4" x14ac:dyDescent="0.35">
      <c r="A1624" s="13">
        <v>46312</v>
      </c>
      <c r="B1624" t="s">
        <v>87</v>
      </c>
      <c r="C1624" t="s">
        <v>287</v>
      </c>
      <c r="D1624" s="14">
        <v>17.399999999999999</v>
      </c>
    </row>
    <row r="1625" spans="1:4" x14ac:dyDescent="0.35">
      <c r="A1625" s="13">
        <v>46312</v>
      </c>
      <c r="B1625" t="s">
        <v>87</v>
      </c>
      <c r="C1625" t="s">
        <v>288</v>
      </c>
      <c r="D1625" s="14">
        <v>11</v>
      </c>
    </row>
    <row r="1626" spans="1:4" x14ac:dyDescent="0.35">
      <c r="A1626" s="13">
        <v>46312</v>
      </c>
      <c r="B1626" t="s">
        <v>87</v>
      </c>
      <c r="C1626" t="s">
        <v>289</v>
      </c>
      <c r="D1626" s="14">
        <v>12</v>
      </c>
    </row>
    <row r="1627" spans="1:4" x14ac:dyDescent="0.35">
      <c r="A1627" s="13">
        <v>46312</v>
      </c>
      <c r="B1627" t="s">
        <v>87</v>
      </c>
      <c r="C1627" t="s">
        <v>290</v>
      </c>
      <c r="D1627" s="14">
        <v>18</v>
      </c>
    </row>
    <row r="1628" spans="1:4" x14ac:dyDescent="0.35">
      <c r="A1628" s="13">
        <v>46312</v>
      </c>
      <c r="B1628" t="s">
        <v>87</v>
      </c>
      <c r="C1628" t="s">
        <v>291</v>
      </c>
      <c r="D1628" s="14">
        <v>13.9</v>
      </c>
    </row>
    <row r="1629" spans="1:4" x14ac:dyDescent="0.35">
      <c r="A1629" s="13">
        <v>46312</v>
      </c>
      <c r="B1629" t="s">
        <v>87</v>
      </c>
      <c r="C1629" t="s">
        <v>292</v>
      </c>
      <c r="D1629" s="14">
        <v>11.7</v>
      </c>
    </row>
    <row r="1630" spans="1:4" x14ac:dyDescent="0.35">
      <c r="A1630" s="13">
        <v>46312</v>
      </c>
      <c r="B1630" t="s">
        <v>87</v>
      </c>
      <c r="C1630" t="s">
        <v>293</v>
      </c>
      <c r="D1630" s="14">
        <v>10.8</v>
      </c>
    </row>
    <row r="1631" spans="1:4" x14ac:dyDescent="0.35">
      <c r="A1631" s="13">
        <v>46312</v>
      </c>
      <c r="B1631" t="s">
        <v>87</v>
      </c>
      <c r="C1631" t="s">
        <v>294</v>
      </c>
      <c r="D1631" s="14">
        <v>10.7</v>
      </c>
    </row>
    <row r="1632" spans="1:4" x14ac:dyDescent="0.35">
      <c r="A1632" s="13">
        <v>46312</v>
      </c>
      <c r="B1632" t="s">
        <v>87</v>
      </c>
      <c r="C1632" t="s">
        <v>295</v>
      </c>
      <c r="D1632" s="14">
        <v>13.3</v>
      </c>
    </row>
    <row r="1633" spans="1:4" x14ac:dyDescent="0.35">
      <c r="A1633" s="13">
        <v>46312</v>
      </c>
      <c r="B1633" t="s">
        <v>87</v>
      </c>
      <c r="C1633" t="s">
        <v>296</v>
      </c>
      <c r="D1633" s="14">
        <v>20</v>
      </c>
    </row>
    <row r="1634" spans="1:4" x14ac:dyDescent="0.35">
      <c r="A1634" s="13">
        <v>46312</v>
      </c>
      <c r="B1634" t="s">
        <v>87</v>
      </c>
      <c r="C1634" t="s">
        <v>297</v>
      </c>
      <c r="D1634" s="14">
        <v>14.5</v>
      </c>
    </row>
    <row r="1635" spans="1:4" x14ac:dyDescent="0.35">
      <c r="A1635" s="13">
        <v>46312</v>
      </c>
      <c r="B1635" t="s">
        <v>77</v>
      </c>
      <c r="C1635" t="s">
        <v>298</v>
      </c>
      <c r="D1635" s="14">
        <v>12.5</v>
      </c>
    </row>
    <row r="1636" spans="1:4" x14ac:dyDescent="0.35">
      <c r="A1636" s="13">
        <v>46312</v>
      </c>
      <c r="B1636" t="s">
        <v>85</v>
      </c>
      <c r="C1636" t="s">
        <v>299</v>
      </c>
      <c r="D1636" s="14">
        <v>8.4</v>
      </c>
    </row>
    <row r="1637" spans="1:4" x14ac:dyDescent="0.35">
      <c r="A1637" s="13">
        <v>46319</v>
      </c>
      <c r="B1637" t="s">
        <v>70</v>
      </c>
      <c r="C1637" t="s">
        <v>155</v>
      </c>
      <c r="D1637" s="14">
        <v>27.4</v>
      </c>
    </row>
    <row r="1638" spans="1:4" x14ac:dyDescent="0.35">
      <c r="A1638" s="13">
        <v>46319</v>
      </c>
      <c r="B1638" t="s">
        <v>70</v>
      </c>
      <c r="C1638" t="s">
        <v>158</v>
      </c>
      <c r="D1638" s="14">
        <v>23.7</v>
      </c>
    </row>
    <row r="1639" spans="1:4" x14ac:dyDescent="0.35">
      <c r="A1639" s="13">
        <v>46319</v>
      </c>
      <c r="B1639" t="s">
        <v>70</v>
      </c>
      <c r="C1639" t="s">
        <v>159</v>
      </c>
      <c r="D1639" s="14">
        <v>18.100000000000001</v>
      </c>
    </row>
    <row r="1640" spans="1:4" x14ac:dyDescent="0.35">
      <c r="A1640" s="13">
        <v>46319</v>
      </c>
      <c r="B1640" t="s">
        <v>70</v>
      </c>
      <c r="C1640" t="s">
        <v>162</v>
      </c>
      <c r="D1640" s="14">
        <v>25.9</v>
      </c>
    </row>
    <row r="1641" spans="1:4" x14ac:dyDescent="0.35">
      <c r="A1641" s="13">
        <v>46319</v>
      </c>
      <c r="B1641" t="s">
        <v>70</v>
      </c>
      <c r="C1641" t="s">
        <v>164</v>
      </c>
      <c r="D1641" s="14">
        <v>11.3</v>
      </c>
    </row>
    <row r="1642" spans="1:4" x14ac:dyDescent="0.35">
      <c r="A1642" s="13">
        <v>46319</v>
      </c>
      <c r="B1642" t="s">
        <v>70</v>
      </c>
      <c r="C1642" t="s">
        <v>167</v>
      </c>
      <c r="D1642" s="14">
        <v>14.5</v>
      </c>
    </row>
    <row r="1643" spans="1:4" x14ac:dyDescent="0.35">
      <c r="A1643" s="13">
        <v>46319</v>
      </c>
      <c r="B1643" t="s">
        <v>70</v>
      </c>
      <c r="C1643" t="s">
        <v>169</v>
      </c>
      <c r="D1643" s="14">
        <v>10.9</v>
      </c>
    </row>
    <row r="1644" spans="1:4" x14ac:dyDescent="0.35">
      <c r="A1644" s="13">
        <v>46319</v>
      </c>
      <c r="B1644" t="s">
        <v>70</v>
      </c>
      <c r="C1644" t="s">
        <v>170</v>
      </c>
      <c r="D1644" s="14">
        <v>21.4</v>
      </c>
    </row>
    <row r="1645" spans="1:4" x14ac:dyDescent="0.35">
      <c r="A1645" s="13">
        <v>46319</v>
      </c>
      <c r="B1645" t="s">
        <v>70</v>
      </c>
      <c r="C1645" t="s">
        <v>171</v>
      </c>
      <c r="D1645" s="14">
        <v>17</v>
      </c>
    </row>
    <row r="1646" spans="1:4" x14ac:dyDescent="0.35">
      <c r="A1646" s="13">
        <v>46319</v>
      </c>
      <c r="B1646" t="s">
        <v>70</v>
      </c>
      <c r="C1646" t="s">
        <v>172</v>
      </c>
      <c r="D1646" s="14">
        <v>11</v>
      </c>
    </row>
    <row r="1647" spans="1:4" x14ac:dyDescent="0.35">
      <c r="A1647" s="13">
        <v>46319</v>
      </c>
      <c r="B1647" t="s">
        <v>70</v>
      </c>
      <c r="C1647" t="s">
        <v>173</v>
      </c>
      <c r="D1647" s="14">
        <v>20</v>
      </c>
    </row>
    <row r="1648" spans="1:4" x14ac:dyDescent="0.35">
      <c r="A1648" s="13">
        <v>46319</v>
      </c>
      <c r="B1648" t="s">
        <v>70</v>
      </c>
      <c r="C1648" t="s">
        <v>174</v>
      </c>
      <c r="D1648" s="14">
        <v>24.4</v>
      </c>
    </row>
    <row r="1649" spans="1:4" x14ac:dyDescent="0.35">
      <c r="A1649" s="13">
        <v>46319</v>
      </c>
      <c r="B1649" t="s">
        <v>70</v>
      </c>
      <c r="C1649" t="s">
        <v>175</v>
      </c>
      <c r="D1649" s="14">
        <v>16.8</v>
      </c>
    </row>
    <row r="1650" spans="1:4" x14ac:dyDescent="0.35">
      <c r="A1650" s="13">
        <v>46319</v>
      </c>
      <c r="B1650" t="s">
        <v>70</v>
      </c>
      <c r="C1650" t="s">
        <v>176</v>
      </c>
      <c r="D1650" s="14">
        <v>13.1</v>
      </c>
    </row>
    <row r="1651" spans="1:4" x14ac:dyDescent="0.35">
      <c r="A1651" s="13">
        <v>46319</v>
      </c>
      <c r="B1651" t="s">
        <v>73</v>
      </c>
      <c r="C1651" t="s">
        <v>177</v>
      </c>
      <c r="D1651" s="14">
        <v>13.6</v>
      </c>
    </row>
    <row r="1652" spans="1:4" x14ac:dyDescent="0.35">
      <c r="A1652" s="13">
        <v>46319</v>
      </c>
      <c r="B1652" t="s">
        <v>73</v>
      </c>
      <c r="C1652" t="s">
        <v>178</v>
      </c>
      <c r="D1652" s="14">
        <v>11.8</v>
      </c>
    </row>
    <row r="1653" spans="1:4" x14ac:dyDescent="0.35">
      <c r="A1653" s="13">
        <v>46319</v>
      </c>
      <c r="B1653" t="s">
        <v>73</v>
      </c>
      <c r="C1653" t="s">
        <v>179</v>
      </c>
      <c r="D1653" s="14">
        <v>17.5</v>
      </c>
    </row>
    <row r="1654" spans="1:4" x14ac:dyDescent="0.35">
      <c r="A1654" s="13">
        <v>46319</v>
      </c>
      <c r="B1654" t="s">
        <v>73</v>
      </c>
      <c r="C1654" t="s">
        <v>180</v>
      </c>
      <c r="D1654" s="14">
        <v>9.9</v>
      </c>
    </row>
    <row r="1655" spans="1:4" x14ac:dyDescent="0.35">
      <c r="A1655" s="13">
        <v>46319</v>
      </c>
      <c r="B1655" t="s">
        <v>73</v>
      </c>
      <c r="C1655" t="s">
        <v>181</v>
      </c>
      <c r="D1655" s="14">
        <v>11.2</v>
      </c>
    </row>
    <row r="1656" spans="1:4" x14ac:dyDescent="0.35">
      <c r="A1656" s="13">
        <v>46319</v>
      </c>
      <c r="B1656" t="s">
        <v>73</v>
      </c>
      <c r="C1656" t="s">
        <v>182</v>
      </c>
      <c r="D1656" s="14">
        <v>14.7</v>
      </c>
    </row>
    <row r="1657" spans="1:4" x14ac:dyDescent="0.35">
      <c r="A1657" s="13">
        <v>46319</v>
      </c>
      <c r="B1657" t="s">
        <v>73</v>
      </c>
      <c r="C1657" t="s">
        <v>183</v>
      </c>
      <c r="D1657" s="14">
        <v>21.9</v>
      </c>
    </row>
    <row r="1658" spans="1:4" x14ac:dyDescent="0.35">
      <c r="A1658" s="13">
        <v>46319</v>
      </c>
      <c r="B1658" t="s">
        <v>73</v>
      </c>
      <c r="C1658" t="s">
        <v>184</v>
      </c>
      <c r="D1658" s="14">
        <v>17.399999999999999</v>
      </c>
    </row>
    <row r="1659" spans="1:4" x14ac:dyDescent="0.35">
      <c r="A1659" s="13">
        <v>46319</v>
      </c>
      <c r="B1659" t="s">
        <v>73</v>
      </c>
      <c r="C1659" t="s">
        <v>185</v>
      </c>
      <c r="D1659" s="14">
        <v>11</v>
      </c>
    </row>
    <row r="1660" spans="1:4" x14ac:dyDescent="0.35">
      <c r="A1660" s="13">
        <v>46319</v>
      </c>
      <c r="B1660" t="s">
        <v>73</v>
      </c>
      <c r="C1660" t="s">
        <v>186</v>
      </c>
      <c r="D1660" s="14">
        <v>15.9</v>
      </c>
    </row>
    <row r="1661" spans="1:4" x14ac:dyDescent="0.35">
      <c r="A1661" s="13">
        <v>46319</v>
      </c>
      <c r="B1661" t="s">
        <v>73</v>
      </c>
      <c r="C1661" t="s">
        <v>187</v>
      </c>
      <c r="D1661" s="14">
        <v>8.6</v>
      </c>
    </row>
    <row r="1662" spans="1:4" x14ac:dyDescent="0.35">
      <c r="A1662" s="13">
        <v>46319</v>
      </c>
      <c r="B1662" t="s">
        <v>73</v>
      </c>
      <c r="C1662" t="s">
        <v>189</v>
      </c>
      <c r="D1662" s="14">
        <v>11.8</v>
      </c>
    </row>
    <row r="1663" spans="1:4" x14ac:dyDescent="0.35">
      <c r="A1663" s="13">
        <v>46319</v>
      </c>
      <c r="B1663" t="s">
        <v>73</v>
      </c>
      <c r="C1663" t="s">
        <v>190</v>
      </c>
      <c r="D1663" s="14">
        <v>13.7</v>
      </c>
    </row>
    <row r="1664" spans="1:4" x14ac:dyDescent="0.35">
      <c r="A1664" s="13">
        <v>46319</v>
      </c>
      <c r="B1664" t="s">
        <v>73</v>
      </c>
      <c r="C1664" t="s">
        <v>191</v>
      </c>
      <c r="D1664" s="14">
        <v>13</v>
      </c>
    </row>
    <row r="1665" spans="1:4" x14ac:dyDescent="0.35">
      <c r="A1665" s="13">
        <v>46319</v>
      </c>
      <c r="B1665" t="s">
        <v>73</v>
      </c>
      <c r="C1665" t="s">
        <v>192</v>
      </c>
      <c r="D1665" s="14">
        <v>8.1999999999999993</v>
      </c>
    </row>
    <row r="1666" spans="1:4" x14ac:dyDescent="0.35">
      <c r="A1666" s="13">
        <v>46319</v>
      </c>
      <c r="B1666" t="s">
        <v>73</v>
      </c>
      <c r="C1666" t="s">
        <v>193</v>
      </c>
      <c r="D1666" s="14">
        <v>16.399999999999999</v>
      </c>
    </row>
    <row r="1667" spans="1:4" x14ac:dyDescent="0.35">
      <c r="A1667" s="13">
        <v>46319</v>
      </c>
      <c r="B1667" t="s">
        <v>73</v>
      </c>
      <c r="C1667" t="s">
        <v>194</v>
      </c>
      <c r="D1667" s="14">
        <v>10.5</v>
      </c>
    </row>
    <row r="1668" spans="1:4" x14ac:dyDescent="0.35">
      <c r="A1668" s="13">
        <v>46319</v>
      </c>
      <c r="B1668" t="s">
        <v>73</v>
      </c>
      <c r="C1668" t="s">
        <v>195</v>
      </c>
      <c r="D1668" s="14">
        <v>16.5</v>
      </c>
    </row>
    <row r="1669" spans="1:4" x14ac:dyDescent="0.35">
      <c r="A1669" s="13">
        <v>46319</v>
      </c>
      <c r="B1669" t="s">
        <v>73</v>
      </c>
      <c r="C1669" t="s">
        <v>196</v>
      </c>
      <c r="D1669" s="14">
        <v>9</v>
      </c>
    </row>
    <row r="1670" spans="1:4" x14ac:dyDescent="0.35">
      <c r="A1670" s="13">
        <v>46319</v>
      </c>
      <c r="B1670" t="s">
        <v>3</v>
      </c>
      <c r="C1670" t="s">
        <v>197</v>
      </c>
      <c r="D1670" s="14">
        <v>15.1</v>
      </c>
    </row>
    <row r="1671" spans="1:4" x14ac:dyDescent="0.35">
      <c r="A1671" s="13">
        <v>46319</v>
      </c>
      <c r="B1671" t="s">
        <v>3</v>
      </c>
      <c r="C1671" t="s">
        <v>198</v>
      </c>
      <c r="D1671" s="14">
        <v>13.4</v>
      </c>
    </row>
    <row r="1672" spans="1:4" x14ac:dyDescent="0.35">
      <c r="A1672" s="13">
        <v>46319</v>
      </c>
      <c r="B1672" t="s">
        <v>3</v>
      </c>
      <c r="C1672" t="s">
        <v>199</v>
      </c>
      <c r="D1672" s="14">
        <v>20.7</v>
      </c>
    </row>
    <row r="1673" spans="1:4" x14ac:dyDescent="0.35">
      <c r="A1673" s="13">
        <v>46319</v>
      </c>
      <c r="B1673" t="s">
        <v>3</v>
      </c>
      <c r="C1673" t="s">
        <v>200</v>
      </c>
      <c r="D1673" s="14">
        <v>14.9</v>
      </c>
    </row>
    <row r="1674" spans="1:4" x14ac:dyDescent="0.35">
      <c r="A1674" s="13">
        <v>46319</v>
      </c>
      <c r="B1674" t="s">
        <v>3</v>
      </c>
      <c r="C1674" t="s">
        <v>201</v>
      </c>
      <c r="D1674" s="14">
        <v>23.6</v>
      </c>
    </row>
    <row r="1675" spans="1:4" x14ac:dyDescent="0.35">
      <c r="A1675" s="13">
        <v>46319</v>
      </c>
      <c r="B1675" t="s">
        <v>3</v>
      </c>
      <c r="C1675" t="s">
        <v>202</v>
      </c>
      <c r="D1675" s="14">
        <v>9.6</v>
      </c>
    </row>
    <row r="1676" spans="1:4" x14ac:dyDescent="0.35">
      <c r="A1676" s="13">
        <v>46319</v>
      </c>
      <c r="B1676" t="s">
        <v>3</v>
      </c>
      <c r="C1676" t="s">
        <v>203</v>
      </c>
      <c r="D1676" s="14">
        <v>16.3</v>
      </c>
    </row>
    <row r="1677" spans="1:4" x14ac:dyDescent="0.35">
      <c r="A1677" s="13">
        <v>46319</v>
      </c>
      <c r="B1677" t="s">
        <v>3</v>
      </c>
      <c r="C1677" t="s">
        <v>204</v>
      </c>
      <c r="D1677" s="14">
        <v>9.1999999999999993</v>
      </c>
    </row>
    <row r="1678" spans="1:4" x14ac:dyDescent="0.35">
      <c r="A1678" s="13">
        <v>46319</v>
      </c>
      <c r="B1678" t="s">
        <v>3</v>
      </c>
      <c r="C1678" t="s">
        <v>205</v>
      </c>
      <c r="D1678" s="14">
        <v>26.4</v>
      </c>
    </row>
    <row r="1679" spans="1:4" x14ac:dyDescent="0.35">
      <c r="A1679" s="13">
        <v>46319</v>
      </c>
      <c r="B1679" t="s">
        <v>3</v>
      </c>
      <c r="C1679" t="s">
        <v>206</v>
      </c>
      <c r="D1679" s="14">
        <v>24.9</v>
      </c>
    </row>
    <row r="1680" spans="1:4" x14ac:dyDescent="0.35">
      <c r="A1680" s="13">
        <v>46319</v>
      </c>
      <c r="B1680" t="s">
        <v>3</v>
      </c>
      <c r="C1680" t="s">
        <v>207</v>
      </c>
      <c r="D1680" s="14">
        <v>25.3</v>
      </c>
    </row>
    <row r="1681" spans="1:4" x14ac:dyDescent="0.35">
      <c r="A1681" s="13">
        <v>46319</v>
      </c>
      <c r="B1681" t="s">
        <v>3</v>
      </c>
      <c r="C1681" t="s">
        <v>208</v>
      </c>
      <c r="D1681" s="14">
        <v>24.4</v>
      </c>
    </row>
    <row r="1682" spans="1:4" x14ac:dyDescent="0.35">
      <c r="A1682" s="13">
        <v>46319</v>
      </c>
      <c r="B1682" t="s">
        <v>3</v>
      </c>
      <c r="C1682" t="s">
        <v>209</v>
      </c>
      <c r="D1682" s="14">
        <v>23.1</v>
      </c>
    </row>
    <row r="1683" spans="1:4" x14ac:dyDescent="0.35">
      <c r="A1683" s="13">
        <v>46319</v>
      </c>
      <c r="B1683" t="s">
        <v>3</v>
      </c>
      <c r="C1683" t="s">
        <v>210</v>
      </c>
      <c r="D1683" s="14">
        <v>14.7</v>
      </c>
    </row>
    <row r="1684" spans="1:4" x14ac:dyDescent="0.35">
      <c r="A1684" s="13">
        <v>46319</v>
      </c>
      <c r="B1684" t="s">
        <v>3</v>
      </c>
      <c r="C1684" t="s">
        <v>211</v>
      </c>
      <c r="D1684" s="14">
        <v>16.2</v>
      </c>
    </row>
    <row r="1685" spans="1:4" x14ac:dyDescent="0.35">
      <c r="A1685" s="13">
        <v>46319</v>
      </c>
      <c r="B1685" t="s">
        <v>3</v>
      </c>
      <c r="C1685" t="s">
        <v>212</v>
      </c>
      <c r="D1685" s="14">
        <v>22.8</v>
      </c>
    </row>
    <row r="1686" spans="1:4" x14ac:dyDescent="0.35">
      <c r="A1686" s="13">
        <v>46319</v>
      </c>
      <c r="B1686" t="s">
        <v>3</v>
      </c>
      <c r="C1686" t="s">
        <v>213</v>
      </c>
      <c r="D1686" s="14">
        <v>13.2</v>
      </c>
    </row>
    <row r="1687" spans="1:4" x14ac:dyDescent="0.35">
      <c r="A1687" s="13">
        <v>46319</v>
      </c>
      <c r="B1687" t="s">
        <v>3</v>
      </c>
      <c r="C1687" t="s">
        <v>214</v>
      </c>
      <c r="D1687" s="14">
        <v>15.7</v>
      </c>
    </row>
    <row r="1688" spans="1:4" x14ac:dyDescent="0.35">
      <c r="A1688" s="13">
        <v>46319</v>
      </c>
      <c r="B1688" t="s">
        <v>3</v>
      </c>
      <c r="C1688" t="s">
        <v>215</v>
      </c>
      <c r="D1688" s="14">
        <v>11.3</v>
      </c>
    </row>
    <row r="1689" spans="1:4" x14ac:dyDescent="0.35">
      <c r="A1689" s="13">
        <v>46319</v>
      </c>
      <c r="B1689" t="s">
        <v>77</v>
      </c>
      <c r="C1689" t="s">
        <v>216</v>
      </c>
      <c r="D1689" s="14">
        <v>13.6</v>
      </c>
    </row>
    <row r="1690" spans="1:4" x14ac:dyDescent="0.35">
      <c r="A1690" s="13">
        <v>46319</v>
      </c>
      <c r="B1690" t="s">
        <v>77</v>
      </c>
      <c r="C1690" t="s">
        <v>217</v>
      </c>
      <c r="D1690" s="14">
        <v>15.4</v>
      </c>
    </row>
    <row r="1691" spans="1:4" x14ac:dyDescent="0.35">
      <c r="A1691" s="13">
        <v>46319</v>
      </c>
      <c r="B1691" t="s">
        <v>77</v>
      </c>
      <c r="C1691" t="s">
        <v>218</v>
      </c>
      <c r="D1691" s="14">
        <v>15.5</v>
      </c>
    </row>
    <row r="1692" spans="1:4" x14ac:dyDescent="0.35">
      <c r="A1692" s="13">
        <v>46319</v>
      </c>
      <c r="B1692" t="s">
        <v>77</v>
      </c>
      <c r="C1692" t="s">
        <v>219</v>
      </c>
      <c r="D1692" s="14">
        <v>8.9</v>
      </c>
    </row>
    <row r="1693" spans="1:4" x14ac:dyDescent="0.35">
      <c r="A1693" s="13">
        <v>46319</v>
      </c>
      <c r="B1693" t="s">
        <v>77</v>
      </c>
      <c r="C1693" t="s">
        <v>220</v>
      </c>
      <c r="D1693" s="14">
        <v>13.4</v>
      </c>
    </row>
    <row r="1694" spans="1:4" x14ac:dyDescent="0.35">
      <c r="A1694" s="13">
        <v>46319</v>
      </c>
      <c r="B1694" t="s">
        <v>77</v>
      </c>
      <c r="C1694" t="s">
        <v>221</v>
      </c>
      <c r="D1694" s="14">
        <v>32.200000000000003</v>
      </c>
    </row>
    <row r="1695" spans="1:4" x14ac:dyDescent="0.35">
      <c r="A1695" s="13">
        <v>46319</v>
      </c>
      <c r="B1695" t="s">
        <v>77</v>
      </c>
      <c r="C1695" t="s">
        <v>222</v>
      </c>
      <c r="D1695" s="14">
        <v>14.6</v>
      </c>
    </row>
    <row r="1696" spans="1:4" x14ac:dyDescent="0.35">
      <c r="A1696" s="13">
        <v>46319</v>
      </c>
      <c r="B1696" t="s">
        <v>77</v>
      </c>
      <c r="C1696" t="s">
        <v>223</v>
      </c>
      <c r="D1696" s="14">
        <v>21.2</v>
      </c>
    </row>
    <row r="1697" spans="1:4" x14ac:dyDescent="0.35">
      <c r="A1697" s="13">
        <v>46319</v>
      </c>
      <c r="B1697" t="s">
        <v>77</v>
      </c>
      <c r="C1697" t="s">
        <v>224</v>
      </c>
      <c r="D1697" s="14">
        <v>15.1</v>
      </c>
    </row>
    <row r="1698" spans="1:4" x14ac:dyDescent="0.35">
      <c r="A1698" s="13">
        <v>46319</v>
      </c>
      <c r="B1698" t="s">
        <v>77</v>
      </c>
      <c r="C1698" t="s">
        <v>225</v>
      </c>
      <c r="D1698" s="14">
        <v>12.5</v>
      </c>
    </row>
    <row r="1699" spans="1:4" x14ac:dyDescent="0.35">
      <c r="A1699" s="13">
        <v>46319</v>
      </c>
      <c r="B1699" t="s">
        <v>77</v>
      </c>
      <c r="C1699" t="s">
        <v>226</v>
      </c>
      <c r="D1699" s="14">
        <v>21</v>
      </c>
    </row>
    <row r="1700" spans="1:4" x14ac:dyDescent="0.35">
      <c r="A1700" s="13">
        <v>46319</v>
      </c>
      <c r="B1700" t="s">
        <v>77</v>
      </c>
      <c r="C1700" t="s">
        <v>227</v>
      </c>
      <c r="D1700" s="14">
        <v>16.2</v>
      </c>
    </row>
    <row r="1701" spans="1:4" x14ac:dyDescent="0.35">
      <c r="A1701" s="13">
        <v>46319</v>
      </c>
      <c r="B1701" t="s">
        <v>77</v>
      </c>
      <c r="C1701" t="s">
        <v>228</v>
      </c>
      <c r="D1701" s="14">
        <v>25.1</v>
      </c>
    </row>
    <row r="1702" spans="1:4" x14ac:dyDescent="0.35">
      <c r="A1702" s="13">
        <v>46319</v>
      </c>
      <c r="B1702" t="s">
        <v>77</v>
      </c>
      <c r="C1702" t="s">
        <v>229</v>
      </c>
      <c r="D1702" s="14">
        <v>8.3000000000000007</v>
      </c>
    </row>
    <row r="1703" spans="1:4" x14ac:dyDescent="0.35">
      <c r="A1703" s="13">
        <v>46319</v>
      </c>
      <c r="B1703" t="s">
        <v>77</v>
      </c>
      <c r="C1703" t="s">
        <v>230</v>
      </c>
      <c r="D1703" s="14">
        <v>9.6</v>
      </c>
    </row>
    <row r="1704" spans="1:4" x14ac:dyDescent="0.35">
      <c r="A1704" s="13">
        <v>46319</v>
      </c>
      <c r="B1704" t="s">
        <v>80</v>
      </c>
      <c r="C1704" t="s">
        <v>231</v>
      </c>
      <c r="D1704" s="14">
        <v>16.7</v>
      </c>
    </row>
    <row r="1705" spans="1:4" x14ac:dyDescent="0.35">
      <c r="A1705" s="13">
        <v>46319</v>
      </c>
      <c r="B1705" t="s">
        <v>80</v>
      </c>
      <c r="C1705" t="s">
        <v>232</v>
      </c>
      <c r="D1705" s="14">
        <v>25.3</v>
      </c>
    </row>
    <row r="1706" spans="1:4" x14ac:dyDescent="0.35">
      <c r="A1706" s="13">
        <v>46319</v>
      </c>
      <c r="B1706" t="s">
        <v>80</v>
      </c>
      <c r="C1706" t="s">
        <v>233</v>
      </c>
      <c r="D1706" s="14">
        <v>13.1</v>
      </c>
    </row>
    <row r="1707" spans="1:4" x14ac:dyDescent="0.35">
      <c r="A1707" s="13">
        <v>46319</v>
      </c>
      <c r="B1707" t="s">
        <v>80</v>
      </c>
      <c r="C1707" t="s">
        <v>234</v>
      </c>
      <c r="D1707" s="14">
        <v>8.8000000000000007</v>
      </c>
    </row>
    <row r="1708" spans="1:4" x14ac:dyDescent="0.35">
      <c r="A1708" s="13">
        <v>46319</v>
      </c>
      <c r="B1708" t="s">
        <v>80</v>
      </c>
      <c r="C1708" t="s">
        <v>235</v>
      </c>
      <c r="D1708" s="14">
        <v>19.8</v>
      </c>
    </row>
    <row r="1709" spans="1:4" x14ac:dyDescent="0.35">
      <c r="A1709" s="13">
        <v>46319</v>
      </c>
      <c r="B1709" t="s">
        <v>80</v>
      </c>
      <c r="C1709" t="s">
        <v>236</v>
      </c>
      <c r="D1709" s="14">
        <v>21.8</v>
      </c>
    </row>
    <row r="1710" spans="1:4" x14ac:dyDescent="0.35">
      <c r="A1710" s="13">
        <v>46319</v>
      </c>
      <c r="B1710" t="s">
        <v>80</v>
      </c>
      <c r="C1710" t="s">
        <v>237</v>
      </c>
      <c r="D1710" s="14">
        <v>15</v>
      </c>
    </row>
    <row r="1711" spans="1:4" x14ac:dyDescent="0.35">
      <c r="A1711" s="13">
        <v>46319</v>
      </c>
      <c r="B1711" t="s">
        <v>80</v>
      </c>
      <c r="C1711" t="s">
        <v>238</v>
      </c>
      <c r="D1711" s="14">
        <v>20</v>
      </c>
    </row>
    <row r="1712" spans="1:4" x14ac:dyDescent="0.35">
      <c r="A1712" s="13">
        <v>46319</v>
      </c>
      <c r="B1712" t="s">
        <v>80</v>
      </c>
      <c r="C1712" t="s">
        <v>239</v>
      </c>
      <c r="D1712" s="14">
        <v>10.1</v>
      </c>
    </row>
    <row r="1713" spans="1:4" x14ac:dyDescent="0.35">
      <c r="A1713" s="13">
        <v>46319</v>
      </c>
      <c r="B1713" t="s">
        <v>80</v>
      </c>
      <c r="C1713" t="s">
        <v>240</v>
      </c>
      <c r="D1713" s="14">
        <v>22.1</v>
      </c>
    </row>
    <row r="1714" spans="1:4" x14ac:dyDescent="0.35">
      <c r="A1714" s="13">
        <v>46319</v>
      </c>
      <c r="B1714" t="s">
        <v>80</v>
      </c>
      <c r="C1714" t="s">
        <v>241</v>
      </c>
      <c r="D1714" s="14">
        <v>14</v>
      </c>
    </row>
    <row r="1715" spans="1:4" x14ac:dyDescent="0.35">
      <c r="A1715" s="13">
        <v>46319</v>
      </c>
      <c r="B1715" t="s">
        <v>80</v>
      </c>
      <c r="C1715" t="s">
        <v>242</v>
      </c>
      <c r="D1715" s="14">
        <v>31.8</v>
      </c>
    </row>
    <row r="1716" spans="1:4" x14ac:dyDescent="0.35">
      <c r="A1716" s="13">
        <v>46319</v>
      </c>
      <c r="B1716" t="s">
        <v>80</v>
      </c>
      <c r="C1716" t="s">
        <v>243</v>
      </c>
      <c r="D1716" s="14">
        <v>25.3</v>
      </c>
    </row>
    <row r="1717" spans="1:4" x14ac:dyDescent="0.35">
      <c r="A1717" s="13">
        <v>46319</v>
      </c>
      <c r="B1717" t="s">
        <v>80</v>
      </c>
      <c r="C1717" t="s">
        <v>244</v>
      </c>
      <c r="D1717" s="14">
        <v>17.600000000000001</v>
      </c>
    </row>
    <row r="1718" spans="1:4" x14ac:dyDescent="0.35">
      <c r="A1718" s="13">
        <v>46319</v>
      </c>
      <c r="B1718" t="s">
        <v>80</v>
      </c>
      <c r="C1718" t="s">
        <v>245</v>
      </c>
      <c r="D1718" s="14">
        <v>16.7</v>
      </c>
    </row>
    <row r="1719" spans="1:4" x14ac:dyDescent="0.35">
      <c r="A1719" s="13">
        <v>46319</v>
      </c>
      <c r="B1719" t="s">
        <v>80</v>
      </c>
      <c r="C1719" t="s">
        <v>246</v>
      </c>
      <c r="D1719" s="14">
        <v>17.399999999999999</v>
      </c>
    </row>
    <row r="1720" spans="1:4" x14ac:dyDescent="0.35">
      <c r="A1720" s="13">
        <v>46319</v>
      </c>
      <c r="B1720" t="s">
        <v>80</v>
      </c>
      <c r="C1720" t="s">
        <v>247</v>
      </c>
      <c r="D1720" s="14">
        <v>30.6</v>
      </c>
    </row>
    <row r="1721" spans="1:4" x14ac:dyDescent="0.35">
      <c r="A1721" s="13">
        <v>46319</v>
      </c>
      <c r="B1721" t="s">
        <v>82</v>
      </c>
      <c r="C1721" t="s">
        <v>248</v>
      </c>
      <c r="D1721" s="14">
        <v>23.9</v>
      </c>
    </row>
    <row r="1722" spans="1:4" x14ac:dyDescent="0.35">
      <c r="A1722" s="13">
        <v>46319</v>
      </c>
      <c r="B1722" t="s">
        <v>82</v>
      </c>
      <c r="C1722" t="s">
        <v>249</v>
      </c>
      <c r="D1722" s="14">
        <v>10.6</v>
      </c>
    </row>
    <row r="1723" spans="1:4" x14ac:dyDescent="0.35">
      <c r="A1723" s="13">
        <v>46319</v>
      </c>
      <c r="B1723" t="s">
        <v>82</v>
      </c>
      <c r="C1723" t="s">
        <v>250</v>
      </c>
      <c r="D1723" s="14">
        <v>16.899999999999999</v>
      </c>
    </row>
    <row r="1724" spans="1:4" x14ac:dyDescent="0.35">
      <c r="A1724" s="13">
        <v>46319</v>
      </c>
      <c r="B1724" t="s">
        <v>82</v>
      </c>
      <c r="C1724" t="s">
        <v>251</v>
      </c>
      <c r="D1724" s="14">
        <v>11.8</v>
      </c>
    </row>
    <row r="1725" spans="1:4" x14ac:dyDescent="0.35">
      <c r="A1725" s="13">
        <v>46319</v>
      </c>
      <c r="B1725" t="s">
        <v>82</v>
      </c>
      <c r="C1725" t="s">
        <v>252</v>
      </c>
      <c r="D1725" s="14">
        <v>10.7</v>
      </c>
    </row>
    <row r="1726" spans="1:4" x14ac:dyDescent="0.35">
      <c r="A1726" s="13">
        <v>46319</v>
      </c>
      <c r="B1726" t="s">
        <v>82</v>
      </c>
      <c r="C1726" t="s">
        <v>253</v>
      </c>
      <c r="D1726" s="14">
        <v>17.8</v>
      </c>
    </row>
    <row r="1727" spans="1:4" x14ac:dyDescent="0.35">
      <c r="A1727" s="13">
        <v>46319</v>
      </c>
      <c r="B1727" t="s">
        <v>82</v>
      </c>
      <c r="C1727" t="s">
        <v>254</v>
      </c>
      <c r="D1727" s="14">
        <v>8.8000000000000007</v>
      </c>
    </row>
    <row r="1728" spans="1:4" x14ac:dyDescent="0.35">
      <c r="A1728" s="13">
        <v>46319</v>
      </c>
      <c r="B1728" t="s">
        <v>82</v>
      </c>
      <c r="C1728" t="s">
        <v>255</v>
      </c>
      <c r="D1728" s="14">
        <v>10.8</v>
      </c>
    </row>
    <row r="1729" spans="1:4" x14ac:dyDescent="0.35">
      <c r="A1729" s="13">
        <v>46319</v>
      </c>
      <c r="B1729" t="s">
        <v>82</v>
      </c>
      <c r="C1729" t="s">
        <v>256</v>
      </c>
      <c r="D1729" s="14">
        <v>19.2</v>
      </c>
    </row>
    <row r="1730" spans="1:4" x14ac:dyDescent="0.35">
      <c r="A1730" s="13">
        <v>46319</v>
      </c>
      <c r="B1730" t="s">
        <v>82</v>
      </c>
      <c r="C1730" t="s">
        <v>257</v>
      </c>
      <c r="D1730" s="14">
        <v>17.3</v>
      </c>
    </row>
    <row r="1731" spans="1:4" x14ac:dyDescent="0.35">
      <c r="A1731" s="13">
        <v>46319</v>
      </c>
      <c r="B1731" t="s">
        <v>82</v>
      </c>
      <c r="C1731" t="s">
        <v>258</v>
      </c>
      <c r="D1731" s="14">
        <v>24.6</v>
      </c>
    </row>
    <row r="1732" spans="1:4" x14ac:dyDescent="0.35">
      <c r="A1732" s="13">
        <v>46319</v>
      </c>
      <c r="B1732" t="s">
        <v>82</v>
      </c>
      <c r="C1732" t="s">
        <v>259</v>
      </c>
      <c r="D1732" s="14">
        <v>11.6</v>
      </c>
    </row>
    <row r="1733" spans="1:4" x14ac:dyDescent="0.35">
      <c r="A1733" s="13">
        <v>46319</v>
      </c>
      <c r="B1733" t="s">
        <v>82</v>
      </c>
      <c r="C1733" t="s">
        <v>260</v>
      </c>
      <c r="D1733" s="14">
        <v>11.7</v>
      </c>
    </row>
    <row r="1734" spans="1:4" x14ac:dyDescent="0.35">
      <c r="A1734" s="13">
        <v>46319</v>
      </c>
      <c r="B1734" t="s">
        <v>82</v>
      </c>
      <c r="C1734" t="s">
        <v>261</v>
      </c>
      <c r="D1734" s="14">
        <v>17.100000000000001</v>
      </c>
    </row>
    <row r="1735" spans="1:4" x14ac:dyDescent="0.35">
      <c r="A1735" s="13">
        <v>46319</v>
      </c>
      <c r="B1735" t="s">
        <v>82</v>
      </c>
      <c r="C1735" t="s">
        <v>262</v>
      </c>
      <c r="D1735" s="14">
        <v>23.3</v>
      </c>
    </row>
    <row r="1736" spans="1:4" x14ac:dyDescent="0.35">
      <c r="A1736" s="13">
        <v>46319</v>
      </c>
      <c r="B1736" t="s">
        <v>82</v>
      </c>
      <c r="C1736" t="s">
        <v>263</v>
      </c>
      <c r="D1736" s="14">
        <v>10.3</v>
      </c>
    </row>
    <row r="1737" spans="1:4" x14ac:dyDescent="0.35">
      <c r="A1737" s="13">
        <v>46319</v>
      </c>
      <c r="B1737" t="s">
        <v>82</v>
      </c>
      <c r="C1737" t="s">
        <v>264</v>
      </c>
      <c r="D1737" s="14">
        <v>25.9</v>
      </c>
    </row>
    <row r="1738" spans="1:4" x14ac:dyDescent="0.35">
      <c r="A1738" s="13">
        <v>46319</v>
      </c>
      <c r="B1738" t="s">
        <v>82</v>
      </c>
      <c r="C1738" t="s">
        <v>265</v>
      </c>
      <c r="D1738" s="14">
        <v>17.7</v>
      </c>
    </row>
    <row r="1739" spans="1:4" x14ac:dyDescent="0.35">
      <c r="A1739" s="13">
        <v>46319</v>
      </c>
      <c r="B1739" t="s">
        <v>85</v>
      </c>
      <c r="C1739" t="s">
        <v>266</v>
      </c>
      <c r="D1739" s="14">
        <v>12.1</v>
      </c>
    </row>
    <row r="1740" spans="1:4" x14ac:dyDescent="0.35">
      <c r="A1740" s="13">
        <v>46319</v>
      </c>
      <c r="B1740" t="s">
        <v>85</v>
      </c>
      <c r="C1740" t="s">
        <v>267</v>
      </c>
      <c r="D1740" s="14">
        <v>7.5</v>
      </c>
    </row>
    <row r="1741" spans="1:4" x14ac:dyDescent="0.35">
      <c r="A1741" s="13">
        <v>46319</v>
      </c>
      <c r="B1741" t="s">
        <v>85</v>
      </c>
      <c r="C1741" t="s">
        <v>268</v>
      </c>
      <c r="D1741" s="14">
        <v>23.7</v>
      </c>
    </row>
    <row r="1742" spans="1:4" x14ac:dyDescent="0.35">
      <c r="A1742" s="13">
        <v>46319</v>
      </c>
      <c r="B1742" t="s">
        <v>85</v>
      </c>
      <c r="C1742" t="s">
        <v>269</v>
      </c>
      <c r="D1742" s="14">
        <v>24.1</v>
      </c>
    </row>
    <row r="1743" spans="1:4" x14ac:dyDescent="0.35">
      <c r="A1743" s="13">
        <v>46319</v>
      </c>
      <c r="B1743" t="s">
        <v>85</v>
      </c>
      <c r="C1743" t="s">
        <v>270</v>
      </c>
      <c r="D1743" s="14">
        <v>19.899999999999999</v>
      </c>
    </row>
    <row r="1744" spans="1:4" x14ac:dyDescent="0.35">
      <c r="A1744" s="13">
        <v>46319</v>
      </c>
      <c r="B1744" t="s">
        <v>85</v>
      </c>
      <c r="C1744" t="s">
        <v>271</v>
      </c>
      <c r="D1744" s="14">
        <v>14.6</v>
      </c>
    </row>
    <row r="1745" spans="1:4" x14ac:dyDescent="0.35">
      <c r="A1745" s="13">
        <v>46319</v>
      </c>
      <c r="B1745" t="s">
        <v>85</v>
      </c>
      <c r="C1745" t="s">
        <v>272</v>
      </c>
      <c r="D1745" s="14">
        <v>20.2</v>
      </c>
    </row>
    <row r="1746" spans="1:4" x14ac:dyDescent="0.35">
      <c r="A1746" s="13">
        <v>46319</v>
      </c>
      <c r="B1746" t="s">
        <v>85</v>
      </c>
      <c r="C1746" t="s">
        <v>273</v>
      </c>
      <c r="D1746" s="14">
        <v>10</v>
      </c>
    </row>
    <row r="1747" spans="1:4" x14ac:dyDescent="0.35">
      <c r="A1747" s="13">
        <v>46319</v>
      </c>
      <c r="B1747" t="s">
        <v>85</v>
      </c>
      <c r="C1747" t="s">
        <v>274</v>
      </c>
      <c r="D1747" s="14">
        <v>9.4</v>
      </c>
    </row>
    <row r="1748" spans="1:4" x14ac:dyDescent="0.35">
      <c r="A1748" s="13">
        <v>46319</v>
      </c>
      <c r="B1748" t="s">
        <v>85</v>
      </c>
      <c r="C1748" t="s">
        <v>275</v>
      </c>
      <c r="D1748" s="14">
        <v>18.399999999999999</v>
      </c>
    </row>
    <row r="1749" spans="1:4" x14ac:dyDescent="0.35">
      <c r="A1749" s="13">
        <v>46319</v>
      </c>
      <c r="B1749" t="s">
        <v>85</v>
      </c>
      <c r="C1749" t="s">
        <v>276</v>
      </c>
      <c r="D1749" s="14">
        <v>12.4</v>
      </c>
    </row>
    <row r="1750" spans="1:4" x14ac:dyDescent="0.35">
      <c r="A1750" s="13">
        <v>46319</v>
      </c>
      <c r="B1750" t="s">
        <v>85</v>
      </c>
      <c r="C1750" t="s">
        <v>277</v>
      </c>
      <c r="D1750" s="14">
        <v>15.2</v>
      </c>
    </row>
    <row r="1751" spans="1:4" x14ac:dyDescent="0.35">
      <c r="A1751" s="13">
        <v>46319</v>
      </c>
      <c r="B1751" t="s">
        <v>85</v>
      </c>
      <c r="C1751" t="s">
        <v>278</v>
      </c>
      <c r="D1751" s="14">
        <v>18</v>
      </c>
    </row>
    <row r="1752" spans="1:4" x14ac:dyDescent="0.35">
      <c r="A1752" s="13">
        <v>46319</v>
      </c>
      <c r="B1752" t="s">
        <v>85</v>
      </c>
      <c r="C1752" t="s">
        <v>279</v>
      </c>
      <c r="D1752" s="14">
        <v>12.2</v>
      </c>
    </row>
    <row r="1753" spans="1:4" x14ac:dyDescent="0.35">
      <c r="A1753" s="13">
        <v>46319</v>
      </c>
      <c r="B1753" t="s">
        <v>85</v>
      </c>
      <c r="C1753" t="s">
        <v>280</v>
      </c>
      <c r="D1753" s="14">
        <v>16.2</v>
      </c>
    </row>
    <row r="1754" spans="1:4" x14ac:dyDescent="0.35">
      <c r="A1754" s="13">
        <v>46319</v>
      </c>
      <c r="B1754" t="s">
        <v>85</v>
      </c>
      <c r="C1754" t="s">
        <v>281</v>
      </c>
      <c r="D1754" s="14">
        <v>13.2</v>
      </c>
    </row>
    <row r="1755" spans="1:4" x14ac:dyDescent="0.35">
      <c r="A1755" s="13">
        <v>46319</v>
      </c>
      <c r="B1755" t="s">
        <v>87</v>
      </c>
      <c r="C1755" t="s">
        <v>282</v>
      </c>
      <c r="D1755" s="14">
        <v>8.4</v>
      </c>
    </row>
    <row r="1756" spans="1:4" x14ac:dyDescent="0.35">
      <c r="A1756" s="13">
        <v>46319</v>
      </c>
      <c r="B1756" t="s">
        <v>87</v>
      </c>
      <c r="C1756" t="s">
        <v>283</v>
      </c>
      <c r="D1756" s="14">
        <v>15.9</v>
      </c>
    </row>
    <row r="1757" spans="1:4" x14ac:dyDescent="0.35">
      <c r="A1757" s="13">
        <v>46319</v>
      </c>
      <c r="B1757" t="s">
        <v>87</v>
      </c>
      <c r="C1757" t="s">
        <v>284</v>
      </c>
      <c r="D1757" s="14">
        <v>13.6</v>
      </c>
    </row>
    <row r="1758" spans="1:4" x14ac:dyDescent="0.35">
      <c r="A1758" s="13">
        <v>46319</v>
      </c>
      <c r="B1758" t="s">
        <v>87</v>
      </c>
      <c r="C1758" t="s">
        <v>285</v>
      </c>
      <c r="D1758" s="14">
        <v>19.7</v>
      </c>
    </row>
    <row r="1759" spans="1:4" x14ac:dyDescent="0.35">
      <c r="A1759" s="13">
        <v>46319</v>
      </c>
      <c r="B1759" t="s">
        <v>87</v>
      </c>
      <c r="C1759" t="s">
        <v>286</v>
      </c>
      <c r="D1759" s="14">
        <v>14.1</v>
      </c>
    </row>
    <row r="1760" spans="1:4" x14ac:dyDescent="0.35">
      <c r="A1760" s="13">
        <v>46319</v>
      </c>
      <c r="B1760" t="s">
        <v>87</v>
      </c>
      <c r="C1760" t="s">
        <v>287</v>
      </c>
      <c r="D1760" s="14">
        <v>18.2</v>
      </c>
    </row>
    <row r="1761" spans="1:4" x14ac:dyDescent="0.35">
      <c r="A1761" s="13">
        <v>46319</v>
      </c>
      <c r="B1761" t="s">
        <v>87</v>
      </c>
      <c r="C1761" t="s">
        <v>288</v>
      </c>
      <c r="D1761" s="14">
        <v>11.5</v>
      </c>
    </row>
    <row r="1762" spans="1:4" x14ac:dyDescent="0.35">
      <c r="A1762" s="13">
        <v>46319</v>
      </c>
      <c r="B1762" t="s">
        <v>87</v>
      </c>
      <c r="C1762" t="s">
        <v>289</v>
      </c>
      <c r="D1762" s="14">
        <v>12.5</v>
      </c>
    </row>
    <row r="1763" spans="1:4" x14ac:dyDescent="0.35">
      <c r="A1763" s="13">
        <v>46319</v>
      </c>
      <c r="B1763" t="s">
        <v>87</v>
      </c>
      <c r="C1763" t="s">
        <v>290</v>
      </c>
      <c r="D1763" s="14">
        <v>18.8</v>
      </c>
    </row>
    <row r="1764" spans="1:4" x14ac:dyDescent="0.35">
      <c r="A1764" s="13">
        <v>46319</v>
      </c>
      <c r="B1764" t="s">
        <v>87</v>
      </c>
      <c r="C1764" t="s">
        <v>291</v>
      </c>
      <c r="D1764" s="14">
        <v>14.5</v>
      </c>
    </row>
    <row r="1765" spans="1:4" x14ac:dyDescent="0.35">
      <c r="A1765" s="13">
        <v>46319</v>
      </c>
      <c r="B1765" t="s">
        <v>87</v>
      </c>
      <c r="C1765" t="s">
        <v>292</v>
      </c>
      <c r="D1765" s="14">
        <v>12.2</v>
      </c>
    </row>
    <row r="1766" spans="1:4" x14ac:dyDescent="0.35">
      <c r="A1766" s="13">
        <v>46319</v>
      </c>
      <c r="B1766" t="s">
        <v>87</v>
      </c>
      <c r="C1766" t="s">
        <v>293</v>
      </c>
      <c r="D1766" s="14">
        <v>11.3</v>
      </c>
    </row>
    <row r="1767" spans="1:4" x14ac:dyDescent="0.35">
      <c r="A1767" s="13">
        <v>46319</v>
      </c>
      <c r="B1767" t="s">
        <v>87</v>
      </c>
      <c r="C1767" t="s">
        <v>294</v>
      </c>
      <c r="D1767" s="14">
        <v>11.1</v>
      </c>
    </row>
    <row r="1768" spans="1:4" x14ac:dyDescent="0.35">
      <c r="A1768" s="13">
        <v>46319</v>
      </c>
      <c r="B1768" t="s">
        <v>87</v>
      </c>
      <c r="C1768" t="s">
        <v>295</v>
      </c>
      <c r="D1768" s="14">
        <v>13.9</v>
      </c>
    </row>
    <row r="1769" spans="1:4" x14ac:dyDescent="0.35">
      <c r="A1769" s="13">
        <v>46319</v>
      </c>
      <c r="B1769" t="s">
        <v>87</v>
      </c>
      <c r="C1769" t="s">
        <v>296</v>
      </c>
      <c r="D1769" s="14">
        <v>20.9</v>
      </c>
    </row>
    <row r="1770" spans="1:4" x14ac:dyDescent="0.35">
      <c r="A1770" s="13">
        <v>46319</v>
      </c>
      <c r="B1770" t="s">
        <v>87</v>
      </c>
      <c r="C1770" t="s">
        <v>297</v>
      </c>
      <c r="D1770" s="14">
        <v>15.2</v>
      </c>
    </row>
    <row r="1771" spans="1:4" x14ac:dyDescent="0.35">
      <c r="A1771" s="13">
        <v>46319</v>
      </c>
      <c r="B1771" t="s">
        <v>77</v>
      </c>
      <c r="C1771" t="s">
        <v>298</v>
      </c>
      <c r="D1771" s="14">
        <v>13.4</v>
      </c>
    </row>
    <row r="1772" spans="1:4" x14ac:dyDescent="0.35">
      <c r="A1772" s="13">
        <v>46319</v>
      </c>
      <c r="B1772" t="s">
        <v>85</v>
      </c>
      <c r="C1772" t="s">
        <v>299</v>
      </c>
      <c r="D1772" s="14">
        <v>9.6</v>
      </c>
    </row>
    <row r="1773" spans="1:4" x14ac:dyDescent="0.35">
      <c r="A1773" s="13">
        <v>46326</v>
      </c>
      <c r="B1773" t="s">
        <v>70</v>
      </c>
      <c r="C1773" t="s">
        <v>155</v>
      </c>
      <c r="D1773" s="14">
        <v>28.4</v>
      </c>
    </row>
    <row r="1774" spans="1:4" x14ac:dyDescent="0.35">
      <c r="A1774" s="13">
        <v>46326</v>
      </c>
      <c r="B1774" t="s">
        <v>70</v>
      </c>
      <c r="C1774" t="s">
        <v>158</v>
      </c>
      <c r="D1774" s="14">
        <v>24.5</v>
      </c>
    </row>
    <row r="1775" spans="1:4" x14ac:dyDescent="0.35">
      <c r="A1775" s="13">
        <v>46326</v>
      </c>
      <c r="B1775" t="s">
        <v>70</v>
      </c>
      <c r="C1775" t="s">
        <v>159</v>
      </c>
      <c r="D1775" s="14">
        <v>18.7</v>
      </c>
    </row>
    <row r="1776" spans="1:4" x14ac:dyDescent="0.35">
      <c r="A1776" s="13">
        <v>46326</v>
      </c>
      <c r="B1776" t="s">
        <v>70</v>
      </c>
      <c r="C1776" t="s">
        <v>162</v>
      </c>
      <c r="D1776" s="14">
        <v>26.8</v>
      </c>
    </row>
    <row r="1777" spans="1:4" x14ac:dyDescent="0.35">
      <c r="A1777" s="13">
        <v>46326</v>
      </c>
      <c r="B1777" t="s">
        <v>70</v>
      </c>
      <c r="C1777" t="s">
        <v>164</v>
      </c>
      <c r="D1777" s="14">
        <v>11.7</v>
      </c>
    </row>
    <row r="1778" spans="1:4" x14ac:dyDescent="0.35">
      <c r="A1778" s="13">
        <v>46326</v>
      </c>
      <c r="B1778" t="s">
        <v>70</v>
      </c>
      <c r="C1778" t="s">
        <v>167</v>
      </c>
      <c r="D1778" s="14">
        <v>15</v>
      </c>
    </row>
    <row r="1779" spans="1:4" x14ac:dyDescent="0.35">
      <c r="A1779" s="13">
        <v>46326</v>
      </c>
      <c r="B1779" t="s">
        <v>70</v>
      </c>
      <c r="C1779" t="s">
        <v>169</v>
      </c>
      <c r="D1779" s="14">
        <v>11.3</v>
      </c>
    </row>
    <row r="1780" spans="1:4" x14ac:dyDescent="0.35">
      <c r="A1780" s="13">
        <v>46326</v>
      </c>
      <c r="B1780" t="s">
        <v>70</v>
      </c>
      <c r="C1780" t="s">
        <v>170</v>
      </c>
      <c r="D1780" s="14">
        <v>22.2</v>
      </c>
    </row>
    <row r="1781" spans="1:4" x14ac:dyDescent="0.35">
      <c r="A1781" s="13">
        <v>46326</v>
      </c>
      <c r="B1781" t="s">
        <v>70</v>
      </c>
      <c r="C1781" t="s">
        <v>171</v>
      </c>
      <c r="D1781" s="14">
        <v>17.600000000000001</v>
      </c>
    </row>
    <row r="1782" spans="1:4" x14ac:dyDescent="0.35">
      <c r="A1782" s="13">
        <v>46326</v>
      </c>
      <c r="B1782" t="s">
        <v>70</v>
      </c>
      <c r="C1782" t="s">
        <v>172</v>
      </c>
      <c r="D1782" s="14">
        <v>11.4</v>
      </c>
    </row>
    <row r="1783" spans="1:4" x14ac:dyDescent="0.35">
      <c r="A1783" s="13">
        <v>46326</v>
      </c>
      <c r="B1783" t="s">
        <v>70</v>
      </c>
      <c r="C1783" t="s">
        <v>173</v>
      </c>
      <c r="D1783" s="14">
        <v>20.7</v>
      </c>
    </row>
    <row r="1784" spans="1:4" x14ac:dyDescent="0.35">
      <c r="A1784" s="13">
        <v>46326</v>
      </c>
      <c r="B1784" t="s">
        <v>70</v>
      </c>
      <c r="C1784" t="s">
        <v>174</v>
      </c>
      <c r="D1784" s="14">
        <v>25.2</v>
      </c>
    </row>
    <row r="1785" spans="1:4" x14ac:dyDescent="0.35">
      <c r="A1785" s="13">
        <v>46326</v>
      </c>
      <c r="B1785" t="s">
        <v>70</v>
      </c>
      <c r="C1785" t="s">
        <v>175</v>
      </c>
      <c r="D1785" s="14">
        <v>17.399999999999999</v>
      </c>
    </row>
    <row r="1786" spans="1:4" x14ac:dyDescent="0.35">
      <c r="A1786" s="13">
        <v>46326</v>
      </c>
      <c r="B1786" t="s">
        <v>70</v>
      </c>
      <c r="C1786" t="s">
        <v>176</v>
      </c>
      <c r="D1786" s="14">
        <v>13.6</v>
      </c>
    </row>
    <row r="1787" spans="1:4" x14ac:dyDescent="0.35">
      <c r="A1787" s="13">
        <v>46326</v>
      </c>
      <c r="B1787" t="s">
        <v>73</v>
      </c>
      <c r="C1787" t="s">
        <v>177</v>
      </c>
      <c r="D1787" s="14">
        <v>13.9</v>
      </c>
    </row>
    <row r="1788" spans="1:4" x14ac:dyDescent="0.35">
      <c r="A1788" s="13">
        <v>46326</v>
      </c>
      <c r="B1788" t="s">
        <v>73</v>
      </c>
      <c r="C1788" t="s">
        <v>178</v>
      </c>
      <c r="D1788" s="14">
        <v>12.1</v>
      </c>
    </row>
    <row r="1789" spans="1:4" x14ac:dyDescent="0.35">
      <c r="A1789" s="13">
        <v>46326</v>
      </c>
      <c r="B1789" t="s">
        <v>73</v>
      </c>
      <c r="C1789" t="s">
        <v>179</v>
      </c>
      <c r="D1789" s="14">
        <v>17.899999999999999</v>
      </c>
    </row>
    <row r="1790" spans="1:4" x14ac:dyDescent="0.35">
      <c r="A1790" s="13">
        <v>46326</v>
      </c>
      <c r="B1790" t="s">
        <v>73</v>
      </c>
      <c r="C1790" t="s">
        <v>180</v>
      </c>
      <c r="D1790" s="14">
        <v>10.1</v>
      </c>
    </row>
    <row r="1791" spans="1:4" x14ac:dyDescent="0.35">
      <c r="A1791" s="13">
        <v>46326</v>
      </c>
      <c r="B1791" t="s">
        <v>73</v>
      </c>
      <c r="C1791" t="s">
        <v>181</v>
      </c>
      <c r="D1791" s="14">
        <v>11.4</v>
      </c>
    </row>
    <row r="1792" spans="1:4" x14ac:dyDescent="0.35">
      <c r="A1792" s="13">
        <v>46326</v>
      </c>
      <c r="B1792" t="s">
        <v>73</v>
      </c>
      <c r="C1792" t="s">
        <v>182</v>
      </c>
      <c r="D1792" s="14">
        <v>15</v>
      </c>
    </row>
    <row r="1793" spans="1:4" x14ac:dyDescent="0.35">
      <c r="A1793" s="13">
        <v>46326</v>
      </c>
      <c r="B1793" t="s">
        <v>73</v>
      </c>
      <c r="C1793" t="s">
        <v>183</v>
      </c>
      <c r="D1793" s="14">
        <v>22.4</v>
      </c>
    </row>
    <row r="1794" spans="1:4" x14ac:dyDescent="0.35">
      <c r="A1794" s="13">
        <v>46326</v>
      </c>
      <c r="B1794" t="s">
        <v>73</v>
      </c>
      <c r="C1794" t="s">
        <v>184</v>
      </c>
      <c r="D1794" s="14">
        <v>17.8</v>
      </c>
    </row>
    <row r="1795" spans="1:4" x14ac:dyDescent="0.35">
      <c r="A1795" s="13">
        <v>46326</v>
      </c>
      <c r="B1795" t="s">
        <v>73</v>
      </c>
      <c r="C1795" t="s">
        <v>185</v>
      </c>
      <c r="D1795" s="14">
        <v>11.2</v>
      </c>
    </row>
    <row r="1796" spans="1:4" x14ac:dyDescent="0.35">
      <c r="A1796" s="13">
        <v>46326</v>
      </c>
      <c r="B1796" t="s">
        <v>73</v>
      </c>
      <c r="C1796" t="s">
        <v>186</v>
      </c>
      <c r="D1796" s="14">
        <v>16.2</v>
      </c>
    </row>
    <row r="1797" spans="1:4" x14ac:dyDescent="0.35">
      <c r="A1797" s="13">
        <v>46326</v>
      </c>
      <c r="B1797" t="s">
        <v>73</v>
      </c>
      <c r="C1797" t="s">
        <v>187</v>
      </c>
      <c r="D1797" s="14">
        <v>8.6999999999999993</v>
      </c>
    </row>
    <row r="1798" spans="1:4" x14ac:dyDescent="0.35">
      <c r="A1798" s="13">
        <v>46326</v>
      </c>
      <c r="B1798" t="s">
        <v>73</v>
      </c>
      <c r="C1798" t="s">
        <v>189</v>
      </c>
      <c r="D1798" s="14">
        <v>12.1</v>
      </c>
    </row>
    <row r="1799" spans="1:4" x14ac:dyDescent="0.35">
      <c r="A1799" s="13">
        <v>46326</v>
      </c>
      <c r="B1799" t="s">
        <v>73</v>
      </c>
      <c r="C1799" t="s">
        <v>190</v>
      </c>
      <c r="D1799" s="14">
        <v>14</v>
      </c>
    </row>
    <row r="1800" spans="1:4" x14ac:dyDescent="0.35">
      <c r="A1800" s="13">
        <v>46326</v>
      </c>
      <c r="B1800" t="s">
        <v>73</v>
      </c>
      <c r="C1800" t="s">
        <v>191</v>
      </c>
      <c r="D1800" s="14">
        <v>13.2</v>
      </c>
    </row>
    <row r="1801" spans="1:4" x14ac:dyDescent="0.35">
      <c r="A1801" s="13">
        <v>46326</v>
      </c>
      <c r="B1801" t="s">
        <v>73</v>
      </c>
      <c r="C1801" t="s">
        <v>192</v>
      </c>
      <c r="D1801" s="14">
        <v>8.4</v>
      </c>
    </row>
    <row r="1802" spans="1:4" x14ac:dyDescent="0.35">
      <c r="A1802" s="13">
        <v>46326</v>
      </c>
      <c r="B1802" t="s">
        <v>73</v>
      </c>
      <c r="C1802" t="s">
        <v>193</v>
      </c>
      <c r="D1802" s="14">
        <v>16.7</v>
      </c>
    </row>
    <row r="1803" spans="1:4" x14ac:dyDescent="0.35">
      <c r="A1803" s="13">
        <v>46326</v>
      </c>
      <c r="B1803" t="s">
        <v>73</v>
      </c>
      <c r="C1803" t="s">
        <v>194</v>
      </c>
      <c r="D1803" s="14">
        <v>10.7</v>
      </c>
    </row>
    <row r="1804" spans="1:4" x14ac:dyDescent="0.35">
      <c r="A1804" s="13">
        <v>46326</v>
      </c>
      <c r="B1804" t="s">
        <v>73</v>
      </c>
      <c r="C1804" t="s">
        <v>195</v>
      </c>
      <c r="D1804" s="14">
        <v>16.899999999999999</v>
      </c>
    </row>
    <row r="1805" spans="1:4" x14ac:dyDescent="0.35">
      <c r="A1805" s="13">
        <v>46326</v>
      </c>
      <c r="B1805" t="s">
        <v>73</v>
      </c>
      <c r="C1805" t="s">
        <v>196</v>
      </c>
      <c r="D1805" s="14">
        <v>9.1</v>
      </c>
    </row>
    <row r="1806" spans="1:4" x14ac:dyDescent="0.35">
      <c r="A1806" s="13">
        <v>46326</v>
      </c>
      <c r="B1806" t="s">
        <v>3</v>
      </c>
      <c r="C1806" t="s">
        <v>197</v>
      </c>
      <c r="D1806" s="14">
        <v>15.9</v>
      </c>
    </row>
    <row r="1807" spans="1:4" x14ac:dyDescent="0.35">
      <c r="A1807" s="13">
        <v>46326</v>
      </c>
      <c r="B1807" t="s">
        <v>3</v>
      </c>
      <c r="C1807" t="s">
        <v>198</v>
      </c>
      <c r="D1807" s="14">
        <v>14</v>
      </c>
    </row>
    <row r="1808" spans="1:4" x14ac:dyDescent="0.35">
      <c r="A1808" s="13">
        <v>46326</v>
      </c>
      <c r="B1808" t="s">
        <v>3</v>
      </c>
      <c r="C1808" t="s">
        <v>199</v>
      </c>
      <c r="D1808" s="14">
        <v>21.8</v>
      </c>
    </row>
    <row r="1809" spans="1:4" x14ac:dyDescent="0.35">
      <c r="A1809" s="13">
        <v>46326</v>
      </c>
      <c r="B1809" t="s">
        <v>3</v>
      </c>
      <c r="C1809" t="s">
        <v>200</v>
      </c>
      <c r="D1809" s="14">
        <v>15.7</v>
      </c>
    </row>
    <row r="1810" spans="1:4" x14ac:dyDescent="0.35">
      <c r="A1810" s="13">
        <v>46326</v>
      </c>
      <c r="B1810" t="s">
        <v>3</v>
      </c>
      <c r="C1810" t="s">
        <v>201</v>
      </c>
      <c r="D1810" s="14">
        <v>24.8</v>
      </c>
    </row>
    <row r="1811" spans="1:4" x14ac:dyDescent="0.35">
      <c r="A1811" s="13">
        <v>46326</v>
      </c>
      <c r="B1811" t="s">
        <v>3</v>
      </c>
      <c r="C1811" t="s">
        <v>202</v>
      </c>
      <c r="D1811" s="14">
        <v>10.1</v>
      </c>
    </row>
    <row r="1812" spans="1:4" x14ac:dyDescent="0.35">
      <c r="A1812" s="13">
        <v>46326</v>
      </c>
      <c r="B1812" t="s">
        <v>3</v>
      </c>
      <c r="C1812" t="s">
        <v>203</v>
      </c>
      <c r="D1812" s="14">
        <v>17.100000000000001</v>
      </c>
    </row>
    <row r="1813" spans="1:4" x14ac:dyDescent="0.35">
      <c r="A1813" s="13">
        <v>46326</v>
      </c>
      <c r="B1813" t="s">
        <v>3</v>
      </c>
      <c r="C1813" t="s">
        <v>204</v>
      </c>
      <c r="D1813" s="14">
        <v>9.6999999999999993</v>
      </c>
    </row>
    <row r="1814" spans="1:4" x14ac:dyDescent="0.35">
      <c r="A1814" s="13">
        <v>46326</v>
      </c>
      <c r="B1814" t="s">
        <v>3</v>
      </c>
      <c r="C1814" t="s">
        <v>205</v>
      </c>
      <c r="D1814" s="14">
        <v>27.7</v>
      </c>
    </row>
    <row r="1815" spans="1:4" x14ac:dyDescent="0.35">
      <c r="A1815" s="13">
        <v>46326</v>
      </c>
      <c r="B1815" t="s">
        <v>3</v>
      </c>
      <c r="C1815" t="s">
        <v>206</v>
      </c>
      <c r="D1815" s="14">
        <v>26.2</v>
      </c>
    </row>
    <row r="1816" spans="1:4" x14ac:dyDescent="0.35">
      <c r="A1816" s="13">
        <v>46326</v>
      </c>
      <c r="B1816" t="s">
        <v>3</v>
      </c>
      <c r="C1816" t="s">
        <v>207</v>
      </c>
      <c r="D1816" s="14">
        <v>26.5</v>
      </c>
    </row>
    <row r="1817" spans="1:4" x14ac:dyDescent="0.35">
      <c r="A1817" s="13">
        <v>46326</v>
      </c>
      <c r="B1817" t="s">
        <v>3</v>
      </c>
      <c r="C1817" t="s">
        <v>208</v>
      </c>
      <c r="D1817" s="14">
        <v>25.6</v>
      </c>
    </row>
    <row r="1818" spans="1:4" x14ac:dyDescent="0.35">
      <c r="A1818" s="13">
        <v>46326</v>
      </c>
      <c r="B1818" t="s">
        <v>3</v>
      </c>
      <c r="C1818" t="s">
        <v>209</v>
      </c>
      <c r="D1818" s="14">
        <v>24.2</v>
      </c>
    </row>
    <row r="1819" spans="1:4" x14ac:dyDescent="0.35">
      <c r="A1819" s="13">
        <v>46326</v>
      </c>
      <c r="B1819" t="s">
        <v>3</v>
      </c>
      <c r="C1819" t="s">
        <v>210</v>
      </c>
      <c r="D1819" s="14">
        <v>15.5</v>
      </c>
    </row>
    <row r="1820" spans="1:4" x14ac:dyDescent="0.35">
      <c r="A1820" s="13">
        <v>46326</v>
      </c>
      <c r="B1820" t="s">
        <v>3</v>
      </c>
      <c r="C1820" t="s">
        <v>211</v>
      </c>
      <c r="D1820" s="14">
        <v>17</v>
      </c>
    </row>
    <row r="1821" spans="1:4" x14ac:dyDescent="0.35">
      <c r="A1821" s="13">
        <v>46326</v>
      </c>
      <c r="B1821" t="s">
        <v>3</v>
      </c>
      <c r="C1821" t="s">
        <v>212</v>
      </c>
      <c r="D1821" s="14">
        <v>23.9</v>
      </c>
    </row>
    <row r="1822" spans="1:4" x14ac:dyDescent="0.35">
      <c r="A1822" s="13">
        <v>46326</v>
      </c>
      <c r="B1822" t="s">
        <v>3</v>
      </c>
      <c r="C1822" t="s">
        <v>213</v>
      </c>
      <c r="D1822" s="14">
        <v>13.9</v>
      </c>
    </row>
    <row r="1823" spans="1:4" x14ac:dyDescent="0.35">
      <c r="A1823" s="13">
        <v>46326</v>
      </c>
      <c r="B1823" t="s">
        <v>3</v>
      </c>
      <c r="C1823" t="s">
        <v>214</v>
      </c>
      <c r="D1823" s="14">
        <v>16.5</v>
      </c>
    </row>
    <row r="1824" spans="1:4" x14ac:dyDescent="0.35">
      <c r="A1824" s="13">
        <v>46326</v>
      </c>
      <c r="B1824" t="s">
        <v>3</v>
      </c>
      <c r="C1824" t="s">
        <v>215</v>
      </c>
      <c r="D1824" s="14">
        <v>11.9</v>
      </c>
    </row>
    <row r="1825" spans="1:4" x14ac:dyDescent="0.35">
      <c r="A1825" s="13">
        <v>46326</v>
      </c>
      <c r="B1825" t="s">
        <v>77</v>
      </c>
      <c r="C1825" t="s">
        <v>216</v>
      </c>
      <c r="D1825" s="14">
        <v>14.1</v>
      </c>
    </row>
    <row r="1826" spans="1:4" x14ac:dyDescent="0.35">
      <c r="A1826" s="13">
        <v>46326</v>
      </c>
      <c r="B1826" t="s">
        <v>77</v>
      </c>
      <c r="C1826" t="s">
        <v>217</v>
      </c>
      <c r="D1826" s="14">
        <v>16.100000000000001</v>
      </c>
    </row>
    <row r="1827" spans="1:4" x14ac:dyDescent="0.35">
      <c r="A1827" s="13">
        <v>46326</v>
      </c>
      <c r="B1827" t="s">
        <v>77</v>
      </c>
      <c r="C1827" t="s">
        <v>218</v>
      </c>
      <c r="D1827" s="14">
        <v>16.2</v>
      </c>
    </row>
    <row r="1828" spans="1:4" x14ac:dyDescent="0.35">
      <c r="A1828" s="13">
        <v>46326</v>
      </c>
      <c r="B1828" t="s">
        <v>77</v>
      </c>
      <c r="C1828" t="s">
        <v>219</v>
      </c>
      <c r="D1828" s="14">
        <v>9.3000000000000007</v>
      </c>
    </row>
    <row r="1829" spans="1:4" x14ac:dyDescent="0.35">
      <c r="A1829" s="13">
        <v>46326</v>
      </c>
      <c r="B1829" t="s">
        <v>77</v>
      </c>
      <c r="C1829" t="s">
        <v>220</v>
      </c>
      <c r="D1829" s="14">
        <v>14</v>
      </c>
    </row>
    <row r="1830" spans="1:4" x14ac:dyDescent="0.35">
      <c r="A1830" s="13">
        <v>46326</v>
      </c>
      <c r="B1830" t="s">
        <v>77</v>
      </c>
      <c r="C1830" t="s">
        <v>221</v>
      </c>
      <c r="D1830" s="14">
        <v>33.6</v>
      </c>
    </row>
    <row r="1831" spans="1:4" x14ac:dyDescent="0.35">
      <c r="A1831" s="13">
        <v>46326</v>
      </c>
      <c r="B1831" t="s">
        <v>77</v>
      </c>
      <c r="C1831" t="s">
        <v>222</v>
      </c>
      <c r="D1831" s="14">
        <v>15.2</v>
      </c>
    </row>
    <row r="1832" spans="1:4" x14ac:dyDescent="0.35">
      <c r="A1832" s="13">
        <v>46326</v>
      </c>
      <c r="B1832" t="s">
        <v>77</v>
      </c>
      <c r="C1832" t="s">
        <v>223</v>
      </c>
      <c r="D1832" s="14">
        <v>22</v>
      </c>
    </row>
    <row r="1833" spans="1:4" x14ac:dyDescent="0.35">
      <c r="A1833" s="13">
        <v>46326</v>
      </c>
      <c r="B1833" t="s">
        <v>77</v>
      </c>
      <c r="C1833" t="s">
        <v>224</v>
      </c>
      <c r="D1833" s="14">
        <v>15.7</v>
      </c>
    </row>
    <row r="1834" spans="1:4" x14ac:dyDescent="0.35">
      <c r="A1834" s="13">
        <v>46326</v>
      </c>
      <c r="B1834" t="s">
        <v>77</v>
      </c>
      <c r="C1834" t="s">
        <v>225</v>
      </c>
      <c r="D1834" s="14">
        <v>13</v>
      </c>
    </row>
    <row r="1835" spans="1:4" x14ac:dyDescent="0.35">
      <c r="A1835" s="13">
        <v>46326</v>
      </c>
      <c r="B1835" t="s">
        <v>77</v>
      </c>
      <c r="C1835" t="s">
        <v>226</v>
      </c>
      <c r="D1835" s="14">
        <v>21.9</v>
      </c>
    </row>
    <row r="1836" spans="1:4" x14ac:dyDescent="0.35">
      <c r="A1836" s="13">
        <v>46326</v>
      </c>
      <c r="B1836" t="s">
        <v>77</v>
      </c>
      <c r="C1836" t="s">
        <v>227</v>
      </c>
      <c r="D1836" s="14">
        <v>16.899999999999999</v>
      </c>
    </row>
    <row r="1837" spans="1:4" x14ac:dyDescent="0.35">
      <c r="A1837" s="13">
        <v>46326</v>
      </c>
      <c r="B1837" t="s">
        <v>77</v>
      </c>
      <c r="C1837" t="s">
        <v>228</v>
      </c>
      <c r="D1837" s="14">
        <v>26.2</v>
      </c>
    </row>
    <row r="1838" spans="1:4" x14ac:dyDescent="0.35">
      <c r="A1838" s="13">
        <v>46326</v>
      </c>
      <c r="B1838" t="s">
        <v>77</v>
      </c>
      <c r="C1838" t="s">
        <v>229</v>
      </c>
      <c r="D1838" s="14">
        <v>8.6999999999999993</v>
      </c>
    </row>
    <row r="1839" spans="1:4" x14ac:dyDescent="0.35">
      <c r="A1839" s="13">
        <v>46326</v>
      </c>
      <c r="B1839" t="s">
        <v>77</v>
      </c>
      <c r="C1839" t="s">
        <v>230</v>
      </c>
      <c r="D1839" s="14">
        <v>10</v>
      </c>
    </row>
    <row r="1840" spans="1:4" x14ac:dyDescent="0.35">
      <c r="A1840" s="13">
        <v>46326</v>
      </c>
      <c r="B1840" t="s">
        <v>80</v>
      </c>
      <c r="C1840" t="s">
        <v>231</v>
      </c>
      <c r="D1840" s="14">
        <v>16.7</v>
      </c>
    </row>
    <row r="1841" spans="1:4" x14ac:dyDescent="0.35">
      <c r="A1841" s="13">
        <v>46326</v>
      </c>
      <c r="B1841" t="s">
        <v>80</v>
      </c>
      <c r="C1841" t="s">
        <v>232</v>
      </c>
      <c r="D1841" s="14">
        <v>25.4</v>
      </c>
    </row>
    <row r="1842" spans="1:4" x14ac:dyDescent="0.35">
      <c r="A1842" s="13">
        <v>46326</v>
      </c>
      <c r="B1842" t="s">
        <v>80</v>
      </c>
      <c r="C1842" t="s">
        <v>233</v>
      </c>
      <c r="D1842" s="14">
        <v>13.1</v>
      </c>
    </row>
    <row r="1843" spans="1:4" x14ac:dyDescent="0.35">
      <c r="A1843" s="13">
        <v>46326</v>
      </c>
      <c r="B1843" t="s">
        <v>80</v>
      </c>
      <c r="C1843" t="s">
        <v>234</v>
      </c>
      <c r="D1843" s="14">
        <v>8.9</v>
      </c>
    </row>
    <row r="1844" spans="1:4" x14ac:dyDescent="0.35">
      <c r="A1844" s="13">
        <v>46326</v>
      </c>
      <c r="B1844" t="s">
        <v>80</v>
      </c>
      <c r="C1844" t="s">
        <v>235</v>
      </c>
      <c r="D1844" s="14">
        <v>19.899999999999999</v>
      </c>
    </row>
    <row r="1845" spans="1:4" x14ac:dyDescent="0.35">
      <c r="A1845" s="13">
        <v>46326</v>
      </c>
      <c r="B1845" t="s">
        <v>80</v>
      </c>
      <c r="C1845" t="s">
        <v>236</v>
      </c>
      <c r="D1845" s="14">
        <v>21.9</v>
      </c>
    </row>
    <row r="1846" spans="1:4" x14ac:dyDescent="0.35">
      <c r="A1846" s="13">
        <v>46326</v>
      </c>
      <c r="B1846" t="s">
        <v>80</v>
      </c>
      <c r="C1846" t="s">
        <v>237</v>
      </c>
      <c r="D1846" s="14">
        <v>15</v>
      </c>
    </row>
    <row r="1847" spans="1:4" x14ac:dyDescent="0.35">
      <c r="A1847" s="13">
        <v>46326</v>
      </c>
      <c r="B1847" t="s">
        <v>80</v>
      </c>
      <c r="C1847" t="s">
        <v>238</v>
      </c>
      <c r="D1847" s="14">
        <v>20.100000000000001</v>
      </c>
    </row>
    <row r="1848" spans="1:4" x14ac:dyDescent="0.35">
      <c r="A1848" s="13">
        <v>46326</v>
      </c>
      <c r="B1848" t="s">
        <v>80</v>
      </c>
      <c r="C1848" t="s">
        <v>239</v>
      </c>
      <c r="D1848" s="14">
        <v>10.1</v>
      </c>
    </row>
    <row r="1849" spans="1:4" x14ac:dyDescent="0.35">
      <c r="A1849" s="13">
        <v>46326</v>
      </c>
      <c r="B1849" t="s">
        <v>80</v>
      </c>
      <c r="C1849" t="s">
        <v>240</v>
      </c>
      <c r="D1849" s="14">
        <v>22.2</v>
      </c>
    </row>
    <row r="1850" spans="1:4" x14ac:dyDescent="0.35">
      <c r="A1850" s="13">
        <v>46326</v>
      </c>
      <c r="B1850" t="s">
        <v>80</v>
      </c>
      <c r="C1850" t="s">
        <v>241</v>
      </c>
      <c r="D1850" s="14">
        <v>14</v>
      </c>
    </row>
    <row r="1851" spans="1:4" x14ac:dyDescent="0.35">
      <c r="A1851" s="13">
        <v>46326</v>
      </c>
      <c r="B1851" t="s">
        <v>80</v>
      </c>
      <c r="C1851" t="s">
        <v>242</v>
      </c>
      <c r="D1851" s="14">
        <v>31.9</v>
      </c>
    </row>
    <row r="1852" spans="1:4" x14ac:dyDescent="0.35">
      <c r="A1852" s="13">
        <v>46326</v>
      </c>
      <c r="B1852" t="s">
        <v>80</v>
      </c>
      <c r="C1852" t="s">
        <v>243</v>
      </c>
      <c r="D1852" s="14">
        <v>25.4</v>
      </c>
    </row>
    <row r="1853" spans="1:4" x14ac:dyDescent="0.35">
      <c r="A1853" s="13">
        <v>46326</v>
      </c>
      <c r="B1853" t="s">
        <v>80</v>
      </c>
      <c r="C1853" t="s">
        <v>244</v>
      </c>
      <c r="D1853" s="14">
        <v>17.600000000000001</v>
      </c>
    </row>
    <row r="1854" spans="1:4" x14ac:dyDescent="0.35">
      <c r="A1854" s="13">
        <v>46326</v>
      </c>
      <c r="B1854" t="s">
        <v>80</v>
      </c>
      <c r="C1854" t="s">
        <v>245</v>
      </c>
      <c r="D1854" s="14">
        <v>16.8</v>
      </c>
    </row>
    <row r="1855" spans="1:4" x14ac:dyDescent="0.35">
      <c r="A1855" s="13">
        <v>46326</v>
      </c>
      <c r="B1855" t="s">
        <v>80</v>
      </c>
      <c r="C1855" t="s">
        <v>246</v>
      </c>
      <c r="D1855" s="14">
        <v>17.5</v>
      </c>
    </row>
    <row r="1856" spans="1:4" x14ac:dyDescent="0.35">
      <c r="A1856" s="13">
        <v>46326</v>
      </c>
      <c r="B1856" t="s">
        <v>80</v>
      </c>
      <c r="C1856" t="s">
        <v>247</v>
      </c>
      <c r="D1856" s="14">
        <v>30.8</v>
      </c>
    </row>
    <row r="1857" spans="1:4" x14ac:dyDescent="0.35">
      <c r="A1857" s="13">
        <v>46326</v>
      </c>
      <c r="B1857" t="s">
        <v>82</v>
      </c>
      <c r="C1857" t="s">
        <v>248</v>
      </c>
      <c r="D1857" s="14">
        <v>25.3</v>
      </c>
    </row>
    <row r="1858" spans="1:4" x14ac:dyDescent="0.35">
      <c r="A1858" s="13">
        <v>46326</v>
      </c>
      <c r="B1858" t="s">
        <v>82</v>
      </c>
      <c r="C1858" t="s">
        <v>249</v>
      </c>
      <c r="D1858" s="14">
        <v>11.3</v>
      </c>
    </row>
    <row r="1859" spans="1:4" x14ac:dyDescent="0.35">
      <c r="A1859" s="13">
        <v>46326</v>
      </c>
      <c r="B1859" t="s">
        <v>82</v>
      </c>
      <c r="C1859" t="s">
        <v>250</v>
      </c>
      <c r="D1859" s="14">
        <v>17.899999999999999</v>
      </c>
    </row>
    <row r="1860" spans="1:4" x14ac:dyDescent="0.35">
      <c r="A1860" s="13">
        <v>46326</v>
      </c>
      <c r="B1860" t="s">
        <v>82</v>
      </c>
      <c r="C1860" t="s">
        <v>251</v>
      </c>
      <c r="D1860" s="14">
        <v>12.5</v>
      </c>
    </row>
    <row r="1861" spans="1:4" x14ac:dyDescent="0.35">
      <c r="A1861" s="13">
        <v>46326</v>
      </c>
      <c r="B1861" t="s">
        <v>82</v>
      </c>
      <c r="C1861" t="s">
        <v>252</v>
      </c>
      <c r="D1861" s="14">
        <v>11.3</v>
      </c>
    </row>
    <row r="1862" spans="1:4" x14ac:dyDescent="0.35">
      <c r="A1862" s="13">
        <v>46326</v>
      </c>
      <c r="B1862" t="s">
        <v>82</v>
      </c>
      <c r="C1862" t="s">
        <v>253</v>
      </c>
      <c r="D1862" s="14">
        <v>18.899999999999999</v>
      </c>
    </row>
    <row r="1863" spans="1:4" x14ac:dyDescent="0.35">
      <c r="A1863" s="13">
        <v>46326</v>
      </c>
      <c r="B1863" t="s">
        <v>82</v>
      </c>
      <c r="C1863" t="s">
        <v>254</v>
      </c>
      <c r="D1863" s="14">
        <v>9.4</v>
      </c>
    </row>
    <row r="1864" spans="1:4" x14ac:dyDescent="0.35">
      <c r="A1864" s="13">
        <v>46326</v>
      </c>
      <c r="B1864" t="s">
        <v>82</v>
      </c>
      <c r="C1864" t="s">
        <v>255</v>
      </c>
      <c r="D1864" s="14">
        <v>11.5</v>
      </c>
    </row>
    <row r="1865" spans="1:4" x14ac:dyDescent="0.35">
      <c r="A1865" s="13">
        <v>46326</v>
      </c>
      <c r="B1865" t="s">
        <v>82</v>
      </c>
      <c r="C1865" t="s">
        <v>256</v>
      </c>
      <c r="D1865" s="14">
        <v>20.399999999999999</v>
      </c>
    </row>
    <row r="1866" spans="1:4" x14ac:dyDescent="0.35">
      <c r="A1866" s="13">
        <v>46326</v>
      </c>
      <c r="B1866" t="s">
        <v>82</v>
      </c>
      <c r="C1866" t="s">
        <v>257</v>
      </c>
      <c r="D1866" s="14">
        <v>18.3</v>
      </c>
    </row>
    <row r="1867" spans="1:4" x14ac:dyDescent="0.35">
      <c r="A1867" s="13">
        <v>46326</v>
      </c>
      <c r="B1867" t="s">
        <v>82</v>
      </c>
      <c r="C1867" t="s">
        <v>258</v>
      </c>
      <c r="D1867" s="14">
        <v>26.1</v>
      </c>
    </row>
    <row r="1868" spans="1:4" x14ac:dyDescent="0.35">
      <c r="A1868" s="13">
        <v>46326</v>
      </c>
      <c r="B1868" t="s">
        <v>82</v>
      </c>
      <c r="C1868" t="s">
        <v>259</v>
      </c>
      <c r="D1868" s="14">
        <v>12.4</v>
      </c>
    </row>
    <row r="1869" spans="1:4" x14ac:dyDescent="0.35">
      <c r="A1869" s="13">
        <v>46326</v>
      </c>
      <c r="B1869" t="s">
        <v>82</v>
      </c>
      <c r="C1869" t="s">
        <v>260</v>
      </c>
      <c r="D1869" s="14">
        <v>12.5</v>
      </c>
    </row>
    <row r="1870" spans="1:4" x14ac:dyDescent="0.35">
      <c r="A1870" s="13">
        <v>46326</v>
      </c>
      <c r="B1870" t="s">
        <v>82</v>
      </c>
      <c r="C1870" t="s">
        <v>261</v>
      </c>
      <c r="D1870" s="14">
        <v>18.2</v>
      </c>
    </row>
    <row r="1871" spans="1:4" x14ac:dyDescent="0.35">
      <c r="A1871" s="13">
        <v>46326</v>
      </c>
      <c r="B1871" t="s">
        <v>82</v>
      </c>
      <c r="C1871" t="s">
        <v>262</v>
      </c>
      <c r="D1871" s="14">
        <v>24.7</v>
      </c>
    </row>
    <row r="1872" spans="1:4" x14ac:dyDescent="0.35">
      <c r="A1872" s="13">
        <v>46326</v>
      </c>
      <c r="B1872" t="s">
        <v>82</v>
      </c>
      <c r="C1872" t="s">
        <v>263</v>
      </c>
      <c r="D1872" s="14">
        <v>10.9</v>
      </c>
    </row>
    <row r="1873" spans="1:4" x14ac:dyDescent="0.35">
      <c r="A1873" s="13">
        <v>46326</v>
      </c>
      <c r="B1873" t="s">
        <v>82</v>
      </c>
      <c r="C1873" t="s">
        <v>264</v>
      </c>
      <c r="D1873" s="14">
        <v>27.6</v>
      </c>
    </row>
    <row r="1874" spans="1:4" x14ac:dyDescent="0.35">
      <c r="A1874" s="13">
        <v>46326</v>
      </c>
      <c r="B1874" t="s">
        <v>82</v>
      </c>
      <c r="C1874" t="s">
        <v>265</v>
      </c>
      <c r="D1874" s="14">
        <v>18.8</v>
      </c>
    </row>
    <row r="1875" spans="1:4" x14ac:dyDescent="0.35">
      <c r="A1875" s="13">
        <v>46326</v>
      </c>
      <c r="B1875" t="s">
        <v>85</v>
      </c>
      <c r="C1875" t="s">
        <v>266</v>
      </c>
      <c r="D1875" s="14">
        <v>12.2</v>
      </c>
    </row>
    <row r="1876" spans="1:4" x14ac:dyDescent="0.35">
      <c r="A1876" s="13">
        <v>46326</v>
      </c>
      <c r="B1876" t="s">
        <v>85</v>
      </c>
      <c r="C1876" t="s">
        <v>267</v>
      </c>
      <c r="D1876" s="14">
        <v>7.6</v>
      </c>
    </row>
    <row r="1877" spans="1:4" x14ac:dyDescent="0.35">
      <c r="A1877" s="13">
        <v>46326</v>
      </c>
      <c r="B1877" t="s">
        <v>85</v>
      </c>
      <c r="C1877" t="s">
        <v>268</v>
      </c>
      <c r="D1877" s="14">
        <v>24</v>
      </c>
    </row>
    <row r="1878" spans="1:4" x14ac:dyDescent="0.35">
      <c r="A1878" s="13">
        <v>46326</v>
      </c>
      <c r="B1878" t="s">
        <v>85</v>
      </c>
      <c r="C1878" t="s">
        <v>269</v>
      </c>
      <c r="D1878" s="14">
        <v>24.3</v>
      </c>
    </row>
    <row r="1879" spans="1:4" x14ac:dyDescent="0.35">
      <c r="A1879" s="13">
        <v>46326</v>
      </c>
      <c r="B1879" t="s">
        <v>85</v>
      </c>
      <c r="C1879" t="s">
        <v>270</v>
      </c>
      <c r="D1879" s="14">
        <v>20.100000000000001</v>
      </c>
    </row>
    <row r="1880" spans="1:4" x14ac:dyDescent="0.35">
      <c r="A1880" s="13">
        <v>46326</v>
      </c>
      <c r="B1880" t="s">
        <v>85</v>
      </c>
      <c r="C1880" t="s">
        <v>271</v>
      </c>
      <c r="D1880" s="14">
        <v>14.7</v>
      </c>
    </row>
    <row r="1881" spans="1:4" x14ac:dyDescent="0.35">
      <c r="A1881" s="13">
        <v>46326</v>
      </c>
      <c r="B1881" t="s">
        <v>85</v>
      </c>
      <c r="C1881" t="s">
        <v>272</v>
      </c>
      <c r="D1881" s="14">
        <v>20.3</v>
      </c>
    </row>
    <row r="1882" spans="1:4" x14ac:dyDescent="0.35">
      <c r="A1882" s="13">
        <v>46326</v>
      </c>
      <c r="B1882" t="s">
        <v>85</v>
      </c>
      <c r="C1882" t="s">
        <v>273</v>
      </c>
      <c r="D1882" s="14">
        <v>10.1</v>
      </c>
    </row>
    <row r="1883" spans="1:4" x14ac:dyDescent="0.35">
      <c r="A1883" s="13">
        <v>46326</v>
      </c>
      <c r="B1883" t="s">
        <v>85</v>
      </c>
      <c r="C1883" t="s">
        <v>274</v>
      </c>
      <c r="D1883" s="14">
        <v>9.5</v>
      </c>
    </row>
    <row r="1884" spans="1:4" x14ac:dyDescent="0.35">
      <c r="A1884" s="13">
        <v>46326</v>
      </c>
      <c r="B1884" t="s">
        <v>85</v>
      </c>
      <c r="C1884" t="s">
        <v>275</v>
      </c>
      <c r="D1884" s="14">
        <v>18.600000000000001</v>
      </c>
    </row>
    <row r="1885" spans="1:4" x14ac:dyDescent="0.35">
      <c r="A1885" s="13">
        <v>46326</v>
      </c>
      <c r="B1885" t="s">
        <v>85</v>
      </c>
      <c r="C1885" t="s">
        <v>276</v>
      </c>
      <c r="D1885" s="14">
        <v>12.5</v>
      </c>
    </row>
    <row r="1886" spans="1:4" x14ac:dyDescent="0.35">
      <c r="A1886" s="13">
        <v>46326</v>
      </c>
      <c r="B1886" t="s">
        <v>85</v>
      </c>
      <c r="C1886" t="s">
        <v>277</v>
      </c>
      <c r="D1886" s="14">
        <v>15.4</v>
      </c>
    </row>
    <row r="1887" spans="1:4" x14ac:dyDescent="0.35">
      <c r="A1887" s="13">
        <v>46326</v>
      </c>
      <c r="B1887" t="s">
        <v>85</v>
      </c>
      <c r="C1887" t="s">
        <v>278</v>
      </c>
      <c r="D1887" s="14">
        <v>18.2</v>
      </c>
    </row>
    <row r="1888" spans="1:4" x14ac:dyDescent="0.35">
      <c r="A1888" s="13">
        <v>46326</v>
      </c>
      <c r="B1888" t="s">
        <v>85</v>
      </c>
      <c r="C1888" t="s">
        <v>279</v>
      </c>
      <c r="D1888" s="14">
        <v>12.3</v>
      </c>
    </row>
    <row r="1889" spans="1:4" x14ac:dyDescent="0.35">
      <c r="A1889" s="13">
        <v>46326</v>
      </c>
      <c r="B1889" t="s">
        <v>85</v>
      </c>
      <c r="C1889" t="s">
        <v>280</v>
      </c>
      <c r="D1889" s="14">
        <v>16.3</v>
      </c>
    </row>
    <row r="1890" spans="1:4" x14ac:dyDescent="0.35">
      <c r="A1890" s="13">
        <v>46326</v>
      </c>
      <c r="B1890" t="s">
        <v>85</v>
      </c>
      <c r="C1890" t="s">
        <v>281</v>
      </c>
      <c r="D1890" s="14">
        <v>13.3</v>
      </c>
    </row>
    <row r="1891" spans="1:4" x14ac:dyDescent="0.35">
      <c r="A1891" s="13">
        <v>46326</v>
      </c>
      <c r="B1891" t="s">
        <v>87</v>
      </c>
      <c r="C1891" t="s">
        <v>282</v>
      </c>
      <c r="D1891" s="14">
        <v>8.6</v>
      </c>
    </row>
    <row r="1892" spans="1:4" x14ac:dyDescent="0.35">
      <c r="A1892" s="13">
        <v>46326</v>
      </c>
      <c r="B1892" t="s">
        <v>87</v>
      </c>
      <c r="C1892" t="s">
        <v>283</v>
      </c>
      <c r="D1892" s="14">
        <v>16.3</v>
      </c>
    </row>
    <row r="1893" spans="1:4" x14ac:dyDescent="0.35">
      <c r="A1893" s="13">
        <v>46326</v>
      </c>
      <c r="B1893" t="s">
        <v>87</v>
      </c>
      <c r="C1893" t="s">
        <v>284</v>
      </c>
      <c r="D1893" s="14">
        <v>14</v>
      </c>
    </row>
    <row r="1894" spans="1:4" x14ac:dyDescent="0.35">
      <c r="A1894" s="13">
        <v>46326</v>
      </c>
      <c r="B1894" t="s">
        <v>87</v>
      </c>
      <c r="C1894" t="s">
        <v>285</v>
      </c>
      <c r="D1894" s="14">
        <v>20.2</v>
      </c>
    </row>
    <row r="1895" spans="1:4" x14ac:dyDescent="0.35">
      <c r="A1895" s="13">
        <v>46326</v>
      </c>
      <c r="B1895" t="s">
        <v>87</v>
      </c>
      <c r="C1895" t="s">
        <v>286</v>
      </c>
      <c r="D1895" s="14">
        <v>14.5</v>
      </c>
    </row>
    <row r="1896" spans="1:4" x14ac:dyDescent="0.35">
      <c r="A1896" s="13">
        <v>46326</v>
      </c>
      <c r="B1896" t="s">
        <v>87</v>
      </c>
      <c r="C1896" t="s">
        <v>287</v>
      </c>
      <c r="D1896" s="14">
        <v>18.7</v>
      </c>
    </row>
    <row r="1897" spans="1:4" x14ac:dyDescent="0.35">
      <c r="A1897" s="13">
        <v>46326</v>
      </c>
      <c r="B1897" t="s">
        <v>87</v>
      </c>
      <c r="C1897" t="s">
        <v>288</v>
      </c>
      <c r="D1897" s="14">
        <v>11.8</v>
      </c>
    </row>
    <row r="1898" spans="1:4" x14ac:dyDescent="0.35">
      <c r="A1898" s="13">
        <v>46326</v>
      </c>
      <c r="B1898" t="s">
        <v>87</v>
      </c>
      <c r="C1898" t="s">
        <v>289</v>
      </c>
      <c r="D1898" s="14">
        <v>12.8</v>
      </c>
    </row>
    <row r="1899" spans="1:4" x14ac:dyDescent="0.35">
      <c r="A1899" s="13">
        <v>46326</v>
      </c>
      <c r="B1899" t="s">
        <v>87</v>
      </c>
      <c r="C1899" t="s">
        <v>290</v>
      </c>
      <c r="D1899" s="14">
        <v>19.3</v>
      </c>
    </row>
    <row r="1900" spans="1:4" x14ac:dyDescent="0.35">
      <c r="A1900" s="13">
        <v>46326</v>
      </c>
      <c r="B1900" t="s">
        <v>87</v>
      </c>
      <c r="C1900" t="s">
        <v>291</v>
      </c>
      <c r="D1900" s="14">
        <v>14.9</v>
      </c>
    </row>
    <row r="1901" spans="1:4" x14ac:dyDescent="0.35">
      <c r="A1901" s="13">
        <v>46326</v>
      </c>
      <c r="B1901" t="s">
        <v>87</v>
      </c>
      <c r="C1901" t="s">
        <v>292</v>
      </c>
      <c r="D1901" s="14">
        <v>12.5</v>
      </c>
    </row>
    <row r="1902" spans="1:4" x14ac:dyDescent="0.35">
      <c r="A1902" s="13">
        <v>46326</v>
      </c>
      <c r="B1902" t="s">
        <v>87</v>
      </c>
      <c r="C1902" t="s">
        <v>293</v>
      </c>
      <c r="D1902" s="14">
        <v>11.6</v>
      </c>
    </row>
    <row r="1903" spans="1:4" x14ac:dyDescent="0.35">
      <c r="A1903" s="13">
        <v>46326</v>
      </c>
      <c r="B1903" t="s">
        <v>87</v>
      </c>
      <c r="C1903" t="s">
        <v>294</v>
      </c>
      <c r="D1903" s="14">
        <v>11.4</v>
      </c>
    </row>
    <row r="1904" spans="1:4" x14ac:dyDescent="0.35">
      <c r="A1904" s="13">
        <v>46326</v>
      </c>
      <c r="B1904" t="s">
        <v>87</v>
      </c>
      <c r="C1904" t="s">
        <v>295</v>
      </c>
      <c r="D1904" s="14">
        <v>14.2</v>
      </c>
    </row>
    <row r="1905" spans="1:4" x14ac:dyDescent="0.35">
      <c r="A1905" s="13">
        <v>46326</v>
      </c>
      <c r="B1905" t="s">
        <v>87</v>
      </c>
      <c r="C1905" t="s">
        <v>296</v>
      </c>
      <c r="D1905" s="14">
        <v>21.4</v>
      </c>
    </row>
    <row r="1906" spans="1:4" x14ac:dyDescent="0.35">
      <c r="A1906" s="13">
        <v>46326</v>
      </c>
      <c r="B1906" t="s">
        <v>87</v>
      </c>
      <c r="C1906" t="s">
        <v>297</v>
      </c>
      <c r="D1906" s="14">
        <v>15.5</v>
      </c>
    </row>
    <row r="1907" spans="1:4" x14ac:dyDescent="0.35">
      <c r="A1907" s="13">
        <v>46326</v>
      </c>
      <c r="B1907" t="s">
        <v>77</v>
      </c>
      <c r="C1907" t="s">
        <v>298</v>
      </c>
      <c r="D1907" s="14">
        <v>15</v>
      </c>
    </row>
    <row r="1908" spans="1:4" x14ac:dyDescent="0.35">
      <c r="A1908" s="13">
        <v>46326</v>
      </c>
      <c r="B1908" t="s">
        <v>85</v>
      </c>
      <c r="C1908" t="s">
        <v>299</v>
      </c>
      <c r="D1908" s="14">
        <v>10.6</v>
      </c>
    </row>
    <row r="1909" spans="1:4" x14ac:dyDescent="0.35">
      <c r="A1909" s="13">
        <v>46333</v>
      </c>
      <c r="B1909" t="s">
        <v>70</v>
      </c>
      <c r="C1909" t="s">
        <v>155</v>
      </c>
      <c r="D1909" s="14">
        <v>29.7</v>
      </c>
    </row>
    <row r="1910" spans="1:4" x14ac:dyDescent="0.35">
      <c r="A1910" s="13">
        <v>46333</v>
      </c>
      <c r="B1910" t="s">
        <v>70</v>
      </c>
      <c r="C1910" t="s">
        <v>158</v>
      </c>
      <c r="D1910" s="14">
        <v>25.7</v>
      </c>
    </row>
    <row r="1911" spans="1:4" x14ac:dyDescent="0.35">
      <c r="A1911" s="13">
        <v>46333</v>
      </c>
      <c r="B1911" t="s">
        <v>70</v>
      </c>
      <c r="C1911" t="s">
        <v>159</v>
      </c>
      <c r="D1911" s="14">
        <v>19.5</v>
      </c>
    </row>
    <row r="1912" spans="1:4" x14ac:dyDescent="0.35">
      <c r="A1912" s="13">
        <v>46333</v>
      </c>
      <c r="B1912" t="s">
        <v>70</v>
      </c>
      <c r="C1912" t="s">
        <v>162</v>
      </c>
      <c r="D1912" s="14">
        <v>28.1</v>
      </c>
    </row>
    <row r="1913" spans="1:4" x14ac:dyDescent="0.35">
      <c r="A1913" s="13">
        <v>46333</v>
      </c>
      <c r="B1913" t="s">
        <v>70</v>
      </c>
      <c r="C1913" t="s">
        <v>164</v>
      </c>
      <c r="D1913" s="14">
        <v>12.3</v>
      </c>
    </row>
    <row r="1914" spans="1:4" x14ac:dyDescent="0.35">
      <c r="A1914" s="13">
        <v>46333</v>
      </c>
      <c r="B1914" t="s">
        <v>70</v>
      </c>
      <c r="C1914" t="s">
        <v>167</v>
      </c>
      <c r="D1914" s="14">
        <v>15.7</v>
      </c>
    </row>
    <row r="1915" spans="1:4" x14ac:dyDescent="0.35">
      <c r="A1915" s="13">
        <v>46333</v>
      </c>
      <c r="B1915" t="s">
        <v>70</v>
      </c>
      <c r="C1915" t="s">
        <v>169</v>
      </c>
      <c r="D1915" s="14">
        <v>11.8</v>
      </c>
    </row>
    <row r="1916" spans="1:4" x14ac:dyDescent="0.35">
      <c r="A1916" s="13">
        <v>46333</v>
      </c>
      <c r="B1916" t="s">
        <v>70</v>
      </c>
      <c r="C1916" t="s">
        <v>170</v>
      </c>
      <c r="D1916" s="14">
        <v>23.2</v>
      </c>
    </row>
    <row r="1917" spans="1:4" x14ac:dyDescent="0.35">
      <c r="A1917" s="13">
        <v>46333</v>
      </c>
      <c r="B1917" t="s">
        <v>70</v>
      </c>
      <c r="C1917" t="s">
        <v>171</v>
      </c>
      <c r="D1917" s="14">
        <v>18.399999999999999</v>
      </c>
    </row>
    <row r="1918" spans="1:4" x14ac:dyDescent="0.35">
      <c r="A1918" s="13">
        <v>46333</v>
      </c>
      <c r="B1918" t="s">
        <v>70</v>
      </c>
      <c r="C1918" t="s">
        <v>172</v>
      </c>
      <c r="D1918" s="14">
        <v>11.9</v>
      </c>
    </row>
    <row r="1919" spans="1:4" x14ac:dyDescent="0.35">
      <c r="A1919" s="13">
        <v>46333</v>
      </c>
      <c r="B1919" t="s">
        <v>70</v>
      </c>
      <c r="C1919" t="s">
        <v>173</v>
      </c>
      <c r="D1919" s="14">
        <v>21.7</v>
      </c>
    </row>
    <row r="1920" spans="1:4" x14ac:dyDescent="0.35">
      <c r="A1920" s="13">
        <v>46333</v>
      </c>
      <c r="B1920" t="s">
        <v>70</v>
      </c>
      <c r="C1920" t="s">
        <v>174</v>
      </c>
      <c r="D1920" s="14">
        <v>26.4</v>
      </c>
    </row>
    <row r="1921" spans="1:4" x14ac:dyDescent="0.35">
      <c r="A1921" s="13">
        <v>46333</v>
      </c>
      <c r="B1921" t="s">
        <v>70</v>
      </c>
      <c r="C1921" t="s">
        <v>175</v>
      </c>
      <c r="D1921" s="14">
        <v>18.2</v>
      </c>
    </row>
    <row r="1922" spans="1:4" x14ac:dyDescent="0.35">
      <c r="A1922" s="13">
        <v>46333</v>
      </c>
      <c r="B1922" t="s">
        <v>70</v>
      </c>
      <c r="C1922" t="s">
        <v>176</v>
      </c>
      <c r="D1922" s="14">
        <v>14.2</v>
      </c>
    </row>
    <row r="1923" spans="1:4" x14ac:dyDescent="0.35">
      <c r="A1923" s="13">
        <v>46333</v>
      </c>
      <c r="B1923" t="s">
        <v>73</v>
      </c>
      <c r="C1923" t="s">
        <v>177</v>
      </c>
      <c r="D1923" s="14">
        <v>15.1</v>
      </c>
    </row>
    <row r="1924" spans="1:4" x14ac:dyDescent="0.35">
      <c r="A1924" s="13">
        <v>46333</v>
      </c>
      <c r="B1924" t="s">
        <v>73</v>
      </c>
      <c r="C1924" t="s">
        <v>178</v>
      </c>
      <c r="D1924" s="14">
        <v>13.1</v>
      </c>
    </row>
    <row r="1925" spans="1:4" x14ac:dyDescent="0.35">
      <c r="A1925" s="13">
        <v>46333</v>
      </c>
      <c r="B1925" t="s">
        <v>73</v>
      </c>
      <c r="C1925" t="s">
        <v>179</v>
      </c>
      <c r="D1925" s="14">
        <v>19.399999999999999</v>
      </c>
    </row>
    <row r="1926" spans="1:4" x14ac:dyDescent="0.35">
      <c r="A1926" s="13">
        <v>46333</v>
      </c>
      <c r="B1926" t="s">
        <v>73</v>
      </c>
      <c r="C1926" t="s">
        <v>180</v>
      </c>
      <c r="D1926" s="14">
        <v>10.9</v>
      </c>
    </row>
    <row r="1927" spans="1:4" x14ac:dyDescent="0.35">
      <c r="A1927" s="13">
        <v>46333</v>
      </c>
      <c r="B1927" t="s">
        <v>73</v>
      </c>
      <c r="C1927" t="s">
        <v>181</v>
      </c>
      <c r="D1927" s="14">
        <v>12.4</v>
      </c>
    </row>
    <row r="1928" spans="1:4" x14ac:dyDescent="0.35">
      <c r="A1928" s="13">
        <v>46333</v>
      </c>
      <c r="B1928" t="s">
        <v>73</v>
      </c>
      <c r="C1928" t="s">
        <v>182</v>
      </c>
      <c r="D1928" s="14">
        <v>16.2</v>
      </c>
    </row>
    <row r="1929" spans="1:4" x14ac:dyDescent="0.35">
      <c r="A1929" s="13">
        <v>46333</v>
      </c>
      <c r="B1929" t="s">
        <v>73</v>
      </c>
      <c r="C1929" t="s">
        <v>183</v>
      </c>
      <c r="D1929" s="14">
        <v>24.3</v>
      </c>
    </row>
    <row r="1930" spans="1:4" x14ac:dyDescent="0.35">
      <c r="A1930" s="13">
        <v>46333</v>
      </c>
      <c r="B1930" t="s">
        <v>73</v>
      </c>
      <c r="C1930" t="s">
        <v>184</v>
      </c>
      <c r="D1930" s="14">
        <v>19.3</v>
      </c>
    </row>
    <row r="1931" spans="1:4" x14ac:dyDescent="0.35">
      <c r="A1931" s="13">
        <v>46333</v>
      </c>
      <c r="B1931" t="s">
        <v>73</v>
      </c>
      <c r="C1931" t="s">
        <v>185</v>
      </c>
      <c r="D1931" s="14">
        <v>12.2</v>
      </c>
    </row>
    <row r="1932" spans="1:4" x14ac:dyDescent="0.35">
      <c r="A1932" s="13">
        <v>46333</v>
      </c>
      <c r="B1932" t="s">
        <v>73</v>
      </c>
      <c r="C1932" t="s">
        <v>186</v>
      </c>
      <c r="D1932" s="14">
        <v>17.600000000000001</v>
      </c>
    </row>
    <row r="1933" spans="1:4" x14ac:dyDescent="0.35">
      <c r="A1933" s="13">
        <v>46333</v>
      </c>
      <c r="B1933" t="s">
        <v>73</v>
      </c>
      <c r="C1933" t="s">
        <v>187</v>
      </c>
      <c r="D1933" s="14">
        <v>9.5</v>
      </c>
    </row>
    <row r="1934" spans="1:4" x14ac:dyDescent="0.35">
      <c r="A1934" s="13">
        <v>46333</v>
      </c>
      <c r="B1934" t="s">
        <v>73</v>
      </c>
      <c r="C1934" t="s">
        <v>189</v>
      </c>
      <c r="D1934" s="14">
        <v>13.1</v>
      </c>
    </row>
    <row r="1935" spans="1:4" x14ac:dyDescent="0.35">
      <c r="A1935" s="13">
        <v>46333</v>
      </c>
      <c r="B1935" t="s">
        <v>73</v>
      </c>
      <c r="C1935" t="s">
        <v>190</v>
      </c>
      <c r="D1935" s="14">
        <v>15.2</v>
      </c>
    </row>
    <row r="1936" spans="1:4" x14ac:dyDescent="0.35">
      <c r="A1936" s="13">
        <v>46333</v>
      </c>
      <c r="B1936" t="s">
        <v>73</v>
      </c>
      <c r="C1936" t="s">
        <v>191</v>
      </c>
      <c r="D1936" s="14">
        <v>14.4</v>
      </c>
    </row>
    <row r="1937" spans="1:4" x14ac:dyDescent="0.35">
      <c r="A1937" s="13">
        <v>46333</v>
      </c>
      <c r="B1937" t="s">
        <v>73</v>
      </c>
      <c r="C1937" t="s">
        <v>192</v>
      </c>
      <c r="D1937" s="14">
        <v>9.1</v>
      </c>
    </row>
    <row r="1938" spans="1:4" x14ac:dyDescent="0.35">
      <c r="A1938" s="13">
        <v>46333</v>
      </c>
      <c r="B1938" t="s">
        <v>73</v>
      </c>
      <c r="C1938" t="s">
        <v>193</v>
      </c>
      <c r="D1938" s="14">
        <v>18.100000000000001</v>
      </c>
    </row>
    <row r="1939" spans="1:4" x14ac:dyDescent="0.35">
      <c r="A1939" s="13">
        <v>46333</v>
      </c>
      <c r="B1939" t="s">
        <v>73</v>
      </c>
      <c r="C1939" t="s">
        <v>194</v>
      </c>
      <c r="D1939" s="14">
        <v>11.6</v>
      </c>
    </row>
    <row r="1940" spans="1:4" x14ac:dyDescent="0.35">
      <c r="A1940" s="13">
        <v>46333</v>
      </c>
      <c r="B1940" t="s">
        <v>73</v>
      </c>
      <c r="C1940" t="s">
        <v>195</v>
      </c>
      <c r="D1940" s="14">
        <v>18.3</v>
      </c>
    </row>
    <row r="1941" spans="1:4" x14ac:dyDescent="0.35">
      <c r="A1941" s="13">
        <v>46333</v>
      </c>
      <c r="B1941" t="s">
        <v>73</v>
      </c>
      <c r="C1941" t="s">
        <v>196</v>
      </c>
      <c r="D1941" s="14">
        <v>9.9</v>
      </c>
    </row>
    <row r="1942" spans="1:4" x14ac:dyDescent="0.35">
      <c r="A1942" s="13">
        <v>46333</v>
      </c>
      <c r="B1942" t="s">
        <v>3</v>
      </c>
      <c r="C1942" t="s">
        <v>197</v>
      </c>
      <c r="D1942" s="14">
        <v>16.2</v>
      </c>
    </row>
    <row r="1943" spans="1:4" x14ac:dyDescent="0.35">
      <c r="A1943" s="13">
        <v>46333</v>
      </c>
      <c r="B1943" t="s">
        <v>3</v>
      </c>
      <c r="C1943" t="s">
        <v>198</v>
      </c>
      <c r="D1943" s="14">
        <v>14.3</v>
      </c>
    </row>
    <row r="1944" spans="1:4" x14ac:dyDescent="0.35">
      <c r="A1944" s="13">
        <v>46333</v>
      </c>
      <c r="B1944" t="s">
        <v>3</v>
      </c>
      <c r="C1944" t="s">
        <v>199</v>
      </c>
      <c r="D1944" s="14">
        <v>22.1</v>
      </c>
    </row>
    <row r="1945" spans="1:4" x14ac:dyDescent="0.35">
      <c r="A1945" s="13">
        <v>46333</v>
      </c>
      <c r="B1945" t="s">
        <v>3</v>
      </c>
      <c r="C1945" t="s">
        <v>200</v>
      </c>
      <c r="D1945" s="14">
        <v>15.9</v>
      </c>
    </row>
    <row r="1946" spans="1:4" x14ac:dyDescent="0.35">
      <c r="A1946" s="13">
        <v>46333</v>
      </c>
      <c r="B1946" t="s">
        <v>3</v>
      </c>
      <c r="C1946" t="s">
        <v>201</v>
      </c>
      <c r="D1946" s="14">
        <v>25.3</v>
      </c>
    </row>
    <row r="1947" spans="1:4" x14ac:dyDescent="0.35">
      <c r="A1947" s="13">
        <v>46333</v>
      </c>
      <c r="B1947" t="s">
        <v>3</v>
      </c>
      <c r="C1947" t="s">
        <v>202</v>
      </c>
      <c r="D1947" s="14">
        <v>10.3</v>
      </c>
    </row>
    <row r="1948" spans="1:4" x14ac:dyDescent="0.35">
      <c r="A1948" s="13">
        <v>46333</v>
      </c>
      <c r="B1948" t="s">
        <v>3</v>
      </c>
      <c r="C1948" t="s">
        <v>203</v>
      </c>
      <c r="D1948" s="14">
        <v>17.399999999999999</v>
      </c>
    </row>
    <row r="1949" spans="1:4" x14ac:dyDescent="0.35">
      <c r="A1949" s="13">
        <v>46333</v>
      </c>
      <c r="B1949" t="s">
        <v>3</v>
      </c>
      <c r="C1949" t="s">
        <v>204</v>
      </c>
      <c r="D1949" s="14">
        <v>9.9</v>
      </c>
    </row>
    <row r="1950" spans="1:4" x14ac:dyDescent="0.35">
      <c r="A1950" s="13">
        <v>46333</v>
      </c>
      <c r="B1950" t="s">
        <v>3</v>
      </c>
      <c r="C1950" t="s">
        <v>205</v>
      </c>
      <c r="D1950" s="14">
        <v>28.2</v>
      </c>
    </row>
    <row r="1951" spans="1:4" x14ac:dyDescent="0.35">
      <c r="A1951" s="13">
        <v>46333</v>
      </c>
      <c r="B1951" t="s">
        <v>3</v>
      </c>
      <c r="C1951" t="s">
        <v>206</v>
      </c>
      <c r="D1951" s="14">
        <v>26.6</v>
      </c>
    </row>
    <row r="1952" spans="1:4" x14ac:dyDescent="0.35">
      <c r="A1952" s="13">
        <v>46333</v>
      </c>
      <c r="B1952" t="s">
        <v>3</v>
      </c>
      <c r="C1952" t="s">
        <v>207</v>
      </c>
      <c r="D1952" s="14">
        <v>27</v>
      </c>
    </row>
    <row r="1953" spans="1:4" x14ac:dyDescent="0.35">
      <c r="A1953" s="13">
        <v>46333</v>
      </c>
      <c r="B1953" t="s">
        <v>3</v>
      </c>
      <c r="C1953" t="s">
        <v>208</v>
      </c>
      <c r="D1953" s="14">
        <v>26</v>
      </c>
    </row>
    <row r="1954" spans="1:4" x14ac:dyDescent="0.35">
      <c r="A1954" s="13">
        <v>46333</v>
      </c>
      <c r="B1954" t="s">
        <v>3</v>
      </c>
      <c r="C1954" t="s">
        <v>209</v>
      </c>
      <c r="D1954" s="14">
        <v>24.6</v>
      </c>
    </row>
    <row r="1955" spans="1:4" x14ac:dyDescent="0.35">
      <c r="A1955" s="13">
        <v>46333</v>
      </c>
      <c r="B1955" t="s">
        <v>3</v>
      </c>
      <c r="C1955" t="s">
        <v>210</v>
      </c>
      <c r="D1955" s="14">
        <v>15.7</v>
      </c>
    </row>
    <row r="1956" spans="1:4" x14ac:dyDescent="0.35">
      <c r="A1956" s="13">
        <v>46333</v>
      </c>
      <c r="B1956" t="s">
        <v>3</v>
      </c>
      <c r="C1956" t="s">
        <v>211</v>
      </c>
      <c r="D1956" s="14">
        <v>17.3</v>
      </c>
    </row>
    <row r="1957" spans="1:4" x14ac:dyDescent="0.35">
      <c r="A1957" s="13">
        <v>46333</v>
      </c>
      <c r="B1957" t="s">
        <v>3</v>
      </c>
      <c r="C1957" t="s">
        <v>212</v>
      </c>
      <c r="D1957" s="14">
        <v>24.3</v>
      </c>
    </row>
    <row r="1958" spans="1:4" x14ac:dyDescent="0.35">
      <c r="A1958" s="13">
        <v>46333</v>
      </c>
      <c r="B1958" t="s">
        <v>3</v>
      </c>
      <c r="C1958" t="s">
        <v>213</v>
      </c>
      <c r="D1958" s="14">
        <v>14.1</v>
      </c>
    </row>
    <row r="1959" spans="1:4" x14ac:dyDescent="0.35">
      <c r="A1959" s="13">
        <v>46333</v>
      </c>
      <c r="B1959" t="s">
        <v>3</v>
      </c>
      <c r="C1959" t="s">
        <v>214</v>
      </c>
      <c r="D1959" s="14">
        <v>16.8</v>
      </c>
    </row>
    <row r="1960" spans="1:4" x14ac:dyDescent="0.35">
      <c r="A1960" s="13">
        <v>46333</v>
      </c>
      <c r="B1960" t="s">
        <v>3</v>
      </c>
      <c r="C1960" t="s">
        <v>215</v>
      </c>
      <c r="D1960" s="14">
        <v>12.1</v>
      </c>
    </row>
    <row r="1961" spans="1:4" x14ac:dyDescent="0.35">
      <c r="A1961" s="13">
        <v>46333</v>
      </c>
      <c r="B1961" t="s">
        <v>77</v>
      </c>
      <c r="C1961" t="s">
        <v>216</v>
      </c>
      <c r="D1961" s="14">
        <v>14.6</v>
      </c>
    </row>
    <row r="1962" spans="1:4" x14ac:dyDescent="0.35">
      <c r="A1962" s="13">
        <v>46333</v>
      </c>
      <c r="B1962" t="s">
        <v>77</v>
      </c>
      <c r="C1962" t="s">
        <v>217</v>
      </c>
      <c r="D1962" s="14">
        <v>16.600000000000001</v>
      </c>
    </row>
    <row r="1963" spans="1:4" x14ac:dyDescent="0.35">
      <c r="A1963" s="13">
        <v>46333</v>
      </c>
      <c r="B1963" t="s">
        <v>77</v>
      </c>
      <c r="C1963" t="s">
        <v>218</v>
      </c>
      <c r="D1963" s="14">
        <v>16.7</v>
      </c>
    </row>
    <row r="1964" spans="1:4" x14ac:dyDescent="0.35">
      <c r="A1964" s="13">
        <v>46333</v>
      </c>
      <c r="B1964" t="s">
        <v>77</v>
      </c>
      <c r="C1964" t="s">
        <v>219</v>
      </c>
      <c r="D1964" s="14">
        <v>9.6</v>
      </c>
    </row>
    <row r="1965" spans="1:4" x14ac:dyDescent="0.35">
      <c r="A1965" s="13">
        <v>46333</v>
      </c>
      <c r="B1965" t="s">
        <v>77</v>
      </c>
      <c r="C1965" t="s">
        <v>220</v>
      </c>
      <c r="D1965" s="14">
        <v>14.4</v>
      </c>
    </row>
    <row r="1966" spans="1:4" x14ac:dyDescent="0.35">
      <c r="A1966" s="13">
        <v>46333</v>
      </c>
      <c r="B1966" t="s">
        <v>77</v>
      </c>
      <c r="C1966" t="s">
        <v>221</v>
      </c>
      <c r="D1966" s="14">
        <v>34.6</v>
      </c>
    </row>
    <row r="1967" spans="1:4" x14ac:dyDescent="0.35">
      <c r="A1967" s="13">
        <v>46333</v>
      </c>
      <c r="B1967" t="s">
        <v>77</v>
      </c>
      <c r="C1967" t="s">
        <v>222</v>
      </c>
      <c r="D1967" s="14">
        <v>15.7</v>
      </c>
    </row>
    <row r="1968" spans="1:4" x14ac:dyDescent="0.35">
      <c r="A1968" s="13">
        <v>46333</v>
      </c>
      <c r="B1968" t="s">
        <v>77</v>
      </c>
      <c r="C1968" t="s">
        <v>223</v>
      </c>
      <c r="D1968" s="14">
        <v>22.7</v>
      </c>
    </row>
    <row r="1969" spans="1:4" x14ac:dyDescent="0.35">
      <c r="A1969" s="13">
        <v>46333</v>
      </c>
      <c r="B1969" t="s">
        <v>77</v>
      </c>
      <c r="C1969" t="s">
        <v>224</v>
      </c>
      <c r="D1969" s="14">
        <v>16.2</v>
      </c>
    </row>
    <row r="1970" spans="1:4" x14ac:dyDescent="0.35">
      <c r="A1970" s="13">
        <v>46333</v>
      </c>
      <c r="B1970" t="s">
        <v>77</v>
      </c>
      <c r="C1970" t="s">
        <v>225</v>
      </c>
      <c r="D1970" s="14">
        <v>13.5</v>
      </c>
    </row>
    <row r="1971" spans="1:4" x14ac:dyDescent="0.35">
      <c r="A1971" s="13">
        <v>46333</v>
      </c>
      <c r="B1971" t="s">
        <v>77</v>
      </c>
      <c r="C1971" t="s">
        <v>226</v>
      </c>
      <c r="D1971" s="14">
        <v>22.6</v>
      </c>
    </row>
    <row r="1972" spans="1:4" x14ac:dyDescent="0.35">
      <c r="A1972" s="13">
        <v>46333</v>
      </c>
      <c r="B1972" t="s">
        <v>77</v>
      </c>
      <c r="C1972" t="s">
        <v>227</v>
      </c>
      <c r="D1972" s="14">
        <v>17.5</v>
      </c>
    </row>
    <row r="1973" spans="1:4" x14ac:dyDescent="0.35">
      <c r="A1973" s="13">
        <v>46333</v>
      </c>
      <c r="B1973" t="s">
        <v>77</v>
      </c>
      <c r="C1973" t="s">
        <v>228</v>
      </c>
      <c r="D1973" s="14">
        <v>27</v>
      </c>
    </row>
    <row r="1974" spans="1:4" x14ac:dyDescent="0.35">
      <c r="A1974" s="13">
        <v>46333</v>
      </c>
      <c r="B1974" t="s">
        <v>77</v>
      </c>
      <c r="C1974" t="s">
        <v>229</v>
      </c>
      <c r="D1974" s="14">
        <v>8.9</v>
      </c>
    </row>
    <row r="1975" spans="1:4" x14ac:dyDescent="0.35">
      <c r="A1975" s="13">
        <v>46333</v>
      </c>
      <c r="B1975" t="s">
        <v>77</v>
      </c>
      <c r="C1975" t="s">
        <v>230</v>
      </c>
      <c r="D1975" s="14">
        <v>10.3</v>
      </c>
    </row>
    <row r="1976" spans="1:4" x14ac:dyDescent="0.35">
      <c r="A1976" s="13">
        <v>46333</v>
      </c>
      <c r="B1976" t="s">
        <v>80</v>
      </c>
      <c r="C1976" t="s">
        <v>231</v>
      </c>
      <c r="D1976" s="14">
        <v>17.600000000000001</v>
      </c>
    </row>
    <row r="1977" spans="1:4" x14ac:dyDescent="0.35">
      <c r="A1977" s="13">
        <v>46333</v>
      </c>
      <c r="B1977" t="s">
        <v>80</v>
      </c>
      <c r="C1977" t="s">
        <v>232</v>
      </c>
      <c r="D1977" s="14">
        <v>26.7</v>
      </c>
    </row>
    <row r="1978" spans="1:4" x14ac:dyDescent="0.35">
      <c r="A1978" s="13">
        <v>46333</v>
      </c>
      <c r="B1978" t="s">
        <v>80</v>
      </c>
      <c r="C1978" t="s">
        <v>233</v>
      </c>
      <c r="D1978" s="14">
        <v>13.8</v>
      </c>
    </row>
    <row r="1979" spans="1:4" x14ac:dyDescent="0.35">
      <c r="A1979" s="13">
        <v>46333</v>
      </c>
      <c r="B1979" t="s">
        <v>80</v>
      </c>
      <c r="C1979" t="s">
        <v>234</v>
      </c>
      <c r="D1979" s="14">
        <v>9.3000000000000007</v>
      </c>
    </row>
    <row r="1980" spans="1:4" x14ac:dyDescent="0.35">
      <c r="A1980" s="13">
        <v>46333</v>
      </c>
      <c r="B1980" t="s">
        <v>80</v>
      </c>
      <c r="C1980" t="s">
        <v>235</v>
      </c>
      <c r="D1980" s="14">
        <v>20.9</v>
      </c>
    </row>
    <row r="1981" spans="1:4" x14ac:dyDescent="0.35">
      <c r="A1981" s="13">
        <v>46333</v>
      </c>
      <c r="B1981" t="s">
        <v>80</v>
      </c>
      <c r="C1981" t="s">
        <v>236</v>
      </c>
      <c r="D1981" s="14">
        <v>23</v>
      </c>
    </row>
    <row r="1982" spans="1:4" x14ac:dyDescent="0.35">
      <c r="A1982" s="13">
        <v>46333</v>
      </c>
      <c r="B1982" t="s">
        <v>80</v>
      </c>
      <c r="C1982" t="s">
        <v>237</v>
      </c>
      <c r="D1982" s="14">
        <v>15.8</v>
      </c>
    </row>
    <row r="1983" spans="1:4" x14ac:dyDescent="0.35">
      <c r="A1983" s="13">
        <v>46333</v>
      </c>
      <c r="B1983" t="s">
        <v>80</v>
      </c>
      <c r="C1983" t="s">
        <v>238</v>
      </c>
      <c r="D1983" s="14">
        <v>21.1</v>
      </c>
    </row>
    <row r="1984" spans="1:4" x14ac:dyDescent="0.35">
      <c r="A1984" s="13">
        <v>46333</v>
      </c>
      <c r="B1984" t="s">
        <v>80</v>
      </c>
      <c r="C1984" t="s">
        <v>239</v>
      </c>
      <c r="D1984" s="14">
        <v>10.6</v>
      </c>
    </row>
    <row r="1985" spans="1:4" x14ac:dyDescent="0.35">
      <c r="A1985" s="13">
        <v>46333</v>
      </c>
      <c r="B1985" t="s">
        <v>80</v>
      </c>
      <c r="C1985" t="s">
        <v>240</v>
      </c>
      <c r="D1985" s="14">
        <v>23.3</v>
      </c>
    </row>
    <row r="1986" spans="1:4" x14ac:dyDescent="0.35">
      <c r="A1986" s="13">
        <v>46333</v>
      </c>
      <c r="B1986" t="s">
        <v>80</v>
      </c>
      <c r="C1986" t="s">
        <v>241</v>
      </c>
      <c r="D1986" s="14">
        <v>14.8</v>
      </c>
    </row>
    <row r="1987" spans="1:4" x14ac:dyDescent="0.35">
      <c r="A1987" s="13">
        <v>46333</v>
      </c>
      <c r="B1987" t="s">
        <v>80</v>
      </c>
      <c r="C1987" t="s">
        <v>242</v>
      </c>
      <c r="D1987" s="14">
        <v>33.6</v>
      </c>
    </row>
    <row r="1988" spans="1:4" x14ac:dyDescent="0.35">
      <c r="A1988" s="13">
        <v>46333</v>
      </c>
      <c r="B1988" t="s">
        <v>80</v>
      </c>
      <c r="C1988" t="s">
        <v>243</v>
      </c>
      <c r="D1988" s="14">
        <v>26.7</v>
      </c>
    </row>
    <row r="1989" spans="1:4" x14ac:dyDescent="0.35">
      <c r="A1989" s="13">
        <v>46333</v>
      </c>
      <c r="B1989" t="s">
        <v>80</v>
      </c>
      <c r="C1989" t="s">
        <v>244</v>
      </c>
      <c r="D1989" s="14">
        <v>18.5</v>
      </c>
    </row>
    <row r="1990" spans="1:4" x14ac:dyDescent="0.35">
      <c r="A1990" s="13">
        <v>46333</v>
      </c>
      <c r="B1990" t="s">
        <v>80</v>
      </c>
      <c r="C1990" t="s">
        <v>245</v>
      </c>
      <c r="D1990" s="14">
        <v>17.7</v>
      </c>
    </row>
    <row r="1991" spans="1:4" x14ac:dyDescent="0.35">
      <c r="A1991" s="13">
        <v>46333</v>
      </c>
      <c r="B1991" t="s">
        <v>80</v>
      </c>
      <c r="C1991" t="s">
        <v>246</v>
      </c>
      <c r="D1991" s="14">
        <v>18.399999999999999</v>
      </c>
    </row>
    <row r="1992" spans="1:4" x14ac:dyDescent="0.35">
      <c r="A1992" s="13">
        <v>46333</v>
      </c>
      <c r="B1992" t="s">
        <v>80</v>
      </c>
      <c r="C1992" t="s">
        <v>247</v>
      </c>
      <c r="D1992" s="14">
        <v>32.299999999999997</v>
      </c>
    </row>
    <row r="1993" spans="1:4" x14ac:dyDescent="0.35">
      <c r="A1993" s="13">
        <v>46333</v>
      </c>
      <c r="B1993" t="s">
        <v>82</v>
      </c>
      <c r="C1993" t="s">
        <v>248</v>
      </c>
      <c r="D1993" s="14">
        <v>26.4</v>
      </c>
    </row>
    <row r="1994" spans="1:4" x14ac:dyDescent="0.35">
      <c r="A1994" s="13">
        <v>46333</v>
      </c>
      <c r="B1994" t="s">
        <v>82</v>
      </c>
      <c r="C1994" t="s">
        <v>249</v>
      </c>
      <c r="D1994" s="14">
        <v>11.8</v>
      </c>
    </row>
    <row r="1995" spans="1:4" x14ac:dyDescent="0.35">
      <c r="A1995" s="13">
        <v>46333</v>
      </c>
      <c r="B1995" t="s">
        <v>82</v>
      </c>
      <c r="C1995" t="s">
        <v>250</v>
      </c>
      <c r="D1995" s="14">
        <v>18.7</v>
      </c>
    </row>
    <row r="1996" spans="1:4" x14ac:dyDescent="0.35">
      <c r="A1996" s="13">
        <v>46333</v>
      </c>
      <c r="B1996" t="s">
        <v>82</v>
      </c>
      <c r="C1996" t="s">
        <v>251</v>
      </c>
      <c r="D1996" s="14">
        <v>13.1</v>
      </c>
    </row>
    <row r="1997" spans="1:4" x14ac:dyDescent="0.35">
      <c r="A1997" s="13">
        <v>46333</v>
      </c>
      <c r="B1997" t="s">
        <v>82</v>
      </c>
      <c r="C1997" t="s">
        <v>252</v>
      </c>
      <c r="D1997" s="14">
        <v>11.8</v>
      </c>
    </row>
    <row r="1998" spans="1:4" x14ac:dyDescent="0.35">
      <c r="A1998" s="13">
        <v>46333</v>
      </c>
      <c r="B1998" t="s">
        <v>82</v>
      </c>
      <c r="C1998" t="s">
        <v>253</v>
      </c>
      <c r="D1998" s="14">
        <v>19.8</v>
      </c>
    </row>
    <row r="1999" spans="1:4" x14ac:dyDescent="0.35">
      <c r="A1999" s="13">
        <v>46333</v>
      </c>
      <c r="B1999" t="s">
        <v>82</v>
      </c>
      <c r="C1999" t="s">
        <v>254</v>
      </c>
      <c r="D1999" s="14">
        <v>9.8000000000000007</v>
      </c>
    </row>
    <row r="2000" spans="1:4" x14ac:dyDescent="0.35">
      <c r="A2000" s="13">
        <v>46333</v>
      </c>
      <c r="B2000" t="s">
        <v>82</v>
      </c>
      <c r="C2000" t="s">
        <v>255</v>
      </c>
      <c r="D2000" s="14">
        <v>12</v>
      </c>
    </row>
    <row r="2001" spans="1:4" x14ac:dyDescent="0.35">
      <c r="A2001" s="13">
        <v>46333</v>
      </c>
      <c r="B2001" t="s">
        <v>82</v>
      </c>
      <c r="C2001" t="s">
        <v>256</v>
      </c>
      <c r="D2001" s="14">
        <v>21.3</v>
      </c>
    </row>
    <row r="2002" spans="1:4" x14ac:dyDescent="0.35">
      <c r="A2002" s="13">
        <v>46333</v>
      </c>
      <c r="B2002" t="s">
        <v>82</v>
      </c>
      <c r="C2002" t="s">
        <v>257</v>
      </c>
      <c r="D2002" s="14">
        <v>19.100000000000001</v>
      </c>
    </row>
    <row r="2003" spans="1:4" x14ac:dyDescent="0.35">
      <c r="A2003" s="13">
        <v>46333</v>
      </c>
      <c r="B2003" t="s">
        <v>82</v>
      </c>
      <c r="C2003" t="s">
        <v>258</v>
      </c>
      <c r="D2003" s="14">
        <v>27.2</v>
      </c>
    </row>
    <row r="2004" spans="1:4" x14ac:dyDescent="0.35">
      <c r="A2004" s="13">
        <v>46333</v>
      </c>
      <c r="B2004" t="s">
        <v>82</v>
      </c>
      <c r="C2004" t="s">
        <v>259</v>
      </c>
      <c r="D2004" s="14">
        <v>12.9</v>
      </c>
    </row>
    <row r="2005" spans="1:4" x14ac:dyDescent="0.35">
      <c r="A2005" s="13">
        <v>46333</v>
      </c>
      <c r="B2005" t="s">
        <v>82</v>
      </c>
      <c r="C2005" t="s">
        <v>260</v>
      </c>
      <c r="D2005" s="14">
        <v>13</v>
      </c>
    </row>
    <row r="2006" spans="1:4" x14ac:dyDescent="0.35">
      <c r="A2006" s="13">
        <v>46333</v>
      </c>
      <c r="B2006" t="s">
        <v>82</v>
      </c>
      <c r="C2006" t="s">
        <v>261</v>
      </c>
      <c r="D2006" s="14">
        <v>19</v>
      </c>
    </row>
    <row r="2007" spans="1:4" x14ac:dyDescent="0.35">
      <c r="A2007" s="13">
        <v>46333</v>
      </c>
      <c r="B2007" t="s">
        <v>82</v>
      </c>
      <c r="C2007" t="s">
        <v>262</v>
      </c>
      <c r="D2007" s="14">
        <v>25.8</v>
      </c>
    </row>
    <row r="2008" spans="1:4" x14ac:dyDescent="0.35">
      <c r="A2008" s="13">
        <v>46333</v>
      </c>
      <c r="B2008" t="s">
        <v>82</v>
      </c>
      <c r="C2008" t="s">
        <v>263</v>
      </c>
      <c r="D2008" s="14">
        <v>11.4</v>
      </c>
    </row>
    <row r="2009" spans="1:4" x14ac:dyDescent="0.35">
      <c r="A2009" s="13">
        <v>46333</v>
      </c>
      <c r="B2009" t="s">
        <v>82</v>
      </c>
      <c r="C2009" t="s">
        <v>264</v>
      </c>
      <c r="D2009" s="14">
        <v>28.8</v>
      </c>
    </row>
    <row r="2010" spans="1:4" x14ac:dyDescent="0.35">
      <c r="A2010" s="13">
        <v>46333</v>
      </c>
      <c r="B2010" t="s">
        <v>82</v>
      </c>
      <c r="C2010" t="s">
        <v>265</v>
      </c>
      <c r="D2010" s="14">
        <v>19.600000000000001</v>
      </c>
    </row>
    <row r="2011" spans="1:4" x14ac:dyDescent="0.35">
      <c r="A2011" s="13">
        <v>46333</v>
      </c>
      <c r="B2011" t="s">
        <v>85</v>
      </c>
      <c r="C2011" t="s">
        <v>266</v>
      </c>
      <c r="D2011" s="14">
        <v>13.1</v>
      </c>
    </row>
    <row r="2012" spans="1:4" x14ac:dyDescent="0.35">
      <c r="A2012" s="13">
        <v>46333</v>
      </c>
      <c r="B2012" t="s">
        <v>85</v>
      </c>
      <c r="C2012" t="s">
        <v>267</v>
      </c>
      <c r="D2012" s="14">
        <v>8.1999999999999993</v>
      </c>
    </row>
    <row r="2013" spans="1:4" x14ac:dyDescent="0.35">
      <c r="A2013" s="13">
        <v>46333</v>
      </c>
      <c r="B2013" t="s">
        <v>85</v>
      </c>
      <c r="C2013" t="s">
        <v>268</v>
      </c>
      <c r="D2013" s="14">
        <v>25.8</v>
      </c>
    </row>
    <row r="2014" spans="1:4" x14ac:dyDescent="0.35">
      <c r="A2014" s="13">
        <v>46333</v>
      </c>
      <c r="B2014" t="s">
        <v>85</v>
      </c>
      <c r="C2014" t="s">
        <v>269</v>
      </c>
      <c r="D2014" s="14">
        <v>26.2</v>
      </c>
    </row>
    <row r="2015" spans="1:4" x14ac:dyDescent="0.35">
      <c r="A2015" s="13">
        <v>46333</v>
      </c>
      <c r="B2015" t="s">
        <v>85</v>
      </c>
      <c r="C2015" t="s">
        <v>270</v>
      </c>
      <c r="D2015" s="14">
        <v>21.7</v>
      </c>
    </row>
    <row r="2016" spans="1:4" x14ac:dyDescent="0.35">
      <c r="A2016" s="13">
        <v>46333</v>
      </c>
      <c r="B2016" t="s">
        <v>85</v>
      </c>
      <c r="C2016" t="s">
        <v>271</v>
      </c>
      <c r="D2016" s="14">
        <v>15.9</v>
      </c>
    </row>
    <row r="2017" spans="1:4" x14ac:dyDescent="0.35">
      <c r="A2017" s="13">
        <v>46333</v>
      </c>
      <c r="B2017" t="s">
        <v>85</v>
      </c>
      <c r="C2017" t="s">
        <v>272</v>
      </c>
      <c r="D2017" s="14">
        <v>21.9</v>
      </c>
    </row>
    <row r="2018" spans="1:4" x14ac:dyDescent="0.35">
      <c r="A2018" s="13">
        <v>46333</v>
      </c>
      <c r="B2018" t="s">
        <v>85</v>
      </c>
      <c r="C2018" t="s">
        <v>273</v>
      </c>
      <c r="D2018" s="14">
        <v>10.9</v>
      </c>
    </row>
    <row r="2019" spans="1:4" x14ac:dyDescent="0.35">
      <c r="A2019" s="13">
        <v>46333</v>
      </c>
      <c r="B2019" t="s">
        <v>85</v>
      </c>
      <c r="C2019" t="s">
        <v>274</v>
      </c>
      <c r="D2019" s="14">
        <v>10.199999999999999</v>
      </c>
    </row>
    <row r="2020" spans="1:4" x14ac:dyDescent="0.35">
      <c r="A2020" s="13">
        <v>46333</v>
      </c>
      <c r="B2020" t="s">
        <v>85</v>
      </c>
      <c r="C2020" t="s">
        <v>275</v>
      </c>
      <c r="D2020" s="14">
        <v>20</v>
      </c>
    </row>
    <row r="2021" spans="1:4" x14ac:dyDescent="0.35">
      <c r="A2021" s="13">
        <v>46333</v>
      </c>
      <c r="B2021" t="s">
        <v>85</v>
      </c>
      <c r="C2021" t="s">
        <v>276</v>
      </c>
      <c r="D2021" s="14">
        <v>13.5</v>
      </c>
    </row>
    <row r="2022" spans="1:4" x14ac:dyDescent="0.35">
      <c r="A2022" s="13">
        <v>46333</v>
      </c>
      <c r="B2022" t="s">
        <v>85</v>
      </c>
      <c r="C2022" t="s">
        <v>277</v>
      </c>
      <c r="D2022" s="14">
        <v>16.600000000000001</v>
      </c>
    </row>
    <row r="2023" spans="1:4" x14ac:dyDescent="0.35">
      <c r="A2023" s="13">
        <v>46333</v>
      </c>
      <c r="B2023" t="s">
        <v>85</v>
      </c>
      <c r="C2023" t="s">
        <v>278</v>
      </c>
      <c r="D2023" s="14">
        <v>19.600000000000001</v>
      </c>
    </row>
    <row r="2024" spans="1:4" x14ac:dyDescent="0.35">
      <c r="A2024" s="13">
        <v>46333</v>
      </c>
      <c r="B2024" t="s">
        <v>85</v>
      </c>
      <c r="C2024" t="s">
        <v>279</v>
      </c>
      <c r="D2024" s="14">
        <v>13.2</v>
      </c>
    </row>
    <row r="2025" spans="1:4" x14ac:dyDescent="0.35">
      <c r="A2025" s="13">
        <v>46333</v>
      </c>
      <c r="B2025" t="s">
        <v>85</v>
      </c>
      <c r="C2025" t="s">
        <v>280</v>
      </c>
      <c r="D2025" s="14">
        <v>17.600000000000001</v>
      </c>
    </row>
    <row r="2026" spans="1:4" x14ac:dyDescent="0.35">
      <c r="A2026" s="13">
        <v>46333</v>
      </c>
      <c r="B2026" t="s">
        <v>85</v>
      </c>
      <c r="C2026" t="s">
        <v>281</v>
      </c>
      <c r="D2026" s="14">
        <v>14.3</v>
      </c>
    </row>
    <row r="2027" spans="1:4" x14ac:dyDescent="0.35">
      <c r="A2027" s="13">
        <v>46333</v>
      </c>
      <c r="B2027" t="s">
        <v>87</v>
      </c>
      <c r="C2027" t="s">
        <v>282</v>
      </c>
      <c r="D2027" s="14">
        <v>9.1999999999999993</v>
      </c>
    </row>
    <row r="2028" spans="1:4" x14ac:dyDescent="0.35">
      <c r="A2028" s="13">
        <v>46333</v>
      </c>
      <c r="B2028" t="s">
        <v>87</v>
      </c>
      <c r="C2028" t="s">
        <v>283</v>
      </c>
      <c r="D2028" s="14">
        <v>17.399999999999999</v>
      </c>
    </row>
    <row r="2029" spans="1:4" x14ac:dyDescent="0.35">
      <c r="A2029" s="13">
        <v>46333</v>
      </c>
      <c r="B2029" t="s">
        <v>87</v>
      </c>
      <c r="C2029" t="s">
        <v>284</v>
      </c>
      <c r="D2029" s="14">
        <v>14.9</v>
      </c>
    </row>
    <row r="2030" spans="1:4" x14ac:dyDescent="0.35">
      <c r="A2030" s="13">
        <v>46333</v>
      </c>
      <c r="B2030" t="s">
        <v>87</v>
      </c>
      <c r="C2030" t="s">
        <v>285</v>
      </c>
      <c r="D2030" s="14">
        <v>21.6</v>
      </c>
    </row>
    <row r="2031" spans="1:4" x14ac:dyDescent="0.35">
      <c r="A2031" s="13">
        <v>46333</v>
      </c>
      <c r="B2031" t="s">
        <v>87</v>
      </c>
      <c r="C2031" t="s">
        <v>286</v>
      </c>
      <c r="D2031" s="14">
        <v>15.5</v>
      </c>
    </row>
    <row r="2032" spans="1:4" x14ac:dyDescent="0.35">
      <c r="A2032" s="13">
        <v>46333</v>
      </c>
      <c r="B2032" t="s">
        <v>87</v>
      </c>
      <c r="C2032" t="s">
        <v>287</v>
      </c>
      <c r="D2032" s="14">
        <v>20</v>
      </c>
    </row>
    <row r="2033" spans="1:4" x14ac:dyDescent="0.35">
      <c r="A2033" s="13">
        <v>46333</v>
      </c>
      <c r="B2033" t="s">
        <v>87</v>
      </c>
      <c r="C2033" t="s">
        <v>288</v>
      </c>
      <c r="D2033" s="14">
        <v>12.6</v>
      </c>
    </row>
    <row r="2034" spans="1:4" x14ac:dyDescent="0.35">
      <c r="A2034" s="13">
        <v>46333</v>
      </c>
      <c r="B2034" t="s">
        <v>87</v>
      </c>
      <c r="C2034" t="s">
        <v>289</v>
      </c>
      <c r="D2034" s="14">
        <v>13.7</v>
      </c>
    </row>
    <row r="2035" spans="1:4" x14ac:dyDescent="0.35">
      <c r="A2035" s="13">
        <v>46333</v>
      </c>
      <c r="B2035" t="s">
        <v>87</v>
      </c>
      <c r="C2035" t="s">
        <v>290</v>
      </c>
      <c r="D2035" s="14">
        <v>20.6</v>
      </c>
    </row>
    <row r="2036" spans="1:4" x14ac:dyDescent="0.35">
      <c r="A2036" s="13">
        <v>46333</v>
      </c>
      <c r="B2036" t="s">
        <v>87</v>
      </c>
      <c r="C2036" t="s">
        <v>291</v>
      </c>
      <c r="D2036" s="14">
        <v>15.9</v>
      </c>
    </row>
    <row r="2037" spans="1:4" x14ac:dyDescent="0.35">
      <c r="A2037" s="13">
        <v>46333</v>
      </c>
      <c r="B2037" t="s">
        <v>87</v>
      </c>
      <c r="C2037" t="s">
        <v>292</v>
      </c>
      <c r="D2037" s="14">
        <v>13.4</v>
      </c>
    </row>
    <row r="2038" spans="1:4" x14ac:dyDescent="0.35">
      <c r="A2038" s="13">
        <v>46333</v>
      </c>
      <c r="B2038" t="s">
        <v>87</v>
      </c>
      <c r="C2038" t="s">
        <v>293</v>
      </c>
      <c r="D2038" s="14">
        <v>12.4</v>
      </c>
    </row>
    <row r="2039" spans="1:4" x14ac:dyDescent="0.35">
      <c r="A2039" s="13">
        <v>46333</v>
      </c>
      <c r="B2039" t="s">
        <v>87</v>
      </c>
      <c r="C2039" t="s">
        <v>294</v>
      </c>
      <c r="D2039" s="14">
        <v>12.2</v>
      </c>
    </row>
    <row r="2040" spans="1:4" x14ac:dyDescent="0.35">
      <c r="A2040" s="13">
        <v>46333</v>
      </c>
      <c r="B2040" t="s">
        <v>87</v>
      </c>
      <c r="C2040" t="s">
        <v>295</v>
      </c>
      <c r="D2040" s="14">
        <v>15.2</v>
      </c>
    </row>
    <row r="2041" spans="1:4" x14ac:dyDescent="0.35">
      <c r="A2041" s="13">
        <v>46333</v>
      </c>
      <c r="B2041" t="s">
        <v>87</v>
      </c>
      <c r="C2041" t="s">
        <v>296</v>
      </c>
      <c r="D2041" s="14">
        <v>22.9</v>
      </c>
    </row>
    <row r="2042" spans="1:4" x14ac:dyDescent="0.35">
      <c r="A2042" s="13">
        <v>46333</v>
      </c>
      <c r="B2042" t="s">
        <v>87</v>
      </c>
      <c r="C2042" t="s">
        <v>297</v>
      </c>
      <c r="D2042" s="14">
        <v>16.600000000000001</v>
      </c>
    </row>
    <row r="2043" spans="1:4" x14ac:dyDescent="0.35">
      <c r="A2043" s="13">
        <v>46333</v>
      </c>
      <c r="B2043" t="s">
        <v>77</v>
      </c>
      <c r="C2043" t="s">
        <v>298</v>
      </c>
      <c r="D2043" s="14">
        <v>16.2</v>
      </c>
    </row>
    <row r="2044" spans="1:4" x14ac:dyDescent="0.35">
      <c r="A2044" s="13">
        <v>46333</v>
      </c>
      <c r="B2044" t="s">
        <v>85</v>
      </c>
      <c r="C2044" t="s">
        <v>299</v>
      </c>
      <c r="D2044" s="14">
        <v>12.5</v>
      </c>
    </row>
    <row r="2045" spans="1:4" x14ac:dyDescent="0.35">
      <c r="A2045" s="13">
        <v>46340</v>
      </c>
      <c r="B2045" t="s">
        <v>70</v>
      </c>
      <c r="C2045" t="s">
        <v>155</v>
      </c>
      <c r="D2045" s="14">
        <v>32.9</v>
      </c>
    </row>
    <row r="2046" spans="1:4" x14ac:dyDescent="0.35">
      <c r="A2046" s="13">
        <v>46340</v>
      </c>
      <c r="B2046" t="s">
        <v>70</v>
      </c>
      <c r="C2046" t="s">
        <v>158</v>
      </c>
      <c r="D2046" s="14">
        <v>28.4</v>
      </c>
    </row>
    <row r="2047" spans="1:4" x14ac:dyDescent="0.35">
      <c r="A2047" s="13">
        <v>46340</v>
      </c>
      <c r="B2047" t="s">
        <v>70</v>
      </c>
      <c r="C2047" t="s">
        <v>159</v>
      </c>
      <c r="D2047" s="14">
        <v>21.7</v>
      </c>
    </row>
    <row r="2048" spans="1:4" x14ac:dyDescent="0.35">
      <c r="A2048" s="13">
        <v>46340</v>
      </c>
      <c r="B2048" t="s">
        <v>70</v>
      </c>
      <c r="C2048" t="s">
        <v>162</v>
      </c>
      <c r="D2048" s="14">
        <v>31.1</v>
      </c>
    </row>
    <row r="2049" spans="1:4" x14ac:dyDescent="0.35">
      <c r="A2049" s="13">
        <v>46340</v>
      </c>
      <c r="B2049" t="s">
        <v>70</v>
      </c>
      <c r="C2049" t="s">
        <v>164</v>
      </c>
      <c r="D2049" s="14">
        <v>13.6</v>
      </c>
    </row>
    <row r="2050" spans="1:4" x14ac:dyDescent="0.35">
      <c r="A2050" s="13">
        <v>46340</v>
      </c>
      <c r="B2050" t="s">
        <v>70</v>
      </c>
      <c r="C2050" t="s">
        <v>167</v>
      </c>
      <c r="D2050" s="14">
        <v>17.399999999999999</v>
      </c>
    </row>
    <row r="2051" spans="1:4" x14ac:dyDescent="0.35">
      <c r="A2051" s="13">
        <v>46340</v>
      </c>
      <c r="B2051" t="s">
        <v>70</v>
      </c>
      <c r="C2051" t="s">
        <v>169</v>
      </c>
      <c r="D2051" s="14">
        <v>13.1</v>
      </c>
    </row>
    <row r="2052" spans="1:4" x14ac:dyDescent="0.35">
      <c r="A2052" s="13">
        <v>46340</v>
      </c>
      <c r="B2052" t="s">
        <v>70</v>
      </c>
      <c r="C2052" t="s">
        <v>170</v>
      </c>
      <c r="D2052" s="14">
        <v>25.7</v>
      </c>
    </row>
    <row r="2053" spans="1:4" x14ac:dyDescent="0.35">
      <c r="A2053" s="13">
        <v>46340</v>
      </c>
      <c r="B2053" t="s">
        <v>70</v>
      </c>
      <c r="C2053" t="s">
        <v>171</v>
      </c>
      <c r="D2053" s="14">
        <v>20.399999999999999</v>
      </c>
    </row>
    <row r="2054" spans="1:4" x14ac:dyDescent="0.35">
      <c r="A2054" s="13">
        <v>46340</v>
      </c>
      <c r="B2054" t="s">
        <v>70</v>
      </c>
      <c r="C2054" t="s">
        <v>172</v>
      </c>
      <c r="D2054" s="14">
        <v>13.2</v>
      </c>
    </row>
    <row r="2055" spans="1:4" x14ac:dyDescent="0.35">
      <c r="A2055" s="13">
        <v>46340</v>
      </c>
      <c r="B2055" t="s">
        <v>70</v>
      </c>
      <c r="C2055" t="s">
        <v>173</v>
      </c>
      <c r="D2055" s="14">
        <v>24</v>
      </c>
    </row>
    <row r="2056" spans="1:4" x14ac:dyDescent="0.35">
      <c r="A2056" s="13">
        <v>46340</v>
      </c>
      <c r="B2056" t="s">
        <v>70</v>
      </c>
      <c r="C2056" t="s">
        <v>174</v>
      </c>
      <c r="D2056" s="14">
        <v>29.2</v>
      </c>
    </row>
    <row r="2057" spans="1:4" x14ac:dyDescent="0.35">
      <c r="A2057" s="13">
        <v>46340</v>
      </c>
      <c r="B2057" t="s">
        <v>70</v>
      </c>
      <c r="C2057" t="s">
        <v>175</v>
      </c>
      <c r="D2057" s="14">
        <v>20.2</v>
      </c>
    </row>
    <row r="2058" spans="1:4" x14ac:dyDescent="0.35">
      <c r="A2058" s="13">
        <v>46340</v>
      </c>
      <c r="B2058" t="s">
        <v>70</v>
      </c>
      <c r="C2058" t="s">
        <v>176</v>
      </c>
      <c r="D2058" s="14">
        <v>15.7</v>
      </c>
    </row>
    <row r="2059" spans="1:4" x14ac:dyDescent="0.35">
      <c r="A2059" s="13">
        <v>46340</v>
      </c>
      <c r="B2059" t="s">
        <v>73</v>
      </c>
      <c r="C2059" t="s">
        <v>177</v>
      </c>
      <c r="D2059" s="14">
        <v>16.100000000000001</v>
      </c>
    </row>
    <row r="2060" spans="1:4" x14ac:dyDescent="0.35">
      <c r="A2060" s="13">
        <v>46340</v>
      </c>
      <c r="B2060" t="s">
        <v>73</v>
      </c>
      <c r="C2060" t="s">
        <v>178</v>
      </c>
      <c r="D2060" s="14">
        <v>14</v>
      </c>
    </row>
    <row r="2061" spans="1:4" x14ac:dyDescent="0.35">
      <c r="A2061" s="13">
        <v>46340</v>
      </c>
      <c r="B2061" t="s">
        <v>73</v>
      </c>
      <c r="C2061" t="s">
        <v>179</v>
      </c>
      <c r="D2061" s="14">
        <v>20.8</v>
      </c>
    </row>
    <row r="2062" spans="1:4" x14ac:dyDescent="0.35">
      <c r="A2062" s="13">
        <v>46340</v>
      </c>
      <c r="B2062" t="s">
        <v>73</v>
      </c>
      <c r="C2062" t="s">
        <v>180</v>
      </c>
      <c r="D2062" s="14">
        <v>11.7</v>
      </c>
    </row>
    <row r="2063" spans="1:4" x14ac:dyDescent="0.35">
      <c r="A2063" s="13">
        <v>46340</v>
      </c>
      <c r="B2063" t="s">
        <v>73</v>
      </c>
      <c r="C2063" t="s">
        <v>181</v>
      </c>
      <c r="D2063" s="14">
        <v>13.2</v>
      </c>
    </row>
    <row r="2064" spans="1:4" x14ac:dyDescent="0.35">
      <c r="A2064" s="13">
        <v>46340</v>
      </c>
      <c r="B2064" t="s">
        <v>73</v>
      </c>
      <c r="C2064" t="s">
        <v>182</v>
      </c>
      <c r="D2064" s="14">
        <v>17.399999999999999</v>
      </c>
    </row>
    <row r="2065" spans="1:4" x14ac:dyDescent="0.35">
      <c r="A2065" s="13">
        <v>46340</v>
      </c>
      <c r="B2065" t="s">
        <v>73</v>
      </c>
      <c r="C2065" t="s">
        <v>183</v>
      </c>
      <c r="D2065" s="14">
        <v>26</v>
      </c>
    </row>
    <row r="2066" spans="1:4" x14ac:dyDescent="0.35">
      <c r="A2066" s="13">
        <v>46340</v>
      </c>
      <c r="B2066" t="s">
        <v>73</v>
      </c>
      <c r="C2066" t="s">
        <v>184</v>
      </c>
      <c r="D2066" s="14">
        <v>20.7</v>
      </c>
    </row>
    <row r="2067" spans="1:4" x14ac:dyDescent="0.35">
      <c r="A2067" s="13">
        <v>46340</v>
      </c>
      <c r="B2067" t="s">
        <v>73</v>
      </c>
      <c r="C2067" t="s">
        <v>185</v>
      </c>
      <c r="D2067" s="14">
        <v>13</v>
      </c>
    </row>
    <row r="2068" spans="1:4" x14ac:dyDescent="0.35">
      <c r="A2068" s="13">
        <v>46340</v>
      </c>
      <c r="B2068" t="s">
        <v>73</v>
      </c>
      <c r="C2068" t="s">
        <v>186</v>
      </c>
      <c r="D2068" s="14">
        <v>18.8</v>
      </c>
    </row>
    <row r="2069" spans="1:4" x14ac:dyDescent="0.35">
      <c r="A2069" s="13">
        <v>46340</v>
      </c>
      <c r="B2069" t="s">
        <v>73</v>
      </c>
      <c r="C2069" t="s">
        <v>187</v>
      </c>
      <c r="D2069" s="14">
        <v>10.1</v>
      </c>
    </row>
    <row r="2070" spans="1:4" x14ac:dyDescent="0.35">
      <c r="A2070" s="13">
        <v>46340</v>
      </c>
      <c r="B2070" t="s">
        <v>73</v>
      </c>
      <c r="C2070" t="s">
        <v>189</v>
      </c>
      <c r="D2070" s="14">
        <v>14</v>
      </c>
    </row>
    <row r="2071" spans="1:4" x14ac:dyDescent="0.35">
      <c r="A2071" s="13">
        <v>46340</v>
      </c>
      <c r="B2071" t="s">
        <v>73</v>
      </c>
      <c r="C2071" t="s">
        <v>190</v>
      </c>
      <c r="D2071" s="14">
        <v>16.2</v>
      </c>
    </row>
    <row r="2072" spans="1:4" x14ac:dyDescent="0.35">
      <c r="A2072" s="13">
        <v>46340</v>
      </c>
      <c r="B2072" t="s">
        <v>73</v>
      </c>
      <c r="C2072" t="s">
        <v>191</v>
      </c>
      <c r="D2072" s="14">
        <v>15.4</v>
      </c>
    </row>
    <row r="2073" spans="1:4" x14ac:dyDescent="0.35">
      <c r="A2073" s="13">
        <v>46340</v>
      </c>
      <c r="B2073" t="s">
        <v>73</v>
      </c>
      <c r="C2073" t="s">
        <v>192</v>
      </c>
      <c r="D2073" s="14">
        <v>9.8000000000000007</v>
      </c>
    </row>
    <row r="2074" spans="1:4" x14ac:dyDescent="0.35">
      <c r="A2074" s="13">
        <v>46340</v>
      </c>
      <c r="B2074" t="s">
        <v>73</v>
      </c>
      <c r="C2074" t="s">
        <v>193</v>
      </c>
      <c r="D2074" s="14">
        <v>19.399999999999999</v>
      </c>
    </row>
    <row r="2075" spans="1:4" x14ac:dyDescent="0.35">
      <c r="A2075" s="13">
        <v>46340</v>
      </c>
      <c r="B2075" t="s">
        <v>73</v>
      </c>
      <c r="C2075" t="s">
        <v>194</v>
      </c>
      <c r="D2075" s="14">
        <v>12.5</v>
      </c>
    </row>
    <row r="2076" spans="1:4" x14ac:dyDescent="0.35">
      <c r="A2076" s="13">
        <v>46340</v>
      </c>
      <c r="B2076" t="s">
        <v>73</v>
      </c>
      <c r="C2076" t="s">
        <v>195</v>
      </c>
      <c r="D2076" s="14">
        <v>19.600000000000001</v>
      </c>
    </row>
    <row r="2077" spans="1:4" x14ac:dyDescent="0.35">
      <c r="A2077" s="13">
        <v>46340</v>
      </c>
      <c r="B2077" t="s">
        <v>73</v>
      </c>
      <c r="C2077" t="s">
        <v>196</v>
      </c>
      <c r="D2077" s="14">
        <v>10.6</v>
      </c>
    </row>
    <row r="2078" spans="1:4" x14ac:dyDescent="0.35">
      <c r="A2078" s="13">
        <v>46340</v>
      </c>
      <c r="B2078" t="s">
        <v>3</v>
      </c>
      <c r="C2078" t="s">
        <v>197</v>
      </c>
      <c r="D2078" s="14">
        <v>17.7</v>
      </c>
    </row>
    <row r="2079" spans="1:4" x14ac:dyDescent="0.35">
      <c r="A2079" s="13">
        <v>46340</v>
      </c>
      <c r="B2079" t="s">
        <v>3</v>
      </c>
      <c r="C2079" t="s">
        <v>198</v>
      </c>
      <c r="D2079" s="14">
        <v>15.6</v>
      </c>
    </row>
    <row r="2080" spans="1:4" x14ac:dyDescent="0.35">
      <c r="A2080" s="13">
        <v>46340</v>
      </c>
      <c r="B2080" t="s">
        <v>3</v>
      </c>
      <c r="C2080" t="s">
        <v>199</v>
      </c>
      <c r="D2080" s="14">
        <v>24.3</v>
      </c>
    </row>
    <row r="2081" spans="1:4" x14ac:dyDescent="0.35">
      <c r="A2081" s="13">
        <v>46340</v>
      </c>
      <c r="B2081" t="s">
        <v>3</v>
      </c>
      <c r="C2081" t="s">
        <v>200</v>
      </c>
      <c r="D2081" s="14">
        <v>17.399999999999999</v>
      </c>
    </row>
    <row r="2082" spans="1:4" x14ac:dyDescent="0.35">
      <c r="A2082" s="13">
        <v>46340</v>
      </c>
      <c r="B2082" t="s">
        <v>3</v>
      </c>
      <c r="C2082" t="s">
        <v>201</v>
      </c>
      <c r="D2082" s="14">
        <v>27.7</v>
      </c>
    </row>
    <row r="2083" spans="1:4" x14ac:dyDescent="0.35">
      <c r="A2083" s="13">
        <v>46340</v>
      </c>
      <c r="B2083" t="s">
        <v>3</v>
      </c>
      <c r="C2083" t="s">
        <v>202</v>
      </c>
      <c r="D2083" s="14">
        <v>11.3</v>
      </c>
    </row>
    <row r="2084" spans="1:4" x14ac:dyDescent="0.35">
      <c r="A2084" s="13">
        <v>46340</v>
      </c>
      <c r="B2084" t="s">
        <v>3</v>
      </c>
      <c r="C2084" t="s">
        <v>203</v>
      </c>
      <c r="D2084" s="14">
        <v>19</v>
      </c>
    </row>
    <row r="2085" spans="1:4" x14ac:dyDescent="0.35">
      <c r="A2085" s="13">
        <v>46340</v>
      </c>
      <c r="B2085" t="s">
        <v>3</v>
      </c>
      <c r="C2085" t="s">
        <v>204</v>
      </c>
      <c r="D2085" s="14">
        <v>10.8</v>
      </c>
    </row>
    <row r="2086" spans="1:4" x14ac:dyDescent="0.35">
      <c r="A2086" s="13">
        <v>46340</v>
      </c>
      <c r="B2086" t="s">
        <v>3</v>
      </c>
      <c r="C2086" t="s">
        <v>205</v>
      </c>
      <c r="D2086" s="14">
        <v>30.9</v>
      </c>
    </row>
    <row r="2087" spans="1:4" x14ac:dyDescent="0.35">
      <c r="A2087" s="13">
        <v>46340</v>
      </c>
      <c r="B2087" t="s">
        <v>3</v>
      </c>
      <c r="C2087" t="s">
        <v>206</v>
      </c>
      <c r="D2087" s="14">
        <v>29.2</v>
      </c>
    </row>
    <row r="2088" spans="1:4" x14ac:dyDescent="0.35">
      <c r="A2088" s="13">
        <v>46340</v>
      </c>
      <c r="B2088" t="s">
        <v>3</v>
      </c>
      <c r="C2088" t="s">
        <v>207</v>
      </c>
      <c r="D2088" s="14">
        <v>29.6</v>
      </c>
    </row>
    <row r="2089" spans="1:4" x14ac:dyDescent="0.35">
      <c r="A2089" s="13">
        <v>46340</v>
      </c>
      <c r="B2089" t="s">
        <v>3</v>
      </c>
      <c r="C2089" t="s">
        <v>208</v>
      </c>
      <c r="D2089" s="14">
        <v>28.5</v>
      </c>
    </row>
    <row r="2090" spans="1:4" x14ac:dyDescent="0.35">
      <c r="A2090" s="13">
        <v>46340</v>
      </c>
      <c r="B2090" t="s">
        <v>3</v>
      </c>
      <c r="C2090" t="s">
        <v>209</v>
      </c>
      <c r="D2090" s="14">
        <v>27</v>
      </c>
    </row>
    <row r="2091" spans="1:4" x14ac:dyDescent="0.35">
      <c r="A2091" s="13">
        <v>46340</v>
      </c>
      <c r="B2091" t="s">
        <v>3</v>
      </c>
      <c r="C2091" t="s">
        <v>210</v>
      </c>
      <c r="D2091" s="14">
        <v>17.2</v>
      </c>
    </row>
    <row r="2092" spans="1:4" x14ac:dyDescent="0.35">
      <c r="A2092" s="13">
        <v>46340</v>
      </c>
      <c r="B2092" t="s">
        <v>3</v>
      </c>
      <c r="C2092" t="s">
        <v>211</v>
      </c>
      <c r="D2092" s="14">
        <v>18.899999999999999</v>
      </c>
    </row>
    <row r="2093" spans="1:4" x14ac:dyDescent="0.35">
      <c r="A2093" s="13">
        <v>46340</v>
      </c>
      <c r="B2093" t="s">
        <v>3</v>
      </c>
      <c r="C2093" t="s">
        <v>212</v>
      </c>
      <c r="D2093" s="14">
        <v>26.6</v>
      </c>
    </row>
    <row r="2094" spans="1:4" x14ac:dyDescent="0.35">
      <c r="A2094" s="13">
        <v>46340</v>
      </c>
      <c r="B2094" t="s">
        <v>3</v>
      </c>
      <c r="C2094" t="s">
        <v>213</v>
      </c>
      <c r="D2094" s="14">
        <v>15.4</v>
      </c>
    </row>
    <row r="2095" spans="1:4" x14ac:dyDescent="0.35">
      <c r="A2095" s="13">
        <v>46340</v>
      </c>
      <c r="B2095" t="s">
        <v>3</v>
      </c>
      <c r="C2095" t="s">
        <v>214</v>
      </c>
      <c r="D2095" s="14">
        <v>18.399999999999999</v>
      </c>
    </row>
    <row r="2096" spans="1:4" x14ac:dyDescent="0.35">
      <c r="A2096" s="13">
        <v>46340</v>
      </c>
      <c r="B2096" t="s">
        <v>3</v>
      </c>
      <c r="C2096" t="s">
        <v>215</v>
      </c>
      <c r="D2096" s="14">
        <v>13.3</v>
      </c>
    </row>
    <row r="2097" spans="1:4" x14ac:dyDescent="0.35">
      <c r="A2097" s="13">
        <v>46340</v>
      </c>
      <c r="B2097" t="s">
        <v>77</v>
      </c>
      <c r="C2097" t="s">
        <v>216</v>
      </c>
      <c r="D2097" s="14">
        <v>15.8</v>
      </c>
    </row>
    <row r="2098" spans="1:4" x14ac:dyDescent="0.35">
      <c r="A2098" s="13">
        <v>46340</v>
      </c>
      <c r="B2098" t="s">
        <v>77</v>
      </c>
      <c r="C2098" t="s">
        <v>217</v>
      </c>
      <c r="D2098" s="14">
        <v>17.899999999999999</v>
      </c>
    </row>
    <row r="2099" spans="1:4" x14ac:dyDescent="0.35">
      <c r="A2099" s="13">
        <v>46340</v>
      </c>
      <c r="B2099" t="s">
        <v>77</v>
      </c>
      <c r="C2099" t="s">
        <v>218</v>
      </c>
      <c r="D2099" s="14">
        <v>18</v>
      </c>
    </row>
    <row r="2100" spans="1:4" x14ac:dyDescent="0.35">
      <c r="A2100" s="13">
        <v>46340</v>
      </c>
      <c r="B2100" t="s">
        <v>77</v>
      </c>
      <c r="C2100" t="s">
        <v>219</v>
      </c>
      <c r="D2100" s="14">
        <v>10.3</v>
      </c>
    </row>
    <row r="2101" spans="1:4" x14ac:dyDescent="0.35">
      <c r="A2101" s="13">
        <v>46340</v>
      </c>
      <c r="B2101" t="s">
        <v>77</v>
      </c>
      <c r="C2101" t="s">
        <v>220</v>
      </c>
      <c r="D2101" s="14">
        <v>15.6</v>
      </c>
    </row>
    <row r="2102" spans="1:4" x14ac:dyDescent="0.35">
      <c r="A2102" s="13">
        <v>46340</v>
      </c>
      <c r="B2102" t="s">
        <v>77</v>
      </c>
      <c r="C2102" t="s">
        <v>221</v>
      </c>
      <c r="D2102" s="14">
        <v>37.5</v>
      </c>
    </row>
    <row r="2103" spans="1:4" x14ac:dyDescent="0.35">
      <c r="A2103" s="13">
        <v>46340</v>
      </c>
      <c r="B2103" t="s">
        <v>77</v>
      </c>
      <c r="C2103" t="s">
        <v>222</v>
      </c>
      <c r="D2103" s="14">
        <v>17</v>
      </c>
    </row>
    <row r="2104" spans="1:4" x14ac:dyDescent="0.35">
      <c r="A2104" s="13">
        <v>46340</v>
      </c>
      <c r="B2104" t="s">
        <v>77</v>
      </c>
      <c r="C2104" t="s">
        <v>223</v>
      </c>
      <c r="D2104" s="14">
        <v>24.6</v>
      </c>
    </row>
    <row r="2105" spans="1:4" x14ac:dyDescent="0.35">
      <c r="A2105" s="13">
        <v>46340</v>
      </c>
      <c r="B2105" t="s">
        <v>77</v>
      </c>
      <c r="C2105" t="s">
        <v>224</v>
      </c>
      <c r="D2105" s="14">
        <v>17.600000000000001</v>
      </c>
    </row>
    <row r="2106" spans="1:4" x14ac:dyDescent="0.35">
      <c r="A2106" s="13">
        <v>46340</v>
      </c>
      <c r="B2106" t="s">
        <v>77</v>
      </c>
      <c r="C2106" t="s">
        <v>225</v>
      </c>
      <c r="D2106" s="14">
        <v>14.6</v>
      </c>
    </row>
    <row r="2107" spans="1:4" x14ac:dyDescent="0.35">
      <c r="A2107" s="13">
        <v>46340</v>
      </c>
      <c r="B2107" t="s">
        <v>77</v>
      </c>
      <c r="C2107" t="s">
        <v>226</v>
      </c>
      <c r="D2107" s="14">
        <v>24.4</v>
      </c>
    </row>
    <row r="2108" spans="1:4" x14ac:dyDescent="0.35">
      <c r="A2108" s="13">
        <v>46340</v>
      </c>
      <c r="B2108" t="s">
        <v>77</v>
      </c>
      <c r="C2108" t="s">
        <v>227</v>
      </c>
      <c r="D2108" s="14">
        <v>18.899999999999999</v>
      </c>
    </row>
    <row r="2109" spans="1:4" x14ac:dyDescent="0.35">
      <c r="A2109" s="13">
        <v>46340</v>
      </c>
      <c r="B2109" t="s">
        <v>77</v>
      </c>
      <c r="C2109" t="s">
        <v>228</v>
      </c>
      <c r="D2109" s="14">
        <v>29.2</v>
      </c>
    </row>
    <row r="2110" spans="1:4" x14ac:dyDescent="0.35">
      <c r="A2110" s="13">
        <v>46340</v>
      </c>
      <c r="B2110" t="s">
        <v>77</v>
      </c>
      <c r="C2110" t="s">
        <v>229</v>
      </c>
      <c r="D2110" s="14">
        <v>9.6999999999999993</v>
      </c>
    </row>
    <row r="2111" spans="1:4" x14ac:dyDescent="0.35">
      <c r="A2111" s="13">
        <v>46340</v>
      </c>
      <c r="B2111" t="s">
        <v>77</v>
      </c>
      <c r="C2111" t="s">
        <v>230</v>
      </c>
      <c r="D2111" s="14">
        <v>11.2</v>
      </c>
    </row>
    <row r="2112" spans="1:4" x14ac:dyDescent="0.35">
      <c r="A2112" s="13">
        <v>46340</v>
      </c>
      <c r="B2112" t="s">
        <v>80</v>
      </c>
      <c r="C2112" t="s">
        <v>231</v>
      </c>
      <c r="D2112" s="14">
        <v>18.899999999999999</v>
      </c>
    </row>
    <row r="2113" spans="1:4" x14ac:dyDescent="0.35">
      <c r="A2113" s="13">
        <v>46340</v>
      </c>
      <c r="B2113" t="s">
        <v>80</v>
      </c>
      <c r="C2113" t="s">
        <v>232</v>
      </c>
      <c r="D2113" s="14">
        <v>28.8</v>
      </c>
    </row>
    <row r="2114" spans="1:4" x14ac:dyDescent="0.35">
      <c r="A2114" s="13">
        <v>46340</v>
      </c>
      <c r="B2114" t="s">
        <v>80</v>
      </c>
      <c r="C2114" t="s">
        <v>233</v>
      </c>
      <c r="D2114" s="14">
        <v>14.9</v>
      </c>
    </row>
    <row r="2115" spans="1:4" x14ac:dyDescent="0.35">
      <c r="A2115" s="13">
        <v>46340</v>
      </c>
      <c r="B2115" t="s">
        <v>80</v>
      </c>
      <c r="C2115" t="s">
        <v>234</v>
      </c>
      <c r="D2115" s="14">
        <v>10</v>
      </c>
    </row>
    <row r="2116" spans="1:4" x14ac:dyDescent="0.35">
      <c r="A2116" s="13">
        <v>46340</v>
      </c>
      <c r="B2116" t="s">
        <v>80</v>
      </c>
      <c r="C2116" t="s">
        <v>235</v>
      </c>
      <c r="D2116" s="14">
        <v>22.5</v>
      </c>
    </row>
    <row r="2117" spans="1:4" x14ac:dyDescent="0.35">
      <c r="A2117" s="13">
        <v>46340</v>
      </c>
      <c r="B2117" t="s">
        <v>80</v>
      </c>
      <c r="C2117" t="s">
        <v>236</v>
      </c>
      <c r="D2117" s="14">
        <v>24.8</v>
      </c>
    </row>
    <row r="2118" spans="1:4" x14ac:dyDescent="0.35">
      <c r="A2118" s="13">
        <v>46340</v>
      </c>
      <c r="B2118" t="s">
        <v>80</v>
      </c>
      <c r="C2118" t="s">
        <v>237</v>
      </c>
      <c r="D2118" s="14">
        <v>17</v>
      </c>
    </row>
    <row r="2119" spans="1:4" x14ac:dyDescent="0.35">
      <c r="A2119" s="13">
        <v>46340</v>
      </c>
      <c r="B2119" t="s">
        <v>80</v>
      </c>
      <c r="C2119" t="s">
        <v>238</v>
      </c>
      <c r="D2119" s="14">
        <v>22.7</v>
      </c>
    </row>
    <row r="2120" spans="1:4" x14ac:dyDescent="0.35">
      <c r="A2120" s="13">
        <v>46340</v>
      </c>
      <c r="B2120" t="s">
        <v>80</v>
      </c>
      <c r="C2120" t="s">
        <v>239</v>
      </c>
      <c r="D2120" s="14">
        <v>11.5</v>
      </c>
    </row>
    <row r="2121" spans="1:4" x14ac:dyDescent="0.35">
      <c r="A2121" s="13">
        <v>46340</v>
      </c>
      <c r="B2121" t="s">
        <v>80</v>
      </c>
      <c r="C2121" t="s">
        <v>240</v>
      </c>
      <c r="D2121" s="14">
        <v>25.1</v>
      </c>
    </row>
    <row r="2122" spans="1:4" x14ac:dyDescent="0.35">
      <c r="A2122" s="13">
        <v>46340</v>
      </c>
      <c r="B2122" t="s">
        <v>80</v>
      </c>
      <c r="C2122" t="s">
        <v>241</v>
      </c>
      <c r="D2122" s="14">
        <v>15.9</v>
      </c>
    </row>
    <row r="2123" spans="1:4" x14ac:dyDescent="0.35">
      <c r="A2123" s="13">
        <v>46340</v>
      </c>
      <c r="B2123" t="s">
        <v>80</v>
      </c>
      <c r="C2123" t="s">
        <v>242</v>
      </c>
      <c r="D2123" s="14">
        <v>36.200000000000003</v>
      </c>
    </row>
    <row r="2124" spans="1:4" x14ac:dyDescent="0.35">
      <c r="A2124" s="13">
        <v>46340</v>
      </c>
      <c r="B2124" t="s">
        <v>80</v>
      </c>
      <c r="C2124" t="s">
        <v>243</v>
      </c>
      <c r="D2124" s="14">
        <v>28.8</v>
      </c>
    </row>
    <row r="2125" spans="1:4" x14ac:dyDescent="0.35">
      <c r="A2125" s="13">
        <v>46340</v>
      </c>
      <c r="B2125" t="s">
        <v>80</v>
      </c>
      <c r="C2125" t="s">
        <v>244</v>
      </c>
      <c r="D2125" s="14">
        <v>20</v>
      </c>
    </row>
    <row r="2126" spans="1:4" x14ac:dyDescent="0.35">
      <c r="A2126" s="13">
        <v>46340</v>
      </c>
      <c r="B2126" t="s">
        <v>80</v>
      </c>
      <c r="C2126" t="s">
        <v>245</v>
      </c>
      <c r="D2126" s="14">
        <v>19</v>
      </c>
    </row>
    <row r="2127" spans="1:4" x14ac:dyDescent="0.35">
      <c r="A2127" s="13">
        <v>46340</v>
      </c>
      <c r="B2127" t="s">
        <v>80</v>
      </c>
      <c r="C2127" t="s">
        <v>246</v>
      </c>
      <c r="D2127" s="14">
        <v>19.8</v>
      </c>
    </row>
    <row r="2128" spans="1:4" x14ac:dyDescent="0.35">
      <c r="A2128" s="13">
        <v>46340</v>
      </c>
      <c r="B2128" t="s">
        <v>80</v>
      </c>
      <c r="C2128" t="s">
        <v>247</v>
      </c>
      <c r="D2128" s="14">
        <v>34.799999999999997</v>
      </c>
    </row>
    <row r="2129" spans="1:4" x14ac:dyDescent="0.35">
      <c r="A2129" s="13">
        <v>46340</v>
      </c>
      <c r="B2129" t="s">
        <v>82</v>
      </c>
      <c r="C2129" t="s">
        <v>248</v>
      </c>
      <c r="D2129" s="14">
        <v>27.9</v>
      </c>
    </row>
    <row r="2130" spans="1:4" x14ac:dyDescent="0.35">
      <c r="A2130" s="13">
        <v>46340</v>
      </c>
      <c r="B2130" t="s">
        <v>82</v>
      </c>
      <c r="C2130" t="s">
        <v>249</v>
      </c>
      <c r="D2130" s="14">
        <v>12.4</v>
      </c>
    </row>
    <row r="2131" spans="1:4" x14ac:dyDescent="0.35">
      <c r="A2131" s="13">
        <v>46340</v>
      </c>
      <c r="B2131" t="s">
        <v>82</v>
      </c>
      <c r="C2131" t="s">
        <v>250</v>
      </c>
      <c r="D2131" s="14">
        <v>19.7</v>
      </c>
    </row>
    <row r="2132" spans="1:4" x14ac:dyDescent="0.35">
      <c r="A2132" s="13">
        <v>46340</v>
      </c>
      <c r="B2132" t="s">
        <v>82</v>
      </c>
      <c r="C2132" t="s">
        <v>251</v>
      </c>
      <c r="D2132" s="14">
        <v>13.8</v>
      </c>
    </row>
    <row r="2133" spans="1:4" x14ac:dyDescent="0.35">
      <c r="A2133" s="13">
        <v>46340</v>
      </c>
      <c r="B2133" t="s">
        <v>82</v>
      </c>
      <c r="C2133" t="s">
        <v>252</v>
      </c>
      <c r="D2133" s="14">
        <v>12.5</v>
      </c>
    </row>
    <row r="2134" spans="1:4" x14ac:dyDescent="0.35">
      <c r="A2134" s="13">
        <v>46340</v>
      </c>
      <c r="B2134" t="s">
        <v>82</v>
      </c>
      <c r="C2134" t="s">
        <v>253</v>
      </c>
      <c r="D2134" s="14">
        <v>20.9</v>
      </c>
    </row>
    <row r="2135" spans="1:4" x14ac:dyDescent="0.35">
      <c r="A2135" s="13">
        <v>46340</v>
      </c>
      <c r="B2135" t="s">
        <v>82</v>
      </c>
      <c r="C2135" t="s">
        <v>254</v>
      </c>
      <c r="D2135" s="14">
        <v>10.3</v>
      </c>
    </row>
    <row r="2136" spans="1:4" x14ac:dyDescent="0.35">
      <c r="A2136" s="13">
        <v>46340</v>
      </c>
      <c r="B2136" t="s">
        <v>82</v>
      </c>
      <c r="C2136" t="s">
        <v>255</v>
      </c>
      <c r="D2136" s="14">
        <v>12.7</v>
      </c>
    </row>
    <row r="2137" spans="1:4" x14ac:dyDescent="0.35">
      <c r="A2137" s="13">
        <v>46340</v>
      </c>
      <c r="B2137" t="s">
        <v>82</v>
      </c>
      <c r="C2137" t="s">
        <v>256</v>
      </c>
      <c r="D2137" s="14">
        <v>22.5</v>
      </c>
    </row>
    <row r="2138" spans="1:4" x14ac:dyDescent="0.35">
      <c r="A2138" s="13">
        <v>46340</v>
      </c>
      <c r="B2138" t="s">
        <v>82</v>
      </c>
      <c r="C2138" t="s">
        <v>257</v>
      </c>
      <c r="D2138" s="14">
        <v>20.2</v>
      </c>
    </row>
    <row r="2139" spans="1:4" x14ac:dyDescent="0.35">
      <c r="A2139" s="13">
        <v>46340</v>
      </c>
      <c r="B2139" t="s">
        <v>82</v>
      </c>
      <c r="C2139" t="s">
        <v>258</v>
      </c>
      <c r="D2139" s="14">
        <v>28.7</v>
      </c>
    </row>
    <row r="2140" spans="1:4" x14ac:dyDescent="0.35">
      <c r="A2140" s="13">
        <v>46340</v>
      </c>
      <c r="B2140" t="s">
        <v>82</v>
      </c>
      <c r="C2140" t="s">
        <v>259</v>
      </c>
      <c r="D2140" s="14">
        <v>13.6</v>
      </c>
    </row>
    <row r="2141" spans="1:4" x14ac:dyDescent="0.35">
      <c r="A2141" s="13">
        <v>46340</v>
      </c>
      <c r="B2141" t="s">
        <v>82</v>
      </c>
      <c r="C2141" t="s">
        <v>260</v>
      </c>
      <c r="D2141" s="14">
        <v>13.7</v>
      </c>
    </row>
    <row r="2142" spans="1:4" x14ac:dyDescent="0.35">
      <c r="A2142" s="13">
        <v>46340</v>
      </c>
      <c r="B2142" t="s">
        <v>82</v>
      </c>
      <c r="C2142" t="s">
        <v>261</v>
      </c>
      <c r="D2142" s="14">
        <v>20</v>
      </c>
    </row>
    <row r="2143" spans="1:4" x14ac:dyDescent="0.35">
      <c r="A2143" s="13">
        <v>46340</v>
      </c>
      <c r="B2143" t="s">
        <v>82</v>
      </c>
      <c r="C2143" t="s">
        <v>262</v>
      </c>
      <c r="D2143" s="14">
        <v>27.2</v>
      </c>
    </row>
    <row r="2144" spans="1:4" x14ac:dyDescent="0.35">
      <c r="A2144" s="13">
        <v>46340</v>
      </c>
      <c r="B2144" t="s">
        <v>82</v>
      </c>
      <c r="C2144" t="s">
        <v>263</v>
      </c>
      <c r="D2144" s="14">
        <v>12</v>
      </c>
    </row>
    <row r="2145" spans="1:4" x14ac:dyDescent="0.35">
      <c r="A2145" s="13">
        <v>46340</v>
      </c>
      <c r="B2145" t="s">
        <v>82</v>
      </c>
      <c r="C2145" t="s">
        <v>264</v>
      </c>
      <c r="D2145" s="14">
        <v>30.3</v>
      </c>
    </row>
    <row r="2146" spans="1:4" x14ac:dyDescent="0.35">
      <c r="A2146" s="13">
        <v>46340</v>
      </c>
      <c r="B2146" t="s">
        <v>82</v>
      </c>
      <c r="C2146" t="s">
        <v>265</v>
      </c>
      <c r="D2146" s="14">
        <v>20.7</v>
      </c>
    </row>
    <row r="2147" spans="1:4" x14ac:dyDescent="0.35">
      <c r="A2147" s="13">
        <v>46340</v>
      </c>
      <c r="B2147" t="s">
        <v>85</v>
      </c>
      <c r="C2147" t="s">
        <v>266</v>
      </c>
      <c r="D2147" s="14">
        <v>14.1</v>
      </c>
    </row>
    <row r="2148" spans="1:4" x14ac:dyDescent="0.35">
      <c r="A2148" s="13">
        <v>46340</v>
      </c>
      <c r="B2148" t="s">
        <v>85</v>
      </c>
      <c r="C2148" t="s">
        <v>267</v>
      </c>
      <c r="D2148" s="14">
        <v>8.8000000000000007</v>
      </c>
    </row>
    <row r="2149" spans="1:4" x14ac:dyDescent="0.35">
      <c r="A2149" s="13">
        <v>46340</v>
      </c>
      <c r="B2149" t="s">
        <v>85</v>
      </c>
      <c r="C2149" t="s">
        <v>268</v>
      </c>
      <c r="D2149" s="14">
        <v>27.8</v>
      </c>
    </row>
    <row r="2150" spans="1:4" x14ac:dyDescent="0.35">
      <c r="A2150" s="13">
        <v>46340</v>
      </c>
      <c r="B2150" t="s">
        <v>85</v>
      </c>
      <c r="C2150" t="s">
        <v>269</v>
      </c>
      <c r="D2150" s="14">
        <v>28.2</v>
      </c>
    </row>
    <row r="2151" spans="1:4" x14ac:dyDescent="0.35">
      <c r="A2151" s="13">
        <v>46340</v>
      </c>
      <c r="B2151" t="s">
        <v>85</v>
      </c>
      <c r="C2151" t="s">
        <v>270</v>
      </c>
      <c r="D2151" s="14">
        <v>23.3</v>
      </c>
    </row>
    <row r="2152" spans="1:4" x14ac:dyDescent="0.35">
      <c r="A2152" s="13">
        <v>46340</v>
      </c>
      <c r="B2152" t="s">
        <v>85</v>
      </c>
      <c r="C2152" t="s">
        <v>271</v>
      </c>
      <c r="D2152" s="14">
        <v>17.100000000000001</v>
      </c>
    </row>
    <row r="2153" spans="1:4" x14ac:dyDescent="0.35">
      <c r="A2153" s="13">
        <v>46340</v>
      </c>
      <c r="B2153" t="s">
        <v>85</v>
      </c>
      <c r="C2153" t="s">
        <v>272</v>
      </c>
      <c r="D2153" s="14">
        <v>23.6</v>
      </c>
    </row>
    <row r="2154" spans="1:4" x14ac:dyDescent="0.35">
      <c r="A2154" s="13">
        <v>46340</v>
      </c>
      <c r="B2154" t="s">
        <v>85</v>
      </c>
      <c r="C2154" t="s">
        <v>273</v>
      </c>
      <c r="D2154" s="14">
        <v>11.7</v>
      </c>
    </row>
    <row r="2155" spans="1:4" x14ac:dyDescent="0.35">
      <c r="A2155" s="13">
        <v>46340</v>
      </c>
      <c r="B2155" t="s">
        <v>85</v>
      </c>
      <c r="C2155" t="s">
        <v>274</v>
      </c>
      <c r="D2155" s="14">
        <v>11</v>
      </c>
    </row>
    <row r="2156" spans="1:4" x14ac:dyDescent="0.35">
      <c r="A2156" s="13">
        <v>46340</v>
      </c>
      <c r="B2156" t="s">
        <v>85</v>
      </c>
      <c r="C2156" t="s">
        <v>275</v>
      </c>
      <c r="D2156" s="14">
        <v>21.5</v>
      </c>
    </row>
    <row r="2157" spans="1:4" x14ac:dyDescent="0.35">
      <c r="A2157" s="13">
        <v>46340</v>
      </c>
      <c r="B2157" t="s">
        <v>85</v>
      </c>
      <c r="C2157" t="s">
        <v>276</v>
      </c>
      <c r="D2157" s="14">
        <v>14.5</v>
      </c>
    </row>
    <row r="2158" spans="1:4" x14ac:dyDescent="0.35">
      <c r="A2158" s="13">
        <v>46340</v>
      </c>
      <c r="B2158" t="s">
        <v>85</v>
      </c>
      <c r="C2158" t="s">
        <v>277</v>
      </c>
      <c r="D2158" s="14">
        <v>17.8</v>
      </c>
    </row>
    <row r="2159" spans="1:4" x14ac:dyDescent="0.35">
      <c r="A2159" s="13">
        <v>46340</v>
      </c>
      <c r="B2159" t="s">
        <v>85</v>
      </c>
      <c r="C2159" t="s">
        <v>278</v>
      </c>
      <c r="D2159" s="14">
        <v>21.1</v>
      </c>
    </row>
    <row r="2160" spans="1:4" x14ac:dyDescent="0.35">
      <c r="A2160" s="13">
        <v>46340</v>
      </c>
      <c r="B2160" t="s">
        <v>85</v>
      </c>
      <c r="C2160" t="s">
        <v>279</v>
      </c>
      <c r="D2160" s="14">
        <v>14.2</v>
      </c>
    </row>
    <row r="2161" spans="1:4" x14ac:dyDescent="0.35">
      <c r="A2161" s="13">
        <v>46340</v>
      </c>
      <c r="B2161" t="s">
        <v>85</v>
      </c>
      <c r="C2161" t="s">
        <v>280</v>
      </c>
      <c r="D2161" s="14">
        <v>18.899999999999999</v>
      </c>
    </row>
    <row r="2162" spans="1:4" x14ac:dyDescent="0.35">
      <c r="A2162" s="13">
        <v>46340</v>
      </c>
      <c r="B2162" t="s">
        <v>85</v>
      </c>
      <c r="C2162" t="s">
        <v>281</v>
      </c>
      <c r="D2162" s="14">
        <v>15.4</v>
      </c>
    </row>
    <row r="2163" spans="1:4" x14ac:dyDescent="0.35">
      <c r="A2163" s="13">
        <v>46340</v>
      </c>
      <c r="B2163" t="s">
        <v>87</v>
      </c>
      <c r="C2163" t="s">
        <v>282</v>
      </c>
      <c r="D2163" s="14">
        <v>10.3</v>
      </c>
    </row>
    <row r="2164" spans="1:4" x14ac:dyDescent="0.35">
      <c r="A2164" s="13">
        <v>46340</v>
      </c>
      <c r="B2164" t="s">
        <v>87</v>
      </c>
      <c r="C2164" t="s">
        <v>283</v>
      </c>
      <c r="D2164" s="14">
        <v>19.399999999999999</v>
      </c>
    </row>
    <row r="2165" spans="1:4" x14ac:dyDescent="0.35">
      <c r="A2165" s="13">
        <v>46340</v>
      </c>
      <c r="B2165" t="s">
        <v>87</v>
      </c>
      <c r="C2165" t="s">
        <v>284</v>
      </c>
      <c r="D2165" s="14">
        <v>16.7</v>
      </c>
    </row>
    <row r="2166" spans="1:4" x14ac:dyDescent="0.35">
      <c r="A2166" s="13">
        <v>46340</v>
      </c>
      <c r="B2166" t="s">
        <v>87</v>
      </c>
      <c r="C2166" t="s">
        <v>285</v>
      </c>
      <c r="D2166" s="14">
        <v>24.1</v>
      </c>
    </row>
    <row r="2167" spans="1:4" x14ac:dyDescent="0.35">
      <c r="A2167" s="13">
        <v>46340</v>
      </c>
      <c r="B2167" t="s">
        <v>87</v>
      </c>
      <c r="C2167" t="s">
        <v>286</v>
      </c>
      <c r="D2167" s="14">
        <v>17.3</v>
      </c>
    </row>
    <row r="2168" spans="1:4" x14ac:dyDescent="0.35">
      <c r="A2168" s="13">
        <v>46340</v>
      </c>
      <c r="B2168" t="s">
        <v>87</v>
      </c>
      <c r="C2168" t="s">
        <v>287</v>
      </c>
      <c r="D2168" s="14">
        <v>22.3</v>
      </c>
    </row>
    <row r="2169" spans="1:4" x14ac:dyDescent="0.35">
      <c r="A2169" s="13">
        <v>46340</v>
      </c>
      <c r="B2169" t="s">
        <v>87</v>
      </c>
      <c r="C2169" t="s">
        <v>288</v>
      </c>
      <c r="D2169" s="14">
        <v>14.1</v>
      </c>
    </row>
    <row r="2170" spans="1:4" x14ac:dyDescent="0.35">
      <c r="A2170" s="13">
        <v>46340</v>
      </c>
      <c r="B2170" t="s">
        <v>87</v>
      </c>
      <c r="C2170" t="s">
        <v>289</v>
      </c>
      <c r="D2170" s="14">
        <v>15.3</v>
      </c>
    </row>
    <row r="2171" spans="1:4" x14ac:dyDescent="0.35">
      <c r="A2171" s="13">
        <v>46340</v>
      </c>
      <c r="B2171" t="s">
        <v>87</v>
      </c>
      <c r="C2171" t="s">
        <v>290</v>
      </c>
      <c r="D2171" s="14">
        <v>23</v>
      </c>
    </row>
    <row r="2172" spans="1:4" x14ac:dyDescent="0.35">
      <c r="A2172" s="13">
        <v>46340</v>
      </c>
      <c r="B2172" t="s">
        <v>87</v>
      </c>
      <c r="C2172" t="s">
        <v>291</v>
      </c>
      <c r="D2172" s="14">
        <v>17.8</v>
      </c>
    </row>
    <row r="2173" spans="1:4" x14ac:dyDescent="0.35">
      <c r="A2173" s="13">
        <v>46340</v>
      </c>
      <c r="B2173" t="s">
        <v>87</v>
      </c>
      <c r="C2173" t="s">
        <v>292</v>
      </c>
      <c r="D2173" s="14">
        <v>14.9</v>
      </c>
    </row>
    <row r="2174" spans="1:4" x14ac:dyDescent="0.35">
      <c r="A2174" s="13">
        <v>46340</v>
      </c>
      <c r="B2174" t="s">
        <v>87</v>
      </c>
      <c r="C2174" t="s">
        <v>293</v>
      </c>
      <c r="D2174" s="14">
        <v>13.8</v>
      </c>
    </row>
    <row r="2175" spans="1:4" x14ac:dyDescent="0.35">
      <c r="A2175" s="13">
        <v>46340</v>
      </c>
      <c r="B2175" t="s">
        <v>87</v>
      </c>
      <c r="C2175" t="s">
        <v>294</v>
      </c>
      <c r="D2175" s="14">
        <v>13.6</v>
      </c>
    </row>
    <row r="2176" spans="1:4" x14ac:dyDescent="0.35">
      <c r="A2176" s="13">
        <v>46340</v>
      </c>
      <c r="B2176" t="s">
        <v>87</v>
      </c>
      <c r="C2176" t="s">
        <v>295</v>
      </c>
      <c r="D2176" s="14">
        <v>17</v>
      </c>
    </row>
    <row r="2177" spans="1:4" x14ac:dyDescent="0.35">
      <c r="A2177" s="13">
        <v>46340</v>
      </c>
      <c r="B2177" t="s">
        <v>87</v>
      </c>
      <c r="C2177" t="s">
        <v>296</v>
      </c>
      <c r="D2177" s="14">
        <v>25.5</v>
      </c>
    </row>
    <row r="2178" spans="1:4" x14ac:dyDescent="0.35">
      <c r="A2178" s="13">
        <v>46340</v>
      </c>
      <c r="B2178" t="s">
        <v>87</v>
      </c>
      <c r="C2178" t="s">
        <v>297</v>
      </c>
      <c r="D2178" s="14">
        <v>18.5</v>
      </c>
    </row>
    <row r="2179" spans="1:4" x14ac:dyDescent="0.35">
      <c r="A2179" s="13">
        <v>46340</v>
      </c>
      <c r="B2179" t="s">
        <v>77</v>
      </c>
      <c r="C2179" t="s">
        <v>298</v>
      </c>
      <c r="D2179" s="14">
        <v>17.8</v>
      </c>
    </row>
    <row r="2180" spans="1:4" x14ac:dyDescent="0.35">
      <c r="A2180" s="13">
        <v>46340</v>
      </c>
      <c r="B2180" t="s">
        <v>85</v>
      </c>
      <c r="C2180" t="s">
        <v>299</v>
      </c>
      <c r="D2180" s="14">
        <v>14.5</v>
      </c>
    </row>
    <row r="2181" spans="1:4" x14ac:dyDescent="0.35">
      <c r="A2181" s="13">
        <v>46347</v>
      </c>
      <c r="B2181" t="s">
        <v>70</v>
      </c>
      <c r="C2181" t="s">
        <v>155</v>
      </c>
      <c r="D2181" s="14">
        <v>35.6</v>
      </c>
    </row>
    <row r="2182" spans="1:4" x14ac:dyDescent="0.35">
      <c r="A2182" s="13">
        <v>46347</v>
      </c>
      <c r="B2182" t="s">
        <v>70</v>
      </c>
      <c r="C2182" t="s">
        <v>158</v>
      </c>
      <c r="D2182" s="14">
        <v>30.8</v>
      </c>
    </row>
    <row r="2183" spans="1:4" x14ac:dyDescent="0.35">
      <c r="A2183" s="13">
        <v>46347</v>
      </c>
      <c r="B2183" t="s">
        <v>70</v>
      </c>
      <c r="C2183" t="s">
        <v>159</v>
      </c>
      <c r="D2183" s="14">
        <v>23.4</v>
      </c>
    </row>
    <row r="2184" spans="1:4" x14ac:dyDescent="0.35">
      <c r="A2184" s="13">
        <v>46347</v>
      </c>
      <c r="B2184" t="s">
        <v>70</v>
      </c>
      <c r="C2184" t="s">
        <v>162</v>
      </c>
      <c r="D2184" s="14">
        <v>33.6</v>
      </c>
    </row>
    <row r="2185" spans="1:4" x14ac:dyDescent="0.35">
      <c r="A2185" s="13">
        <v>46347</v>
      </c>
      <c r="B2185" t="s">
        <v>70</v>
      </c>
      <c r="C2185" t="s">
        <v>164</v>
      </c>
      <c r="D2185" s="14">
        <v>14.7</v>
      </c>
    </row>
    <row r="2186" spans="1:4" x14ac:dyDescent="0.35">
      <c r="A2186" s="13">
        <v>46347</v>
      </c>
      <c r="B2186" t="s">
        <v>70</v>
      </c>
      <c r="C2186" t="s">
        <v>167</v>
      </c>
      <c r="D2186" s="14">
        <v>18.8</v>
      </c>
    </row>
    <row r="2187" spans="1:4" x14ac:dyDescent="0.35">
      <c r="A2187" s="13">
        <v>46347</v>
      </c>
      <c r="B2187" t="s">
        <v>70</v>
      </c>
      <c r="C2187" t="s">
        <v>169</v>
      </c>
      <c r="D2187" s="14">
        <v>14.2</v>
      </c>
    </row>
    <row r="2188" spans="1:4" x14ac:dyDescent="0.35">
      <c r="A2188" s="13">
        <v>46347</v>
      </c>
      <c r="B2188" t="s">
        <v>70</v>
      </c>
      <c r="C2188" t="s">
        <v>170</v>
      </c>
      <c r="D2188" s="14">
        <v>27.8</v>
      </c>
    </row>
    <row r="2189" spans="1:4" x14ac:dyDescent="0.35">
      <c r="A2189" s="13">
        <v>46347</v>
      </c>
      <c r="B2189" t="s">
        <v>70</v>
      </c>
      <c r="C2189" t="s">
        <v>171</v>
      </c>
      <c r="D2189" s="14">
        <v>22</v>
      </c>
    </row>
    <row r="2190" spans="1:4" x14ac:dyDescent="0.35">
      <c r="A2190" s="13">
        <v>46347</v>
      </c>
      <c r="B2190" t="s">
        <v>70</v>
      </c>
      <c r="C2190" t="s">
        <v>172</v>
      </c>
      <c r="D2190" s="14">
        <v>14.3</v>
      </c>
    </row>
    <row r="2191" spans="1:4" x14ac:dyDescent="0.35">
      <c r="A2191" s="13">
        <v>46347</v>
      </c>
      <c r="B2191" t="s">
        <v>70</v>
      </c>
      <c r="C2191" t="s">
        <v>173</v>
      </c>
      <c r="D2191" s="14">
        <v>26</v>
      </c>
    </row>
    <row r="2192" spans="1:4" x14ac:dyDescent="0.35">
      <c r="A2192" s="13">
        <v>46347</v>
      </c>
      <c r="B2192" t="s">
        <v>70</v>
      </c>
      <c r="C2192" t="s">
        <v>174</v>
      </c>
      <c r="D2192" s="14">
        <v>31.6</v>
      </c>
    </row>
    <row r="2193" spans="1:4" x14ac:dyDescent="0.35">
      <c r="A2193" s="13">
        <v>46347</v>
      </c>
      <c r="B2193" t="s">
        <v>70</v>
      </c>
      <c r="C2193" t="s">
        <v>175</v>
      </c>
      <c r="D2193" s="14">
        <v>21.8</v>
      </c>
    </row>
    <row r="2194" spans="1:4" x14ac:dyDescent="0.35">
      <c r="A2194" s="13">
        <v>46347</v>
      </c>
      <c r="B2194" t="s">
        <v>70</v>
      </c>
      <c r="C2194" t="s">
        <v>176</v>
      </c>
      <c r="D2194" s="14">
        <v>17</v>
      </c>
    </row>
    <row r="2195" spans="1:4" x14ac:dyDescent="0.35">
      <c r="A2195" s="13">
        <v>46347</v>
      </c>
      <c r="B2195" t="s">
        <v>73</v>
      </c>
      <c r="C2195" t="s">
        <v>177</v>
      </c>
      <c r="D2195" s="14">
        <v>17.2</v>
      </c>
    </row>
    <row r="2196" spans="1:4" x14ac:dyDescent="0.35">
      <c r="A2196" s="13">
        <v>46347</v>
      </c>
      <c r="B2196" t="s">
        <v>73</v>
      </c>
      <c r="C2196" t="s">
        <v>178</v>
      </c>
      <c r="D2196" s="14">
        <v>14.9</v>
      </c>
    </row>
    <row r="2197" spans="1:4" x14ac:dyDescent="0.35">
      <c r="A2197" s="13">
        <v>46347</v>
      </c>
      <c r="B2197" t="s">
        <v>73</v>
      </c>
      <c r="C2197" t="s">
        <v>179</v>
      </c>
      <c r="D2197" s="14">
        <v>22.1</v>
      </c>
    </row>
    <row r="2198" spans="1:4" x14ac:dyDescent="0.35">
      <c r="A2198" s="13">
        <v>46347</v>
      </c>
      <c r="B2198" t="s">
        <v>73</v>
      </c>
      <c r="C2198" t="s">
        <v>180</v>
      </c>
      <c r="D2198" s="14">
        <v>12.4</v>
      </c>
    </row>
    <row r="2199" spans="1:4" x14ac:dyDescent="0.35">
      <c r="A2199" s="13">
        <v>46347</v>
      </c>
      <c r="B2199" t="s">
        <v>73</v>
      </c>
      <c r="C2199" t="s">
        <v>181</v>
      </c>
      <c r="D2199" s="14">
        <v>14.1</v>
      </c>
    </row>
    <row r="2200" spans="1:4" x14ac:dyDescent="0.35">
      <c r="A2200" s="13">
        <v>46347</v>
      </c>
      <c r="B2200" t="s">
        <v>73</v>
      </c>
      <c r="C2200" t="s">
        <v>182</v>
      </c>
      <c r="D2200" s="14">
        <v>18.5</v>
      </c>
    </row>
    <row r="2201" spans="1:4" x14ac:dyDescent="0.35">
      <c r="A2201" s="13">
        <v>46347</v>
      </c>
      <c r="B2201" t="s">
        <v>73</v>
      </c>
      <c r="C2201" t="s">
        <v>183</v>
      </c>
      <c r="D2201" s="14">
        <v>27.7</v>
      </c>
    </row>
    <row r="2202" spans="1:4" x14ac:dyDescent="0.35">
      <c r="A2202" s="13">
        <v>46347</v>
      </c>
      <c r="B2202" t="s">
        <v>73</v>
      </c>
      <c r="C2202" t="s">
        <v>184</v>
      </c>
      <c r="D2202" s="14">
        <v>22</v>
      </c>
    </row>
    <row r="2203" spans="1:4" x14ac:dyDescent="0.35">
      <c r="A2203" s="13">
        <v>46347</v>
      </c>
      <c r="B2203" t="s">
        <v>73</v>
      </c>
      <c r="C2203" t="s">
        <v>185</v>
      </c>
      <c r="D2203" s="14">
        <v>13.9</v>
      </c>
    </row>
    <row r="2204" spans="1:4" x14ac:dyDescent="0.35">
      <c r="A2204" s="13">
        <v>46347</v>
      </c>
      <c r="B2204" t="s">
        <v>73</v>
      </c>
      <c r="C2204" t="s">
        <v>186</v>
      </c>
      <c r="D2204" s="14">
        <v>20.100000000000001</v>
      </c>
    </row>
    <row r="2205" spans="1:4" x14ac:dyDescent="0.35">
      <c r="A2205" s="13">
        <v>46347</v>
      </c>
      <c r="B2205" t="s">
        <v>73</v>
      </c>
      <c r="C2205" t="s">
        <v>187</v>
      </c>
      <c r="D2205" s="14">
        <v>10.8</v>
      </c>
    </row>
    <row r="2206" spans="1:4" x14ac:dyDescent="0.35">
      <c r="A2206" s="13">
        <v>46347</v>
      </c>
      <c r="B2206" t="s">
        <v>73</v>
      </c>
      <c r="C2206" t="s">
        <v>189</v>
      </c>
      <c r="D2206" s="14">
        <v>14.9</v>
      </c>
    </row>
    <row r="2207" spans="1:4" x14ac:dyDescent="0.35">
      <c r="A2207" s="13">
        <v>46347</v>
      </c>
      <c r="B2207" t="s">
        <v>73</v>
      </c>
      <c r="C2207" t="s">
        <v>190</v>
      </c>
      <c r="D2207" s="14">
        <v>17.3</v>
      </c>
    </row>
    <row r="2208" spans="1:4" x14ac:dyDescent="0.35">
      <c r="A2208" s="13">
        <v>46347</v>
      </c>
      <c r="B2208" t="s">
        <v>73</v>
      </c>
      <c r="C2208" t="s">
        <v>191</v>
      </c>
      <c r="D2208" s="14">
        <v>16.399999999999999</v>
      </c>
    </row>
    <row r="2209" spans="1:4" x14ac:dyDescent="0.35">
      <c r="A2209" s="13">
        <v>46347</v>
      </c>
      <c r="B2209" t="s">
        <v>73</v>
      </c>
      <c r="C2209" t="s">
        <v>192</v>
      </c>
      <c r="D2209" s="14">
        <v>10.4</v>
      </c>
    </row>
    <row r="2210" spans="1:4" x14ac:dyDescent="0.35">
      <c r="A2210" s="13">
        <v>46347</v>
      </c>
      <c r="B2210" t="s">
        <v>73</v>
      </c>
      <c r="C2210" t="s">
        <v>193</v>
      </c>
      <c r="D2210" s="14">
        <v>20.7</v>
      </c>
    </row>
    <row r="2211" spans="1:4" x14ac:dyDescent="0.35">
      <c r="A2211" s="13">
        <v>46347</v>
      </c>
      <c r="B2211" t="s">
        <v>73</v>
      </c>
      <c r="C2211" t="s">
        <v>194</v>
      </c>
      <c r="D2211" s="14">
        <v>13.3</v>
      </c>
    </row>
    <row r="2212" spans="1:4" x14ac:dyDescent="0.35">
      <c r="A2212" s="13">
        <v>46347</v>
      </c>
      <c r="B2212" t="s">
        <v>73</v>
      </c>
      <c r="C2212" t="s">
        <v>195</v>
      </c>
      <c r="D2212" s="14">
        <v>20.9</v>
      </c>
    </row>
    <row r="2213" spans="1:4" x14ac:dyDescent="0.35">
      <c r="A2213" s="13">
        <v>46347</v>
      </c>
      <c r="B2213" t="s">
        <v>73</v>
      </c>
      <c r="C2213" t="s">
        <v>196</v>
      </c>
      <c r="D2213" s="14">
        <v>11.3</v>
      </c>
    </row>
    <row r="2214" spans="1:4" x14ac:dyDescent="0.35">
      <c r="A2214" s="13">
        <v>46347</v>
      </c>
      <c r="B2214" t="s">
        <v>3</v>
      </c>
      <c r="C2214" t="s">
        <v>197</v>
      </c>
      <c r="D2214" s="14">
        <v>18.5</v>
      </c>
    </row>
    <row r="2215" spans="1:4" x14ac:dyDescent="0.35">
      <c r="A2215" s="13">
        <v>46347</v>
      </c>
      <c r="B2215" t="s">
        <v>3</v>
      </c>
      <c r="C2215" t="s">
        <v>198</v>
      </c>
      <c r="D2215" s="14">
        <v>16.3</v>
      </c>
    </row>
    <row r="2216" spans="1:4" x14ac:dyDescent="0.35">
      <c r="A2216" s="13">
        <v>46347</v>
      </c>
      <c r="B2216" t="s">
        <v>3</v>
      </c>
      <c r="C2216" t="s">
        <v>199</v>
      </c>
      <c r="D2216" s="14">
        <v>25.3</v>
      </c>
    </row>
    <row r="2217" spans="1:4" x14ac:dyDescent="0.35">
      <c r="A2217" s="13">
        <v>46347</v>
      </c>
      <c r="B2217" t="s">
        <v>3</v>
      </c>
      <c r="C2217" t="s">
        <v>200</v>
      </c>
      <c r="D2217" s="14">
        <v>18.2</v>
      </c>
    </row>
    <row r="2218" spans="1:4" x14ac:dyDescent="0.35">
      <c r="A2218" s="13">
        <v>46347</v>
      </c>
      <c r="B2218" t="s">
        <v>3</v>
      </c>
      <c r="C2218" t="s">
        <v>201</v>
      </c>
      <c r="D2218" s="14">
        <v>28.8</v>
      </c>
    </row>
    <row r="2219" spans="1:4" x14ac:dyDescent="0.35">
      <c r="A2219" s="13">
        <v>46347</v>
      </c>
      <c r="B2219" t="s">
        <v>3</v>
      </c>
      <c r="C2219" t="s">
        <v>202</v>
      </c>
      <c r="D2219" s="14">
        <v>11.8</v>
      </c>
    </row>
    <row r="2220" spans="1:4" x14ac:dyDescent="0.35">
      <c r="A2220" s="13">
        <v>46347</v>
      </c>
      <c r="B2220" t="s">
        <v>3</v>
      </c>
      <c r="C2220" t="s">
        <v>203</v>
      </c>
      <c r="D2220" s="14">
        <v>19.8</v>
      </c>
    </row>
    <row r="2221" spans="1:4" x14ac:dyDescent="0.35">
      <c r="A2221" s="13">
        <v>46347</v>
      </c>
      <c r="B2221" t="s">
        <v>3</v>
      </c>
      <c r="C2221" t="s">
        <v>204</v>
      </c>
      <c r="D2221" s="14">
        <v>11.3</v>
      </c>
    </row>
    <row r="2222" spans="1:4" x14ac:dyDescent="0.35">
      <c r="A2222" s="13">
        <v>46347</v>
      </c>
      <c r="B2222" t="s">
        <v>3</v>
      </c>
      <c r="C2222" t="s">
        <v>205</v>
      </c>
      <c r="D2222" s="14">
        <v>32.200000000000003</v>
      </c>
    </row>
    <row r="2223" spans="1:4" x14ac:dyDescent="0.35">
      <c r="A2223" s="13">
        <v>46347</v>
      </c>
      <c r="B2223" t="s">
        <v>3</v>
      </c>
      <c r="C2223" t="s">
        <v>206</v>
      </c>
      <c r="D2223" s="14">
        <v>30.4</v>
      </c>
    </row>
    <row r="2224" spans="1:4" x14ac:dyDescent="0.35">
      <c r="A2224" s="13">
        <v>46347</v>
      </c>
      <c r="B2224" t="s">
        <v>3</v>
      </c>
      <c r="C2224" t="s">
        <v>207</v>
      </c>
      <c r="D2224" s="14">
        <v>30.8</v>
      </c>
    </row>
    <row r="2225" spans="1:4" x14ac:dyDescent="0.35">
      <c r="A2225" s="13">
        <v>46347</v>
      </c>
      <c r="B2225" t="s">
        <v>3</v>
      </c>
      <c r="C2225" t="s">
        <v>208</v>
      </c>
      <c r="D2225" s="14">
        <v>29.7</v>
      </c>
    </row>
    <row r="2226" spans="1:4" x14ac:dyDescent="0.35">
      <c r="A2226" s="13">
        <v>46347</v>
      </c>
      <c r="B2226" t="s">
        <v>3</v>
      </c>
      <c r="C2226" t="s">
        <v>209</v>
      </c>
      <c r="D2226" s="14">
        <v>28.1</v>
      </c>
    </row>
    <row r="2227" spans="1:4" x14ac:dyDescent="0.35">
      <c r="A2227" s="13">
        <v>46347</v>
      </c>
      <c r="B2227" t="s">
        <v>3</v>
      </c>
      <c r="C2227" t="s">
        <v>210</v>
      </c>
      <c r="D2227" s="14">
        <v>18</v>
      </c>
    </row>
    <row r="2228" spans="1:4" x14ac:dyDescent="0.35">
      <c r="A2228" s="13">
        <v>46347</v>
      </c>
      <c r="B2228" t="s">
        <v>3</v>
      </c>
      <c r="C2228" t="s">
        <v>211</v>
      </c>
      <c r="D2228" s="14">
        <v>19.7</v>
      </c>
    </row>
    <row r="2229" spans="1:4" x14ac:dyDescent="0.35">
      <c r="A2229" s="13">
        <v>46347</v>
      </c>
      <c r="B2229" t="s">
        <v>3</v>
      </c>
      <c r="C2229" t="s">
        <v>212</v>
      </c>
      <c r="D2229" s="14">
        <v>27.7</v>
      </c>
    </row>
    <row r="2230" spans="1:4" x14ac:dyDescent="0.35">
      <c r="A2230" s="13">
        <v>46347</v>
      </c>
      <c r="B2230" t="s">
        <v>3</v>
      </c>
      <c r="C2230" t="s">
        <v>213</v>
      </c>
      <c r="D2230" s="14">
        <v>16.100000000000001</v>
      </c>
    </row>
    <row r="2231" spans="1:4" x14ac:dyDescent="0.35">
      <c r="A2231" s="13">
        <v>46347</v>
      </c>
      <c r="B2231" t="s">
        <v>3</v>
      </c>
      <c r="C2231" t="s">
        <v>214</v>
      </c>
      <c r="D2231" s="14">
        <v>19.2</v>
      </c>
    </row>
    <row r="2232" spans="1:4" x14ac:dyDescent="0.35">
      <c r="A2232" s="13">
        <v>46347</v>
      </c>
      <c r="B2232" t="s">
        <v>3</v>
      </c>
      <c r="C2232" t="s">
        <v>215</v>
      </c>
      <c r="D2232" s="14">
        <v>13.8</v>
      </c>
    </row>
    <row r="2233" spans="1:4" x14ac:dyDescent="0.35">
      <c r="A2233" s="13">
        <v>46347</v>
      </c>
      <c r="B2233" t="s">
        <v>77</v>
      </c>
      <c r="C2233" t="s">
        <v>216</v>
      </c>
      <c r="D2233" s="14">
        <v>17.3</v>
      </c>
    </row>
    <row r="2234" spans="1:4" x14ac:dyDescent="0.35">
      <c r="A2234" s="13">
        <v>46347</v>
      </c>
      <c r="B2234" t="s">
        <v>77</v>
      </c>
      <c r="C2234" t="s">
        <v>217</v>
      </c>
      <c r="D2234" s="14">
        <v>19.7</v>
      </c>
    </row>
    <row r="2235" spans="1:4" x14ac:dyDescent="0.35">
      <c r="A2235" s="13">
        <v>46347</v>
      </c>
      <c r="B2235" t="s">
        <v>77</v>
      </c>
      <c r="C2235" t="s">
        <v>218</v>
      </c>
      <c r="D2235" s="14">
        <v>19.8</v>
      </c>
    </row>
    <row r="2236" spans="1:4" x14ac:dyDescent="0.35">
      <c r="A2236" s="13">
        <v>46347</v>
      </c>
      <c r="B2236" t="s">
        <v>77</v>
      </c>
      <c r="C2236" t="s">
        <v>219</v>
      </c>
      <c r="D2236" s="14">
        <v>11.4</v>
      </c>
    </row>
    <row r="2237" spans="1:4" x14ac:dyDescent="0.35">
      <c r="A2237" s="13">
        <v>46347</v>
      </c>
      <c r="B2237" t="s">
        <v>77</v>
      </c>
      <c r="C2237" t="s">
        <v>220</v>
      </c>
      <c r="D2237" s="14">
        <v>17.100000000000001</v>
      </c>
    </row>
    <row r="2238" spans="1:4" x14ac:dyDescent="0.35">
      <c r="A2238" s="13">
        <v>46347</v>
      </c>
      <c r="B2238" t="s">
        <v>77</v>
      </c>
      <c r="C2238" t="s">
        <v>221</v>
      </c>
      <c r="D2238" s="14">
        <v>41.2</v>
      </c>
    </row>
    <row r="2239" spans="1:4" x14ac:dyDescent="0.35">
      <c r="A2239" s="13">
        <v>46347</v>
      </c>
      <c r="B2239" t="s">
        <v>77</v>
      </c>
      <c r="C2239" t="s">
        <v>222</v>
      </c>
      <c r="D2239" s="14">
        <v>18.7</v>
      </c>
    </row>
    <row r="2240" spans="1:4" x14ac:dyDescent="0.35">
      <c r="A2240" s="13">
        <v>46347</v>
      </c>
      <c r="B2240" t="s">
        <v>77</v>
      </c>
      <c r="C2240" t="s">
        <v>223</v>
      </c>
      <c r="D2240" s="14">
        <v>27</v>
      </c>
    </row>
    <row r="2241" spans="1:4" x14ac:dyDescent="0.35">
      <c r="A2241" s="13">
        <v>46347</v>
      </c>
      <c r="B2241" t="s">
        <v>77</v>
      </c>
      <c r="C2241" t="s">
        <v>224</v>
      </c>
      <c r="D2241" s="14">
        <v>19.3</v>
      </c>
    </row>
    <row r="2242" spans="1:4" x14ac:dyDescent="0.35">
      <c r="A2242" s="13">
        <v>46347</v>
      </c>
      <c r="B2242" t="s">
        <v>77</v>
      </c>
      <c r="C2242" t="s">
        <v>225</v>
      </c>
      <c r="D2242" s="14">
        <v>16</v>
      </c>
    </row>
    <row r="2243" spans="1:4" x14ac:dyDescent="0.35">
      <c r="A2243" s="13">
        <v>46347</v>
      </c>
      <c r="B2243" t="s">
        <v>77</v>
      </c>
      <c r="C2243" t="s">
        <v>226</v>
      </c>
      <c r="D2243" s="14">
        <v>26.8</v>
      </c>
    </row>
    <row r="2244" spans="1:4" x14ac:dyDescent="0.35">
      <c r="A2244" s="13">
        <v>46347</v>
      </c>
      <c r="B2244" t="s">
        <v>77</v>
      </c>
      <c r="C2244" t="s">
        <v>227</v>
      </c>
      <c r="D2244" s="14">
        <v>20.7</v>
      </c>
    </row>
    <row r="2245" spans="1:4" x14ac:dyDescent="0.35">
      <c r="A2245" s="13">
        <v>46347</v>
      </c>
      <c r="B2245" t="s">
        <v>77</v>
      </c>
      <c r="C2245" t="s">
        <v>228</v>
      </c>
      <c r="D2245" s="14">
        <v>32.1</v>
      </c>
    </row>
    <row r="2246" spans="1:4" x14ac:dyDescent="0.35">
      <c r="A2246" s="13">
        <v>46347</v>
      </c>
      <c r="B2246" t="s">
        <v>77</v>
      </c>
      <c r="C2246" t="s">
        <v>229</v>
      </c>
      <c r="D2246" s="14">
        <v>10.6</v>
      </c>
    </row>
    <row r="2247" spans="1:4" x14ac:dyDescent="0.35">
      <c r="A2247" s="13">
        <v>46347</v>
      </c>
      <c r="B2247" t="s">
        <v>77</v>
      </c>
      <c r="C2247" t="s">
        <v>230</v>
      </c>
      <c r="D2247" s="14">
        <v>12.3</v>
      </c>
    </row>
    <row r="2248" spans="1:4" x14ac:dyDescent="0.35">
      <c r="A2248" s="13">
        <v>46347</v>
      </c>
      <c r="B2248" t="s">
        <v>80</v>
      </c>
      <c r="C2248" t="s">
        <v>231</v>
      </c>
      <c r="D2248" s="14">
        <v>20.100000000000001</v>
      </c>
    </row>
    <row r="2249" spans="1:4" x14ac:dyDescent="0.35">
      <c r="A2249" s="13">
        <v>46347</v>
      </c>
      <c r="B2249" t="s">
        <v>80</v>
      </c>
      <c r="C2249" t="s">
        <v>232</v>
      </c>
      <c r="D2249" s="14">
        <v>30.5</v>
      </c>
    </row>
    <row r="2250" spans="1:4" x14ac:dyDescent="0.35">
      <c r="A2250" s="13">
        <v>46347</v>
      </c>
      <c r="B2250" t="s">
        <v>80</v>
      </c>
      <c r="C2250" t="s">
        <v>233</v>
      </c>
      <c r="D2250" s="14">
        <v>15.7</v>
      </c>
    </row>
    <row r="2251" spans="1:4" x14ac:dyDescent="0.35">
      <c r="A2251" s="13">
        <v>46347</v>
      </c>
      <c r="B2251" t="s">
        <v>80</v>
      </c>
      <c r="C2251" t="s">
        <v>234</v>
      </c>
      <c r="D2251" s="14">
        <v>10.6</v>
      </c>
    </row>
    <row r="2252" spans="1:4" x14ac:dyDescent="0.35">
      <c r="A2252" s="13">
        <v>46347</v>
      </c>
      <c r="B2252" t="s">
        <v>80</v>
      </c>
      <c r="C2252" t="s">
        <v>235</v>
      </c>
      <c r="D2252" s="14">
        <v>23.9</v>
      </c>
    </row>
    <row r="2253" spans="1:4" x14ac:dyDescent="0.35">
      <c r="A2253" s="13">
        <v>46347</v>
      </c>
      <c r="B2253" t="s">
        <v>80</v>
      </c>
      <c r="C2253" t="s">
        <v>236</v>
      </c>
      <c r="D2253" s="14">
        <v>26.3</v>
      </c>
    </row>
    <row r="2254" spans="1:4" x14ac:dyDescent="0.35">
      <c r="A2254" s="13">
        <v>46347</v>
      </c>
      <c r="B2254" t="s">
        <v>80</v>
      </c>
      <c r="C2254" t="s">
        <v>237</v>
      </c>
      <c r="D2254" s="14">
        <v>18.100000000000001</v>
      </c>
    </row>
    <row r="2255" spans="1:4" x14ac:dyDescent="0.35">
      <c r="A2255" s="13">
        <v>46347</v>
      </c>
      <c r="B2255" t="s">
        <v>80</v>
      </c>
      <c r="C2255" t="s">
        <v>238</v>
      </c>
      <c r="D2255" s="14">
        <v>24.1</v>
      </c>
    </row>
    <row r="2256" spans="1:4" x14ac:dyDescent="0.35">
      <c r="A2256" s="13">
        <v>46347</v>
      </c>
      <c r="B2256" t="s">
        <v>80</v>
      </c>
      <c r="C2256" t="s">
        <v>239</v>
      </c>
      <c r="D2256" s="14">
        <v>12.1</v>
      </c>
    </row>
    <row r="2257" spans="1:4" x14ac:dyDescent="0.35">
      <c r="A2257" s="13">
        <v>46347</v>
      </c>
      <c r="B2257" t="s">
        <v>80</v>
      </c>
      <c r="C2257" t="s">
        <v>240</v>
      </c>
      <c r="D2257" s="14">
        <v>26.6</v>
      </c>
    </row>
    <row r="2258" spans="1:4" x14ac:dyDescent="0.35">
      <c r="A2258" s="13">
        <v>46347</v>
      </c>
      <c r="B2258" t="s">
        <v>80</v>
      </c>
      <c r="C2258" t="s">
        <v>241</v>
      </c>
      <c r="D2258" s="14">
        <v>16.899999999999999</v>
      </c>
    </row>
    <row r="2259" spans="1:4" x14ac:dyDescent="0.35">
      <c r="A2259" s="13">
        <v>46347</v>
      </c>
      <c r="B2259" t="s">
        <v>80</v>
      </c>
      <c r="C2259" t="s">
        <v>242</v>
      </c>
      <c r="D2259" s="14">
        <v>38.299999999999997</v>
      </c>
    </row>
    <row r="2260" spans="1:4" x14ac:dyDescent="0.35">
      <c r="A2260" s="13">
        <v>46347</v>
      </c>
      <c r="B2260" t="s">
        <v>80</v>
      </c>
      <c r="C2260" t="s">
        <v>243</v>
      </c>
      <c r="D2260" s="14">
        <v>30.5</v>
      </c>
    </row>
    <row r="2261" spans="1:4" x14ac:dyDescent="0.35">
      <c r="A2261" s="13">
        <v>46347</v>
      </c>
      <c r="B2261" t="s">
        <v>80</v>
      </c>
      <c r="C2261" t="s">
        <v>244</v>
      </c>
      <c r="D2261" s="14">
        <v>21.2</v>
      </c>
    </row>
    <row r="2262" spans="1:4" x14ac:dyDescent="0.35">
      <c r="A2262" s="13">
        <v>46347</v>
      </c>
      <c r="B2262" t="s">
        <v>80</v>
      </c>
      <c r="C2262" t="s">
        <v>245</v>
      </c>
      <c r="D2262" s="14">
        <v>20.2</v>
      </c>
    </row>
    <row r="2263" spans="1:4" x14ac:dyDescent="0.35">
      <c r="A2263" s="13">
        <v>46347</v>
      </c>
      <c r="B2263" t="s">
        <v>80</v>
      </c>
      <c r="C2263" t="s">
        <v>246</v>
      </c>
      <c r="D2263" s="14">
        <v>21</v>
      </c>
    </row>
    <row r="2264" spans="1:4" x14ac:dyDescent="0.35">
      <c r="A2264" s="13">
        <v>46347</v>
      </c>
      <c r="B2264" t="s">
        <v>80</v>
      </c>
      <c r="C2264" t="s">
        <v>247</v>
      </c>
      <c r="D2264" s="14">
        <v>36.9</v>
      </c>
    </row>
    <row r="2265" spans="1:4" x14ac:dyDescent="0.35">
      <c r="A2265" s="13">
        <v>46347</v>
      </c>
      <c r="B2265" t="s">
        <v>82</v>
      </c>
      <c r="C2265" t="s">
        <v>248</v>
      </c>
      <c r="D2265" s="14">
        <v>29.3</v>
      </c>
    </row>
    <row r="2266" spans="1:4" x14ac:dyDescent="0.35">
      <c r="A2266" s="13">
        <v>46347</v>
      </c>
      <c r="B2266" t="s">
        <v>82</v>
      </c>
      <c r="C2266" t="s">
        <v>249</v>
      </c>
      <c r="D2266" s="14">
        <v>13</v>
      </c>
    </row>
    <row r="2267" spans="1:4" x14ac:dyDescent="0.35">
      <c r="A2267" s="13">
        <v>46347</v>
      </c>
      <c r="B2267" t="s">
        <v>82</v>
      </c>
      <c r="C2267" t="s">
        <v>250</v>
      </c>
      <c r="D2267" s="14">
        <v>20.7</v>
      </c>
    </row>
    <row r="2268" spans="1:4" x14ac:dyDescent="0.35">
      <c r="A2268" s="13">
        <v>46347</v>
      </c>
      <c r="B2268" t="s">
        <v>82</v>
      </c>
      <c r="C2268" t="s">
        <v>251</v>
      </c>
      <c r="D2268" s="14">
        <v>14.5</v>
      </c>
    </row>
    <row r="2269" spans="1:4" x14ac:dyDescent="0.35">
      <c r="A2269" s="13">
        <v>46347</v>
      </c>
      <c r="B2269" t="s">
        <v>82</v>
      </c>
      <c r="C2269" t="s">
        <v>252</v>
      </c>
      <c r="D2269" s="14">
        <v>13.1</v>
      </c>
    </row>
    <row r="2270" spans="1:4" x14ac:dyDescent="0.35">
      <c r="A2270" s="13">
        <v>46347</v>
      </c>
      <c r="B2270" t="s">
        <v>82</v>
      </c>
      <c r="C2270" t="s">
        <v>253</v>
      </c>
      <c r="D2270" s="14">
        <v>21.9</v>
      </c>
    </row>
    <row r="2271" spans="1:4" x14ac:dyDescent="0.35">
      <c r="A2271" s="13">
        <v>46347</v>
      </c>
      <c r="B2271" t="s">
        <v>82</v>
      </c>
      <c r="C2271" t="s">
        <v>254</v>
      </c>
      <c r="D2271" s="14">
        <v>10.8</v>
      </c>
    </row>
    <row r="2272" spans="1:4" x14ac:dyDescent="0.35">
      <c r="A2272" s="13">
        <v>46347</v>
      </c>
      <c r="B2272" t="s">
        <v>82</v>
      </c>
      <c r="C2272" t="s">
        <v>255</v>
      </c>
      <c r="D2272" s="14">
        <v>13.3</v>
      </c>
    </row>
    <row r="2273" spans="1:4" x14ac:dyDescent="0.35">
      <c r="A2273" s="13">
        <v>46347</v>
      </c>
      <c r="B2273" t="s">
        <v>82</v>
      </c>
      <c r="C2273" t="s">
        <v>256</v>
      </c>
      <c r="D2273" s="14">
        <v>23.5</v>
      </c>
    </row>
    <row r="2274" spans="1:4" x14ac:dyDescent="0.35">
      <c r="A2274" s="13">
        <v>46347</v>
      </c>
      <c r="B2274" t="s">
        <v>82</v>
      </c>
      <c r="C2274" t="s">
        <v>257</v>
      </c>
      <c r="D2274" s="14">
        <v>21.2</v>
      </c>
    </row>
    <row r="2275" spans="1:4" x14ac:dyDescent="0.35">
      <c r="A2275" s="13">
        <v>46347</v>
      </c>
      <c r="B2275" t="s">
        <v>82</v>
      </c>
      <c r="C2275" t="s">
        <v>258</v>
      </c>
      <c r="D2275" s="14">
        <v>30.2</v>
      </c>
    </row>
    <row r="2276" spans="1:4" x14ac:dyDescent="0.35">
      <c r="A2276" s="13">
        <v>46347</v>
      </c>
      <c r="B2276" t="s">
        <v>82</v>
      </c>
      <c r="C2276" t="s">
        <v>259</v>
      </c>
      <c r="D2276" s="14">
        <v>14.3</v>
      </c>
    </row>
    <row r="2277" spans="1:4" x14ac:dyDescent="0.35">
      <c r="A2277" s="13">
        <v>46347</v>
      </c>
      <c r="B2277" t="s">
        <v>82</v>
      </c>
      <c r="C2277" t="s">
        <v>260</v>
      </c>
      <c r="D2277" s="14">
        <v>14.4</v>
      </c>
    </row>
    <row r="2278" spans="1:4" x14ac:dyDescent="0.35">
      <c r="A2278" s="13">
        <v>46347</v>
      </c>
      <c r="B2278" t="s">
        <v>82</v>
      </c>
      <c r="C2278" t="s">
        <v>261</v>
      </c>
      <c r="D2278" s="14">
        <v>21</v>
      </c>
    </row>
    <row r="2279" spans="1:4" x14ac:dyDescent="0.35">
      <c r="A2279" s="13">
        <v>46347</v>
      </c>
      <c r="B2279" t="s">
        <v>82</v>
      </c>
      <c r="C2279" t="s">
        <v>262</v>
      </c>
      <c r="D2279" s="14">
        <v>28.6</v>
      </c>
    </row>
    <row r="2280" spans="1:4" x14ac:dyDescent="0.35">
      <c r="A2280" s="13">
        <v>46347</v>
      </c>
      <c r="B2280" t="s">
        <v>82</v>
      </c>
      <c r="C2280" t="s">
        <v>263</v>
      </c>
      <c r="D2280" s="14">
        <v>12.6</v>
      </c>
    </row>
    <row r="2281" spans="1:4" x14ac:dyDescent="0.35">
      <c r="A2281" s="13">
        <v>46347</v>
      </c>
      <c r="B2281" t="s">
        <v>82</v>
      </c>
      <c r="C2281" t="s">
        <v>264</v>
      </c>
      <c r="D2281" s="14">
        <v>31.8</v>
      </c>
    </row>
    <row r="2282" spans="1:4" x14ac:dyDescent="0.35">
      <c r="A2282" s="13">
        <v>46347</v>
      </c>
      <c r="B2282" t="s">
        <v>82</v>
      </c>
      <c r="C2282" t="s">
        <v>265</v>
      </c>
      <c r="D2282" s="14">
        <v>21.7</v>
      </c>
    </row>
    <row r="2283" spans="1:4" x14ac:dyDescent="0.35">
      <c r="A2283" s="13">
        <v>46347</v>
      </c>
      <c r="B2283" t="s">
        <v>85</v>
      </c>
      <c r="C2283" t="s">
        <v>266</v>
      </c>
      <c r="D2283" s="14">
        <v>15.1</v>
      </c>
    </row>
    <row r="2284" spans="1:4" x14ac:dyDescent="0.35">
      <c r="A2284" s="13">
        <v>46347</v>
      </c>
      <c r="B2284" t="s">
        <v>85</v>
      </c>
      <c r="C2284" t="s">
        <v>267</v>
      </c>
      <c r="D2284" s="14">
        <v>9.4</v>
      </c>
    </row>
    <row r="2285" spans="1:4" x14ac:dyDescent="0.35">
      <c r="A2285" s="13">
        <v>46347</v>
      </c>
      <c r="B2285" t="s">
        <v>85</v>
      </c>
      <c r="C2285" t="s">
        <v>268</v>
      </c>
      <c r="D2285" s="14">
        <v>29.7</v>
      </c>
    </row>
    <row r="2286" spans="1:4" x14ac:dyDescent="0.35">
      <c r="A2286" s="13">
        <v>46347</v>
      </c>
      <c r="B2286" t="s">
        <v>85</v>
      </c>
      <c r="C2286" t="s">
        <v>269</v>
      </c>
      <c r="D2286" s="14">
        <v>30.1</v>
      </c>
    </row>
    <row r="2287" spans="1:4" x14ac:dyDescent="0.35">
      <c r="A2287" s="13">
        <v>46347</v>
      </c>
      <c r="B2287" t="s">
        <v>85</v>
      </c>
      <c r="C2287" t="s">
        <v>270</v>
      </c>
      <c r="D2287" s="14">
        <v>24.9</v>
      </c>
    </row>
    <row r="2288" spans="1:4" x14ac:dyDescent="0.35">
      <c r="A2288" s="13">
        <v>46347</v>
      </c>
      <c r="B2288" t="s">
        <v>85</v>
      </c>
      <c r="C2288" t="s">
        <v>271</v>
      </c>
      <c r="D2288" s="14">
        <v>18.2</v>
      </c>
    </row>
    <row r="2289" spans="1:4" x14ac:dyDescent="0.35">
      <c r="A2289" s="13">
        <v>46347</v>
      </c>
      <c r="B2289" t="s">
        <v>85</v>
      </c>
      <c r="C2289" t="s">
        <v>272</v>
      </c>
      <c r="D2289" s="14">
        <v>25.2</v>
      </c>
    </row>
    <row r="2290" spans="1:4" x14ac:dyDescent="0.35">
      <c r="A2290" s="13">
        <v>46347</v>
      </c>
      <c r="B2290" t="s">
        <v>85</v>
      </c>
      <c r="C2290" t="s">
        <v>273</v>
      </c>
      <c r="D2290" s="14">
        <v>12.5</v>
      </c>
    </row>
    <row r="2291" spans="1:4" x14ac:dyDescent="0.35">
      <c r="A2291" s="13">
        <v>46347</v>
      </c>
      <c r="B2291" t="s">
        <v>85</v>
      </c>
      <c r="C2291" t="s">
        <v>274</v>
      </c>
      <c r="D2291" s="14">
        <v>11.8</v>
      </c>
    </row>
    <row r="2292" spans="1:4" x14ac:dyDescent="0.35">
      <c r="A2292" s="13">
        <v>46347</v>
      </c>
      <c r="B2292" t="s">
        <v>85</v>
      </c>
      <c r="C2292" t="s">
        <v>275</v>
      </c>
      <c r="D2292" s="14">
        <v>23</v>
      </c>
    </row>
    <row r="2293" spans="1:4" x14ac:dyDescent="0.35">
      <c r="A2293" s="13">
        <v>46347</v>
      </c>
      <c r="B2293" t="s">
        <v>85</v>
      </c>
      <c r="C2293" t="s">
        <v>276</v>
      </c>
      <c r="D2293" s="14">
        <v>15.5</v>
      </c>
    </row>
    <row r="2294" spans="1:4" x14ac:dyDescent="0.35">
      <c r="A2294" s="13">
        <v>46347</v>
      </c>
      <c r="B2294" t="s">
        <v>85</v>
      </c>
      <c r="C2294" t="s">
        <v>277</v>
      </c>
      <c r="D2294" s="14">
        <v>19.100000000000001</v>
      </c>
    </row>
    <row r="2295" spans="1:4" x14ac:dyDescent="0.35">
      <c r="A2295" s="13">
        <v>46347</v>
      </c>
      <c r="B2295" t="s">
        <v>85</v>
      </c>
      <c r="C2295" t="s">
        <v>278</v>
      </c>
      <c r="D2295" s="14">
        <v>22.5</v>
      </c>
    </row>
    <row r="2296" spans="1:4" x14ac:dyDescent="0.35">
      <c r="A2296" s="13">
        <v>46347</v>
      </c>
      <c r="B2296" t="s">
        <v>85</v>
      </c>
      <c r="C2296" t="s">
        <v>279</v>
      </c>
      <c r="D2296" s="14">
        <v>15.2</v>
      </c>
    </row>
    <row r="2297" spans="1:4" x14ac:dyDescent="0.35">
      <c r="A2297" s="13">
        <v>46347</v>
      </c>
      <c r="B2297" t="s">
        <v>85</v>
      </c>
      <c r="C2297" t="s">
        <v>280</v>
      </c>
      <c r="D2297" s="14">
        <v>20.2</v>
      </c>
    </row>
    <row r="2298" spans="1:4" x14ac:dyDescent="0.35">
      <c r="A2298" s="13">
        <v>46347</v>
      </c>
      <c r="B2298" t="s">
        <v>85</v>
      </c>
      <c r="C2298" t="s">
        <v>281</v>
      </c>
      <c r="D2298" s="14">
        <v>16.5</v>
      </c>
    </row>
    <row r="2299" spans="1:4" x14ac:dyDescent="0.35">
      <c r="A2299" s="13">
        <v>46347</v>
      </c>
      <c r="B2299" t="s">
        <v>87</v>
      </c>
      <c r="C2299" t="s">
        <v>282</v>
      </c>
      <c r="D2299" s="14">
        <v>10.5</v>
      </c>
    </row>
    <row r="2300" spans="1:4" x14ac:dyDescent="0.35">
      <c r="A2300" s="13">
        <v>46347</v>
      </c>
      <c r="B2300" t="s">
        <v>87</v>
      </c>
      <c r="C2300" t="s">
        <v>283</v>
      </c>
      <c r="D2300" s="14">
        <v>19.8</v>
      </c>
    </row>
    <row r="2301" spans="1:4" x14ac:dyDescent="0.35">
      <c r="A2301" s="13">
        <v>46347</v>
      </c>
      <c r="B2301" t="s">
        <v>87</v>
      </c>
      <c r="C2301" t="s">
        <v>284</v>
      </c>
      <c r="D2301" s="14">
        <v>17</v>
      </c>
    </row>
    <row r="2302" spans="1:4" x14ac:dyDescent="0.35">
      <c r="A2302" s="13">
        <v>46347</v>
      </c>
      <c r="B2302" t="s">
        <v>87</v>
      </c>
      <c r="C2302" t="s">
        <v>285</v>
      </c>
      <c r="D2302" s="14">
        <v>24.6</v>
      </c>
    </row>
    <row r="2303" spans="1:4" x14ac:dyDescent="0.35">
      <c r="A2303" s="13">
        <v>46347</v>
      </c>
      <c r="B2303" t="s">
        <v>87</v>
      </c>
      <c r="C2303" t="s">
        <v>286</v>
      </c>
      <c r="D2303" s="14">
        <v>17.600000000000001</v>
      </c>
    </row>
    <row r="2304" spans="1:4" x14ac:dyDescent="0.35">
      <c r="A2304" s="13">
        <v>46347</v>
      </c>
      <c r="B2304" t="s">
        <v>87</v>
      </c>
      <c r="C2304" t="s">
        <v>287</v>
      </c>
      <c r="D2304" s="14">
        <v>22.8</v>
      </c>
    </row>
    <row r="2305" spans="1:4" x14ac:dyDescent="0.35">
      <c r="A2305" s="13">
        <v>46347</v>
      </c>
      <c r="B2305" t="s">
        <v>87</v>
      </c>
      <c r="C2305" t="s">
        <v>288</v>
      </c>
      <c r="D2305" s="14">
        <v>14.4</v>
      </c>
    </row>
    <row r="2306" spans="1:4" x14ac:dyDescent="0.35">
      <c r="A2306" s="13">
        <v>46347</v>
      </c>
      <c r="B2306" t="s">
        <v>87</v>
      </c>
      <c r="C2306" t="s">
        <v>289</v>
      </c>
      <c r="D2306" s="14">
        <v>15.6</v>
      </c>
    </row>
    <row r="2307" spans="1:4" x14ac:dyDescent="0.35">
      <c r="A2307" s="13">
        <v>46347</v>
      </c>
      <c r="B2307" t="s">
        <v>87</v>
      </c>
      <c r="C2307" t="s">
        <v>290</v>
      </c>
      <c r="D2307" s="14">
        <v>23.5</v>
      </c>
    </row>
    <row r="2308" spans="1:4" x14ac:dyDescent="0.35">
      <c r="A2308" s="13">
        <v>46347</v>
      </c>
      <c r="B2308" t="s">
        <v>87</v>
      </c>
      <c r="C2308" t="s">
        <v>291</v>
      </c>
      <c r="D2308" s="14">
        <v>18.100000000000001</v>
      </c>
    </row>
    <row r="2309" spans="1:4" x14ac:dyDescent="0.35">
      <c r="A2309" s="13">
        <v>46347</v>
      </c>
      <c r="B2309" t="s">
        <v>87</v>
      </c>
      <c r="C2309" t="s">
        <v>292</v>
      </c>
      <c r="D2309" s="14">
        <v>15.2</v>
      </c>
    </row>
    <row r="2310" spans="1:4" x14ac:dyDescent="0.35">
      <c r="A2310" s="13">
        <v>46347</v>
      </c>
      <c r="B2310" t="s">
        <v>87</v>
      </c>
      <c r="C2310" t="s">
        <v>293</v>
      </c>
      <c r="D2310" s="14">
        <v>14.1</v>
      </c>
    </row>
    <row r="2311" spans="1:4" x14ac:dyDescent="0.35">
      <c r="A2311" s="13">
        <v>46347</v>
      </c>
      <c r="B2311" t="s">
        <v>87</v>
      </c>
      <c r="C2311" t="s">
        <v>294</v>
      </c>
      <c r="D2311" s="14">
        <v>13.9</v>
      </c>
    </row>
    <row r="2312" spans="1:4" x14ac:dyDescent="0.35">
      <c r="A2312" s="13">
        <v>46347</v>
      </c>
      <c r="B2312" t="s">
        <v>87</v>
      </c>
      <c r="C2312" t="s">
        <v>295</v>
      </c>
      <c r="D2312" s="14">
        <v>17.3</v>
      </c>
    </row>
    <row r="2313" spans="1:4" x14ac:dyDescent="0.35">
      <c r="A2313" s="13">
        <v>46347</v>
      </c>
      <c r="B2313" t="s">
        <v>87</v>
      </c>
      <c r="C2313" t="s">
        <v>296</v>
      </c>
      <c r="D2313" s="14">
        <v>26.1</v>
      </c>
    </row>
    <row r="2314" spans="1:4" x14ac:dyDescent="0.35">
      <c r="A2314" s="13">
        <v>46347</v>
      </c>
      <c r="B2314" t="s">
        <v>87</v>
      </c>
      <c r="C2314" t="s">
        <v>297</v>
      </c>
      <c r="D2314" s="14">
        <v>18.899999999999999</v>
      </c>
    </row>
    <row r="2315" spans="1:4" x14ac:dyDescent="0.35">
      <c r="A2315" s="13">
        <v>46347</v>
      </c>
      <c r="B2315" t="s">
        <v>77</v>
      </c>
      <c r="C2315" t="s">
        <v>298</v>
      </c>
      <c r="D2315" s="14">
        <v>19.399999999999999</v>
      </c>
    </row>
    <row r="2316" spans="1:4" x14ac:dyDescent="0.35">
      <c r="A2316" s="13">
        <v>46347</v>
      </c>
      <c r="B2316" t="s">
        <v>85</v>
      </c>
      <c r="C2316" t="s">
        <v>299</v>
      </c>
      <c r="D2316" s="14">
        <v>16.2</v>
      </c>
    </row>
    <row r="2317" spans="1:4" x14ac:dyDescent="0.35">
      <c r="A2317" s="13">
        <v>46354</v>
      </c>
      <c r="B2317" t="s">
        <v>70</v>
      </c>
      <c r="C2317" t="s">
        <v>155</v>
      </c>
      <c r="D2317" s="14">
        <v>36.6</v>
      </c>
    </row>
    <row r="2318" spans="1:4" x14ac:dyDescent="0.35">
      <c r="A2318" s="13">
        <v>46354</v>
      </c>
      <c r="B2318" t="s">
        <v>70</v>
      </c>
      <c r="C2318" t="s">
        <v>158</v>
      </c>
      <c r="D2318" s="14">
        <v>31.7</v>
      </c>
    </row>
    <row r="2319" spans="1:4" x14ac:dyDescent="0.35">
      <c r="A2319" s="13">
        <v>46354</v>
      </c>
      <c r="B2319" t="s">
        <v>70</v>
      </c>
      <c r="C2319" t="s">
        <v>159</v>
      </c>
      <c r="D2319" s="14">
        <v>24.1</v>
      </c>
    </row>
    <row r="2320" spans="1:4" x14ac:dyDescent="0.35">
      <c r="A2320" s="13">
        <v>46354</v>
      </c>
      <c r="B2320" t="s">
        <v>70</v>
      </c>
      <c r="C2320" t="s">
        <v>162</v>
      </c>
      <c r="D2320" s="14">
        <v>34.700000000000003</v>
      </c>
    </row>
    <row r="2321" spans="1:4" x14ac:dyDescent="0.35">
      <c r="A2321" s="13">
        <v>46354</v>
      </c>
      <c r="B2321" t="s">
        <v>70</v>
      </c>
      <c r="C2321" t="s">
        <v>164</v>
      </c>
      <c r="D2321" s="14">
        <v>15.1</v>
      </c>
    </row>
    <row r="2322" spans="1:4" x14ac:dyDescent="0.35">
      <c r="A2322" s="13">
        <v>46354</v>
      </c>
      <c r="B2322" t="s">
        <v>70</v>
      </c>
      <c r="C2322" t="s">
        <v>167</v>
      </c>
      <c r="D2322" s="14">
        <v>19.399999999999999</v>
      </c>
    </row>
    <row r="2323" spans="1:4" x14ac:dyDescent="0.35">
      <c r="A2323" s="13">
        <v>46354</v>
      </c>
      <c r="B2323" t="s">
        <v>70</v>
      </c>
      <c r="C2323" t="s">
        <v>169</v>
      </c>
      <c r="D2323" s="14">
        <v>14.6</v>
      </c>
    </row>
    <row r="2324" spans="1:4" x14ac:dyDescent="0.35">
      <c r="A2324" s="13">
        <v>46354</v>
      </c>
      <c r="B2324" t="s">
        <v>70</v>
      </c>
      <c r="C2324" t="s">
        <v>170</v>
      </c>
      <c r="D2324" s="14">
        <v>28.6</v>
      </c>
    </row>
    <row r="2325" spans="1:4" x14ac:dyDescent="0.35">
      <c r="A2325" s="13">
        <v>46354</v>
      </c>
      <c r="B2325" t="s">
        <v>70</v>
      </c>
      <c r="C2325" t="s">
        <v>171</v>
      </c>
      <c r="D2325" s="14">
        <v>22.7</v>
      </c>
    </row>
    <row r="2326" spans="1:4" x14ac:dyDescent="0.35">
      <c r="A2326" s="13">
        <v>46354</v>
      </c>
      <c r="B2326" t="s">
        <v>70</v>
      </c>
      <c r="C2326" t="s">
        <v>172</v>
      </c>
      <c r="D2326" s="14">
        <v>14.7</v>
      </c>
    </row>
    <row r="2327" spans="1:4" x14ac:dyDescent="0.35">
      <c r="A2327" s="13">
        <v>46354</v>
      </c>
      <c r="B2327" t="s">
        <v>70</v>
      </c>
      <c r="C2327" t="s">
        <v>173</v>
      </c>
      <c r="D2327" s="14">
        <v>26.8</v>
      </c>
    </row>
    <row r="2328" spans="1:4" x14ac:dyDescent="0.35">
      <c r="A2328" s="13">
        <v>46354</v>
      </c>
      <c r="B2328" t="s">
        <v>70</v>
      </c>
      <c r="C2328" t="s">
        <v>174</v>
      </c>
      <c r="D2328" s="14">
        <v>32.6</v>
      </c>
    </row>
    <row r="2329" spans="1:4" x14ac:dyDescent="0.35">
      <c r="A2329" s="13">
        <v>46354</v>
      </c>
      <c r="B2329" t="s">
        <v>70</v>
      </c>
      <c r="C2329" t="s">
        <v>175</v>
      </c>
      <c r="D2329" s="14">
        <v>22.5</v>
      </c>
    </row>
    <row r="2330" spans="1:4" x14ac:dyDescent="0.35">
      <c r="A2330" s="13">
        <v>46354</v>
      </c>
      <c r="B2330" t="s">
        <v>70</v>
      </c>
      <c r="C2330" t="s">
        <v>176</v>
      </c>
      <c r="D2330" s="14">
        <v>17.5</v>
      </c>
    </row>
    <row r="2331" spans="1:4" x14ac:dyDescent="0.35">
      <c r="A2331" s="13">
        <v>46354</v>
      </c>
      <c r="B2331" t="s">
        <v>73</v>
      </c>
      <c r="C2331" t="s">
        <v>177</v>
      </c>
      <c r="D2331" s="14">
        <v>18.5</v>
      </c>
    </row>
    <row r="2332" spans="1:4" x14ac:dyDescent="0.35">
      <c r="A2332" s="13">
        <v>46354</v>
      </c>
      <c r="B2332" t="s">
        <v>73</v>
      </c>
      <c r="C2332" t="s">
        <v>178</v>
      </c>
      <c r="D2332" s="14">
        <v>16.100000000000001</v>
      </c>
    </row>
    <row r="2333" spans="1:4" x14ac:dyDescent="0.35">
      <c r="A2333" s="13">
        <v>46354</v>
      </c>
      <c r="B2333" t="s">
        <v>73</v>
      </c>
      <c r="C2333" t="s">
        <v>179</v>
      </c>
      <c r="D2333" s="14">
        <v>23.8</v>
      </c>
    </row>
    <row r="2334" spans="1:4" x14ac:dyDescent="0.35">
      <c r="A2334" s="13">
        <v>46354</v>
      </c>
      <c r="B2334" t="s">
        <v>73</v>
      </c>
      <c r="C2334" t="s">
        <v>180</v>
      </c>
      <c r="D2334" s="14">
        <v>13.4</v>
      </c>
    </row>
    <row r="2335" spans="1:4" x14ac:dyDescent="0.35">
      <c r="A2335" s="13">
        <v>46354</v>
      </c>
      <c r="B2335" t="s">
        <v>73</v>
      </c>
      <c r="C2335" t="s">
        <v>181</v>
      </c>
      <c r="D2335" s="14">
        <v>15.2</v>
      </c>
    </row>
    <row r="2336" spans="1:4" x14ac:dyDescent="0.35">
      <c r="A2336" s="13">
        <v>46354</v>
      </c>
      <c r="B2336" t="s">
        <v>73</v>
      </c>
      <c r="C2336" t="s">
        <v>182</v>
      </c>
      <c r="D2336" s="14">
        <v>20</v>
      </c>
    </row>
    <row r="2337" spans="1:4" x14ac:dyDescent="0.35">
      <c r="A2337" s="13">
        <v>46354</v>
      </c>
      <c r="B2337" t="s">
        <v>73</v>
      </c>
      <c r="C2337" t="s">
        <v>183</v>
      </c>
      <c r="D2337" s="14">
        <v>29.8</v>
      </c>
    </row>
    <row r="2338" spans="1:4" x14ac:dyDescent="0.35">
      <c r="A2338" s="13">
        <v>46354</v>
      </c>
      <c r="B2338" t="s">
        <v>73</v>
      </c>
      <c r="C2338" t="s">
        <v>184</v>
      </c>
      <c r="D2338" s="14">
        <v>23.7</v>
      </c>
    </row>
    <row r="2339" spans="1:4" x14ac:dyDescent="0.35">
      <c r="A2339" s="13">
        <v>46354</v>
      </c>
      <c r="B2339" t="s">
        <v>73</v>
      </c>
      <c r="C2339" t="s">
        <v>185</v>
      </c>
      <c r="D2339" s="14">
        <v>15</v>
      </c>
    </row>
    <row r="2340" spans="1:4" x14ac:dyDescent="0.35">
      <c r="A2340" s="13">
        <v>46354</v>
      </c>
      <c r="B2340" t="s">
        <v>73</v>
      </c>
      <c r="C2340" t="s">
        <v>186</v>
      </c>
      <c r="D2340" s="14">
        <v>21.6</v>
      </c>
    </row>
    <row r="2341" spans="1:4" x14ac:dyDescent="0.35">
      <c r="A2341" s="13">
        <v>46354</v>
      </c>
      <c r="B2341" t="s">
        <v>73</v>
      </c>
      <c r="C2341" t="s">
        <v>187</v>
      </c>
      <c r="D2341" s="14">
        <v>11.6</v>
      </c>
    </row>
    <row r="2342" spans="1:4" x14ac:dyDescent="0.35">
      <c r="A2342" s="13">
        <v>46354</v>
      </c>
      <c r="B2342" t="s">
        <v>73</v>
      </c>
      <c r="C2342" t="s">
        <v>189</v>
      </c>
      <c r="D2342" s="14">
        <v>16.100000000000001</v>
      </c>
    </row>
    <row r="2343" spans="1:4" x14ac:dyDescent="0.35">
      <c r="A2343" s="13">
        <v>46354</v>
      </c>
      <c r="B2343" t="s">
        <v>73</v>
      </c>
      <c r="C2343" t="s">
        <v>190</v>
      </c>
      <c r="D2343" s="14">
        <v>18.600000000000001</v>
      </c>
    </row>
    <row r="2344" spans="1:4" x14ac:dyDescent="0.35">
      <c r="A2344" s="13">
        <v>46354</v>
      </c>
      <c r="B2344" t="s">
        <v>73</v>
      </c>
      <c r="C2344" t="s">
        <v>191</v>
      </c>
      <c r="D2344" s="14">
        <v>17.600000000000001</v>
      </c>
    </row>
    <row r="2345" spans="1:4" x14ac:dyDescent="0.35">
      <c r="A2345" s="13">
        <v>46354</v>
      </c>
      <c r="B2345" t="s">
        <v>73</v>
      </c>
      <c r="C2345" t="s">
        <v>192</v>
      </c>
      <c r="D2345" s="14">
        <v>11.2</v>
      </c>
    </row>
    <row r="2346" spans="1:4" x14ac:dyDescent="0.35">
      <c r="A2346" s="13">
        <v>46354</v>
      </c>
      <c r="B2346" t="s">
        <v>73</v>
      </c>
      <c r="C2346" t="s">
        <v>193</v>
      </c>
      <c r="D2346" s="14">
        <v>22.3</v>
      </c>
    </row>
    <row r="2347" spans="1:4" x14ac:dyDescent="0.35">
      <c r="A2347" s="13">
        <v>46354</v>
      </c>
      <c r="B2347" t="s">
        <v>73</v>
      </c>
      <c r="C2347" t="s">
        <v>194</v>
      </c>
      <c r="D2347" s="14">
        <v>14.3</v>
      </c>
    </row>
    <row r="2348" spans="1:4" x14ac:dyDescent="0.35">
      <c r="A2348" s="13">
        <v>46354</v>
      </c>
      <c r="B2348" t="s">
        <v>73</v>
      </c>
      <c r="C2348" t="s">
        <v>195</v>
      </c>
      <c r="D2348" s="14">
        <v>22.5</v>
      </c>
    </row>
    <row r="2349" spans="1:4" x14ac:dyDescent="0.35">
      <c r="A2349" s="13">
        <v>46354</v>
      </c>
      <c r="B2349" t="s">
        <v>73</v>
      </c>
      <c r="C2349" t="s">
        <v>196</v>
      </c>
      <c r="D2349" s="14">
        <v>12.2</v>
      </c>
    </row>
    <row r="2350" spans="1:4" x14ac:dyDescent="0.35">
      <c r="A2350" s="13">
        <v>46354</v>
      </c>
      <c r="B2350" t="s">
        <v>3</v>
      </c>
      <c r="C2350" t="s">
        <v>197</v>
      </c>
      <c r="D2350" s="14">
        <v>19.8</v>
      </c>
    </row>
    <row r="2351" spans="1:4" x14ac:dyDescent="0.35">
      <c r="A2351" s="13">
        <v>46354</v>
      </c>
      <c r="B2351" t="s">
        <v>3</v>
      </c>
      <c r="C2351" t="s">
        <v>198</v>
      </c>
      <c r="D2351" s="14">
        <v>17.5</v>
      </c>
    </row>
    <row r="2352" spans="1:4" x14ac:dyDescent="0.35">
      <c r="A2352" s="13">
        <v>46354</v>
      </c>
      <c r="B2352" t="s">
        <v>3</v>
      </c>
      <c r="C2352" t="s">
        <v>199</v>
      </c>
      <c r="D2352" s="14">
        <v>27.1</v>
      </c>
    </row>
    <row r="2353" spans="1:4" x14ac:dyDescent="0.35">
      <c r="A2353" s="13">
        <v>46354</v>
      </c>
      <c r="B2353" t="s">
        <v>3</v>
      </c>
      <c r="C2353" t="s">
        <v>200</v>
      </c>
      <c r="D2353" s="14">
        <v>19.5</v>
      </c>
    </row>
    <row r="2354" spans="1:4" x14ac:dyDescent="0.35">
      <c r="A2354" s="13">
        <v>46354</v>
      </c>
      <c r="B2354" t="s">
        <v>3</v>
      </c>
      <c r="C2354" t="s">
        <v>201</v>
      </c>
      <c r="D2354" s="14">
        <v>30.9</v>
      </c>
    </row>
    <row r="2355" spans="1:4" x14ac:dyDescent="0.35">
      <c r="A2355" s="13">
        <v>46354</v>
      </c>
      <c r="B2355" t="s">
        <v>3</v>
      </c>
      <c r="C2355" t="s">
        <v>202</v>
      </c>
      <c r="D2355" s="14">
        <v>12.6</v>
      </c>
    </row>
    <row r="2356" spans="1:4" x14ac:dyDescent="0.35">
      <c r="A2356" s="13">
        <v>46354</v>
      </c>
      <c r="B2356" t="s">
        <v>3</v>
      </c>
      <c r="C2356" t="s">
        <v>203</v>
      </c>
      <c r="D2356" s="14">
        <v>21.3</v>
      </c>
    </row>
    <row r="2357" spans="1:4" x14ac:dyDescent="0.35">
      <c r="A2357" s="13">
        <v>46354</v>
      </c>
      <c r="B2357" t="s">
        <v>3</v>
      </c>
      <c r="C2357" t="s">
        <v>204</v>
      </c>
      <c r="D2357" s="14">
        <v>12.1</v>
      </c>
    </row>
    <row r="2358" spans="1:4" x14ac:dyDescent="0.35">
      <c r="A2358" s="13">
        <v>46354</v>
      </c>
      <c r="B2358" t="s">
        <v>3</v>
      </c>
      <c r="C2358" t="s">
        <v>205</v>
      </c>
      <c r="D2358" s="14">
        <v>34.5</v>
      </c>
    </row>
    <row r="2359" spans="1:4" x14ac:dyDescent="0.35">
      <c r="A2359" s="13">
        <v>46354</v>
      </c>
      <c r="B2359" t="s">
        <v>3</v>
      </c>
      <c r="C2359" t="s">
        <v>206</v>
      </c>
      <c r="D2359" s="14">
        <v>32.6</v>
      </c>
    </row>
    <row r="2360" spans="1:4" x14ac:dyDescent="0.35">
      <c r="A2360" s="13">
        <v>46354</v>
      </c>
      <c r="B2360" t="s">
        <v>3</v>
      </c>
      <c r="C2360" t="s">
        <v>207</v>
      </c>
      <c r="D2360" s="14">
        <v>33</v>
      </c>
    </row>
    <row r="2361" spans="1:4" x14ac:dyDescent="0.35">
      <c r="A2361" s="13">
        <v>46354</v>
      </c>
      <c r="B2361" t="s">
        <v>3</v>
      </c>
      <c r="C2361" t="s">
        <v>208</v>
      </c>
      <c r="D2361" s="14">
        <v>31.9</v>
      </c>
    </row>
    <row r="2362" spans="1:4" x14ac:dyDescent="0.35">
      <c r="A2362" s="13">
        <v>46354</v>
      </c>
      <c r="B2362" t="s">
        <v>3</v>
      </c>
      <c r="C2362" t="s">
        <v>209</v>
      </c>
      <c r="D2362" s="14">
        <v>30.2</v>
      </c>
    </row>
    <row r="2363" spans="1:4" x14ac:dyDescent="0.35">
      <c r="A2363" s="13">
        <v>46354</v>
      </c>
      <c r="B2363" t="s">
        <v>3</v>
      </c>
      <c r="C2363" t="s">
        <v>210</v>
      </c>
      <c r="D2363" s="14">
        <v>19.3</v>
      </c>
    </row>
    <row r="2364" spans="1:4" x14ac:dyDescent="0.35">
      <c r="A2364" s="13">
        <v>46354</v>
      </c>
      <c r="B2364" t="s">
        <v>3</v>
      </c>
      <c r="C2364" t="s">
        <v>211</v>
      </c>
      <c r="D2364" s="14">
        <v>21.2</v>
      </c>
    </row>
    <row r="2365" spans="1:4" x14ac:dyDescent="0.35">
      <c r="A2365" s="13">
        <v>46354</v>
      </c>
      <c r="B2365" t="s">
        <v>3</v>
      </c>
      <c r="C2365" t="s">
        <v>212</v>
      </c>
      <c r="D2365" s="14">
        <v>29.8</v>
      </c>
    </row>
    <row r="2366" spans="1:4" x14ac:dyDescent="0.35">
      <c r="A2366" s="13">
        <v>46354</v>
      </c>
      <c r="B2366" t="s">
        <v>3</v>
      </c>
      <c r="C2366" t="s">
        <v>213</v>
      </c>
      <c r="D2366" s="14">
        <v>17.3</v>
      </c>
    </row>
    <row r="2367" spans="1:4" x14ac:dyDescent="0.35">
      <c r="A2367" s="13">
        <v>46354</v>
      </c>
      <c r="B2367" t="s">
        <v>3</v>
      </c>
      <c r="C2367" t="s">
        <v>214</v>
      </c>
      <c r="D2367" s="14">
        <v>20.5</v>
      </c>
    </row>
    <row r="2368" spans="1:4" x14ac:dyDescent="0.35">
      <c r="A2368" s="13">
        <v>46354</v>
      </c>
      <c r="B2368" t="s">
        <v>3</v>
      </c>
      <c r="C2368" t="s">
        <v>215</v>
      </c>
      <c r="D2368" s="14">
        <v>14.8</v>
      </c>
    </row>
    <row r="2369" spans="1:4" x14ac:dyDescent="0.35">
      <c r="A2369" s="13">
        <v>46354</v>
      </c>
      <c r="B2369" t="s">
        <v>77</v>
      </c>
      <c r="C2369" t="s">
        <v>216</v>
      </c>
      <c r="D2369" s="14">
        <v>18.600000000000001</v>
      </c>
    </row>
    <row r="2370" spans="1:4" x14ac:dyDescent="0.35">
      <c r="A2370" s="13">
        <v>46354</v>
      </c>
      <c r="B2370" t="s">
        <v>77</v>
      </c>
      <c r="C2370" t="s">
        <v>217</v>
      </c>
      <c r="D2370" s="14">
        <v>21.2</v>
      </c>
    </row>
    <row r="2371" spans="1:4" x14ac:dyDescent="0.35">
      <c r="A2371" s="13">
        <v>46354</v>
      </c>
      <c r="B2371" t="s">
        <v>77</v>
      </c>
      <c r="C2371" t="s">
        <v>218</v>
      </c>
      <c r="D2371" s="14">
        <v>21.3</v>
      </c>
    </row>
    <row r="2372" spans="1:4" x14ac:dyDescent="0.35">
      <c r="A2372" s="13">
        <v>46354</v>
      </c>
      <c r="B2372" t="s">
        <v>77</v>
      </c>
      <c r="C2372" t="s">
        <v>219</v>
      </c>
      <c r="D2372" s="14">
        <v>12.2</v>
      </c>
    </row>
    <row r="2373" spans="1:4" x14ac:dyDescent="0.35">
      <c r="A2373" s="13">
        <v>46354</v>
      </c>
      <c r="B2373" t="s">
        <v>77</v>
      </c>
      <c r="C2373" t="s">
        <v>220</v>
      </c>
      <c r="D2373" s="14">
        <v>18.399999999999999</v>
      </c>
    </row>
    <row r="2374" spans="1:4" x14ac:dyDescent="0.35">
      <c r="A2374" s="13">
        <v>46354</v>
      </c>
      <c r="B2374" t="s">
        <v>77</v>
      </c>
      <c r="C2374" t="s">
        <v>221</v>
      </c>
      <c r="D2374" s="14">
        <v>44.3</v>
      </c>
    </row>
    <row r="2375" spans="1:4" x14ac:dyDescent="0.35">
      <c r="A2375" s="13">
        <v>46354</v>
      </c>
      <c r="B2375" t="s">
        <v>77</v>
      </c>
      <c r="C2375" t="s">
        <v>222</v>
      </c>
      <c r="D2375" s="14">
        <v>20.100000000000001</v>
      </c>
    </row>
    <row r="2376" spans="1:4" x14ac:dyDescent="0.35">
      <c r="A2376" s="13">
        <v>46354</v>
      </c>
      <c r="B2376" t="s">
        <v>77</v>
      </c>
      <c r="C2376" t="s">
        <v>223</v>
      </c>
      <c r="D2376" s="14">
        <v>29.1</v>
      </c>
    </row>
    <row r="2377" spans="1:4" x14ac:dyDescent="0.35">
      <c r="A2377" s="13">
        <v>46354</v>
      </c>
      <c r="B2377" t="s">
        <v>77</v>
      </c>
      <c r="C2377" t="s">
        <v>224</v>
      </c>
      <c r="D2377" s="14">
        <v>20.8</v>
      </c>
    </row>
    <row r="2378" spans="1:4" x14ac:dyDescent="0.35">
      <c r="A2378" s="13">
        <v>46354</v>
      </c>
      <c r="B2378" t="s">
        <v>77</v>
      </c>
      <c r="C2378" t="s">
        <v>225</v>
      </c>
      <c r="D2378" s="14">
        <v>17.2</v>
      </c>
    </row>
    <row r="2379" spans="1:4" x14ac:dyDescent="0.35">
      <c r="A2379" s="13">
        <v>46354</v>
      </c>
      <c r="B2379" t="s">
        <v>77</v>
      </c>
      <c r="C2379" t="s">
        <v>226</v>
      </c>
      <c r="D2379" s="14">
        <v>28.9</v>
      </c>
    </row>
    <row r="2380" spans="1:4" x14ac:dyDescent="0.35">
      <c r="A2380" s="13">
        <v>46354</v>
      </c>
      <c r="B2380" t="s">
        <v>77</v>
      </c>
      <c r="C2380" t="s">
        <v>227</v>
      </c>
      <c r="D2380" s="14">
        <v>22.3</v>
      </c>
    </row>
    <row r="2381" spans="1:4" x14ac:dyDescent="0.35">
      <c r="A2381" s="13">
        <v>46354</v>
      </c>
      <c r="B2381" t="s">
        <v>77</v>
      </c>
      <c r="C2381" t="s">
        <v>228</v>
      </c>
      <c r="D2381" s="14">
        <v>34.5</v>
      </c>
    </row>
    <row r="2382" spans="1:4" x14ac:dyDescent="0.35">
      <c r="A2382" s="13">
        <v>46354</v>
      </c>
      <c r="B2382" t="s">
        <v>77</v>
      </c>
      <c r="C2382" t="s">
        <v>229</v>
      </c>
      <c r="D2382" s="14">
        <v>11.4</v>
      </c>
    </row>
    <row r="2383" spans="1:4" x14ac:dyDescent="0.35">
      <c r="A2383" s="13">
        <v>46354</v>
      </c>
      <c r="B2383" t="s">
        <v>77</v>
      </c>
      <c r="C2383" t="s">
        <v>230</v>
      </c>
      <c r="D2383" s="14">
        <v>13.2</v>
      </c>
    </row>
    <row r="2384" spans="1:4" x14ac:dyDescent="0.35">
      <c r="A2384" s="13">
        <v>46354</v>
      </c>
      <c r="B2384" t="s">
        <v>80</v>
      </c>
      <c r="C2384" t="s">
        <v>231</v>
      </c>
      <c r="D2384" s="14">
        <v>21.7</v>
      </c>
    </row>
    <row r="2385" spans="1:4" x14ac:dyDescent="0.35">
      <c r="A2385" s="13">
        <v>46354</v>
      </c>
      <c r="B2385" t="s">
        <v>80</v>
      </c>
      <c r="C2385" t="s">
        <v>232</v>
      </c>
      <c r="D2385" s="14">
        <v>33</v>
      </c>
    </row>
    <row r="2386" spans="1:4" x14ac:dyDescent="0.35">
      <c r="A2386" s="13">
        <v>46354</v>
      </c>
      <c r="B2386" t="s">
        <v>80</v>
      </c>
      <c r="C2386" t="s">
        <v>233</v>
      </c>
      <c r="D2386" s="14">
        <v>17</v>
      </c>
    </row>
    <row r="2387" spans="1:4" x14ac:dyDescent="0.35">
      <c r="A2387" s="13">
        <v>46354</v>
      </c>
      <c r="B2387" t="s">
        <v>80</v>
      </c>
      <c r="C2387" t="s">
        <v>234</v>
      </c>
      <c r="D2387" s="14">
        <v>11.5</v>
      </c>
    </row>
    <row r="2388" spans="1:4" x14ac:dyDescent="0.35">
      <c r="A2388" s="13">
        <v>46354</v>
      </c>
      <c r="B2388" t="s">
        <v>80</v>
      </c>
      <c r="C2388" t="s">
        <v>235</v>
      </c>
      <c r="D2388" s="14">
        <v>25.8</v>
      </c>
    </row>
    <row r="2389" spans="1:4" x14ac:dyDescent="0.35">
      <c r="A2389" s="13">
        <v>46354</v>
      </c>
      <c r="B2389" t="s">
        <v>80</v>
      </c>
      <c r="C2389" t="s">
        <v>236</v>
      </c>
      <c r="D2389" s="14">
        <v>28.4</v>
      </c>
    </row>
    <row r="2390" spans="1:4" x14ac:dyDescent="0.35">
      <c r="A2390" s="13">
        <v>46354</v>
      </c>
      <c r="B2390" t="s">
        <v>80</v>
      </c>
      <c r="C2390" t="s">
        <v>237</v>
      </c>
      <c r="D2390" s="14">
        <v>19.5</v>
      </c>
    </row>
    <row r="2391" spans="1:4" x14ac:dyDescent="0.35">
      <c r="A2391" s="13">
        <v>46354</v>
      </c>
      <c r="B2391" t="s">
        <v>80</v>
      </c>
      <c r="C2391" t="s">
        <v>238</v>
      </c>
      <c r="D2391" s="14">
        <v>26.1</v>
      </c>
    </row>
    <row r="2392" spans="1:4" x14ac:dyDescent="0.35">
      <c r="A2392" s="13">
        <v>46354</v>
      </c>
      <c r="B2392" t="s">
        <v>80</v>
      </c>
      <c r="C2392" t="s">
        <v>239</v>
      </c>
      <c r="D2392" s="14">
        <v>13.1</v>
      </c>
    </row>
    <row r="2393" spans="1:4" x14ac:dyDescent="0.35">
      <c r="A2393" s="13">
        <v>46354</v>
      </c>
      <c r="B2393" t="s">
        <v>80</v>
      </c>
      <c r="C2393" t="s">
        <v>240</v>
      </c>
      <c r="D2393" s="14">
        <v>28.8</v>
      </c>
    </row>
    <row r="2394" spans="1:4" x14ac:dyDescent="0.35">
      <c r="A2394" s="13">
        <v>46354</v>
      </c>
      <c r="B2394" t="s">
        <v>80</v>
      </c>
      <c r="C2394" t="s">
        <v>241</v>
      </c>
      <c r="D2394" s="14">
        <v>18.2</v>
      </c>
    </row>
    <row r="2395" spans="1:4" x14ac:dyDescent="0.35">
      <c r="A2395" s="13">
        <v>46354</v>
      </c>
      <c r="B2395" t="s">
        <v>80</v>
      </c>
      <c r="C2395" t="s">
        <v>242</v>
      </c>
      <c r="D2395" s="14">
        <v>41.5</v>
      </c>
    </row>
    <row r="2396" spans="1:4" x14ac:dyDescent="0.35">
      <c r="A2396" s="13">
        <v>46354</v>
      </c>
      <c r="B2396" t="s">
        <v>80</v>
      </c>
      <c r="C2396" t="s">
        <v>243</v>
      </c>
      <c r="D2396" s="14">
        <v>33</v>
      </c>
    </row>
    <row r="2397" spans="1:4" x14ac:dyDescent="0.35">
      <c r="A2397" s="13">
        <v>46354</v>
      </c>
      <c r="B2397" t="s">
        <v>80</v>
      </c>
      <c r="C2397" t="s">
        <v>244</v>
      </c>
      <c r="D2397" s="14">
        <v>22.9</v>
      </c>
    </row>
    <row r="2398" spans="1:4" x14ac:dyDescent="0.35">
      <c r="A2398" s="13">
        <v>46354</v>
      </c>
      <c r="B2398" t="s">
        <v>80</v>
      </c>
      <c r="C2398" t="s">
        <v>245</v>
      </c>
      <c r="D2398" s="14">
        <v>21.8</v>
      </c>
    </row>
    <row r="2399" spans="1:4" x14ac:dyDescent="0.35">
      <c r="A2399" s="13">
        <v>46354</v>
      </c>
      <c r="B2399" t="s">
        <v>80</v>
      </c>
      <c r="C2399" t="s">
        <v>246</v>
      </c>
      <c r="D2399" s="14">
        <v>22.7</v>
      </c>
    </row>
    <row r="2400" spans="1:4" x14ac:dyDescent="0.35">
      <c r="A2400" s="13">
        <v>46354</v>
      </c>
      <c r="B2400" t="s">
        <v>80</v>
      </c>
      <c r="C2400" t="s">
        <v>247</v>
      </c>
      <c r="D2400" s="14">
        <v>40</v>
      </c>
    </row>
    <row r="2401" spans="1:4" x14ac:dyDescent="0.35">
      <c r="A2401" s="13">
        <v>46354</v>
      </c>
      <c r="B2401" t="s">
        <v>82</v>
      </c>
      <c r="C2401" t="s">
        <v>248</v>
      </c>
      <c r="D2401" s="14">
        <v>32.9</v>
      </c>
    </row>
    <row r="2402" spans="1:4" x14ac:dyDescent="0.35">
      <c r="A2402" s="13">
        <v>46354</v>
      </c>
      <c r="B2402" t="s">
        <v>82</v>
      </c>
      <c r="C2402" t="s">
        <v>249</v>
      </c>
      <c r="D2402" s="14">
        <v>14.6</v>
      </c>
    </row>
    <row r="2403" spans="1:4" x14ac:dyDescent="0.35">
      <c r="A2403" s="13">
        <v>46354</v>
      </c>
      <c r="B2403" t="s">
        <v>82</v>
      </c>
      <c r="C2403" t="s">
        <v>250</v>
      </c>
      <c r="D2403" s="14">
        <v>23.2</v>
      </c>
    </row>
    <row r="2404" spans="1:4" x14ac:dyDescent="0.35">
      <c r="A2404" s="13">
        <v>46354</v>
      </c>
      <c r="B2404" t="s">
        <v>82</v>
      </c>
      <c r="C2404" t="s">
        <v>251</v>
      </c>
      <c r="D2404" s="14">
        <v>16.3</v>
      </c>
    </row>
    <row r="2405" spans="1:4" x14ac:dyDescent="0.35">
      <c r="A2405" s="13">
        <v>46354</v>
      </c>
      <c r="B2405" t="s">
        <v>82</v>
      </c>
      <c r="C2405" t="s">
        <v>252</v>
      </c>
      <c r="D2405" s="14">
        <v>14.7</v>
      </c>
    </row>
    <row r="2406" spans="1:4" x14ac:dyDescent="0.35">
      <c r="A2406" s="13">
        <v>46354</v>
      </c>
      <c r="B2406" t="s">
        <v>82</v>
      </c>
      <c r="C2406" t="s">
        <v>253</v>
      </c>
      <c r="D2406" s="14">
        <v>24.6</v>
      </c>
    </row>
    <row r="2407" spans="1:4" x14ac:dyDescent="0.35">
      <c r="A2407" s="13">
        <v>46354</v>
      </c>
      <c r="B2407" t="s">
        <v>82</v>
      </c>
      <c r="C2407" t="s">
        <v>254</v>
      </c>
      <c r="D2407" s="14">
        <v>12.2</v>
      </c>
    </row>
    <row r="2408" spans="1:4" x14ac:dyDescent="0.35">
      <c r="A2408" s="13">
        <v>46354</v>
      </c>
      <c r="B2408" t="s">
        <v>82</v>
      </c>
      <c r="C2408" t="s">
        <v>255</v>
      </c>
      <c r="D2408" s="14">
        <v>14.9</v>
      </c>
    </row>
    <row r="2409" spans="1:4" x14ac:dyDescent="0.35">
      <c r="A2409" s="13">
        <v>46354</v>
      </c>
      <c r="B2409" t="s">
        <v>82</v>
      </c>
      <c r="C2409" t="s">
        <v>256</v>
      </c>
      <c r="D2409" s="14">
        <v>26.5</v>
      </c>
    </row>
    <row r="2410" spans="1:4" x14ac:dyDescent="0.35">
      <c r="A2410" s="13">
        <v>46354</v>
      </c>
      <c r="B2410" t="s">
        <v>82</v>
      </c>
      <c r="C2410" t="s">
        <v>257</v>
      </c>
      <c r="D2410" s="14">
        <v>23.8</v>
      </c>
    </row>
    <row r="2411" spans="1:4" x14ac:dyDescent="0.35">
      <c r="A2411" s="13">
        <v>46354</v>
      </c>
      <c r="B2411" t="s">
        <v>82</v>
      </c>
      <c r="C2411" t="s">
        <v>258</v>
      </c>
      <c r="D2411" s="14">
        <v>33.9</v>
      </c>
    </row>
    <row r="2412" spans="1:4" x14ac:dyDescent="0.35">
      <c r="A2412" s="13">
        <v>46354</v>
      </c>
      <c r="B2412" t="s">
        <v>82</v>
      </c>
      <c r="C2412" t="s">
        <v>259</v>
      </c>
      <c r="D2412" s="14">
        <v>16</v>
      </c>
    </row>
    <row r="2413" spans="1:4" x14ac:dyDescent="0.35">
      <c r="A2413" s="13">
        <v>46354</v>
      </c>
      <c r="B2413" t="s">
        <v>82</v>
      </c>
      <c r="C2413" t="s">
        <v>260</v>
      </c>
      <c r="D2413" s="14">
        <v>16.2</v>
      </c>
    </row>
    <row r="2414" spans="1:4" x14ac:dyDescent="0.35">
      <c r="A2414" s="13">
        <v>46354</v>
      </c>
      <c r="B2414" t="s">
        <v>82</v>
      </c>
      <c r="C2414" t="s">
        <v>261</v>
      </c>
      <c r="D2414" s="14">
        <v>23.6</v>
      </c>
    </row>
    <row r="2415" spans="1:4" x14ac:dyDescent="0.35">
      <c r="A2415" s="13">
        <v>46354</v>
      </c>
      <c r="B2415" t="s">
        <v>82</v>
      </c>
      <c r="C2415" t="s">
        <v>262</v>
      </c>
      <c r="D2415" s="14">
        <v>32.1</v>
      </c>
    </row>
    <row r="2416" spans="1:4" x14ac:dyDescent="0.35">
      <c r="A2416" s="13">
        <v>46354</v>
      </c>
      <c r="B2416" t="s">
        <v>82</v>
      </c>
      <c r="C2416" t="s">
        <v>263</v>
      </c>
      <c r="D2416" s="14">
        <v>14.2</v>
      </c>
    </row>
    <row r="2417" spans="1:4" x14ac:dyDescent="0.35">
      <c r="A2417" s="13">
        <v>46354</v>
      </c>
      <c r="B2417" t="s">
        <v>82</v>
      </c>
      <c r="C2417" t="s">
        <v>264</v>
      </c>
      <c r="D2417" s="14">
        <v>35.799999999999997</v>
      </c>
    </row>
    <row r="2418" spans="1:4" x14ac:dyDescent="0.35">
      <c r="A2418" s="13">
        <v>46354</v>
      </c>
      <c r="B2418" t="s">
        <v>82</v>
      </c>
      <c r="C2418" t="s">
        <v>265</v>
      </c>
      <c r="D2418" s="14">
        <v>24.4</v>
      </c>
    </row>
    <row r="2419" spans="1:4" x14ac:dyDescent="0.35">
      <c r="A2419" s="13">
        <v>46354</v>
      </c>
      <c r="B2419" t="s">
        <v>85</v>
      </c>
      <c r="C2419" t="s">
        <v>266</v>
      </c>
      <c r="D2419" s="14">
        <v>16.399999999999999</v>
      </c>
    </row>
    <row r="2420" spans="1:4" x14ac:dyDescent="0.35">
      <c r="A2420" s="13">
        <v>46354</v>
      </c>
      <c r="B2420" t="s">
        <v>85</v>
      </c>
      <c r="C2420" t="s">
        <v>267</v>
      </c>
      <c r="D2420" s="14">
        <v>10.199999999999999</v>
      </c>
    </row>
    <row r="2421" spans="1:4" x14ac:dyDescent="0.35">
      <c r="A2421" s="13">
        <v>46354</v>
      </c>
      <c r="B2421" t="s">
        <v>85</v>
      </c>
      <c r="C2421" t="s">
        <v>268</v>
      </c>
      <c r="D2421" s="14">
        <v>32.200000000000003</v>
      </c>
    </row>
    <row r="2422" spans="1:4" x14ac:dyDescent="0.35">
      <c r="A2422" s="13">
        <v>46354</v>
      </c>
      <c r="B2422" t="s">
        <v>85</v>
      </c>
      <c r="C2422" t="s">
        <v>269</v>
      </c>
      <c r="D2422" s="14">
        <v>32.6</v>
      </c>
    </row>
    <row r="2423" spans="1:4" x14ac:dyDescent="0.35">
      <c r="A2423" s="13">
        <v>46354</v>
      </c>
      <c r="B2423" t="s">
        <v>85</v>
      </c>
      <c r="C2423" t="s">
        <v>270</v>
      </c>
      <c r="D2423" s="14">
        <v>27</v>
      </c>
    </row>
    <row r="2424" spans="1:4" x14ac:dyDescent="0.35">
      <c r="A2424" s="13">
        <v>46354</v>
      </c>
      <c r="B2424" t="s">
        <v>85</v>
      </c>
      <c r="C2424" t="s">
        <v>271</v>
      </c>
      <c r="D2424" s="14">
        <v>19.8</v>
      </c>
    </row>
    <row r="2425" spans="1:4" x14ac:dyDescent="0.35">
      <c r="A2425" s="13">
        <v>46354</v>
      </c>
      <c r="B2425" t="s">
        <v>85</v>
      </c>
      <c r="C2425" t="s">
        <v>272</v>
      </c>
      <c r="D2425" s="14">
        <v>27.3</v>
      </c>
    </row>
    <row r="2426" spans="1:4" x14ac:dyDescent="0.35">
      <c r="A2426" s="13">
        <v>46354</v>
      </c>
      <c r="B2426" t="s">
        <v>85</v>
      </c>
      <c r="C2426" t="s">
        <v>273</v>
      </c>
      <c r="D2426" s="14">
        <v>13.6</v>
      </c>
    </row>
    <row r="2427" spans="1:4" x14ac:dyDescent="0.35">
      <c r="A2427" s="13">
        <v>46354</v>
      </c>
      <c r="B2427" t="s">
        <v>85</v>
      </c>
      <c r="C2427" t="s">
        <v>274</v>
      </c>
      <c r="D2427" s="14">
        <v>12.8</v>
      </c>
    </row>
    <row r="2428" spans="1:4" x14ac:dyDescent="0.35">
      <c r="A2428" s="13">
        <v>46354</v>
      </c>
      <c r="B2428" t="s">
        <v>85</v>
      </c>
      <c r="C2428" t="s">
        <v>275</v>
      </c>
      <c r="D2428" s="14">
        <v>25</v>
      </c>
    </row>
    <row r="2429" spans="1:4" x14ac:dyDescent="0.35">
      <c r="A2429" s="13">
        <v>46354</v>
      </c>
      <c r="B2429" t="s">
        <v>85</v>
      </c>
      <c r="C2429" t="s">
        <v>276</v>
      </c>
      <c r="D2429" s="14">
        <v>16.8</v>
      </c>
    </row>
    <row r="2430" spans="1:4" x14ac:dyDescent="0.35">
      <c r="A2430" s="13">
        <v>46354</v>
      </c>
      <c r="B2430" t="s">
        <v>85</v>
      </c>
      <c r="C2430" t="s">
        <v>277</v>
      </c>
      <c r="D2430" s="14">
        <v>20.7</v>
      </c>
    </row>
    <row r="2431" spans="1:4" x14ac:dyDescent="0.35">
      <c r="A2431" s="13">
        <v>46354</v>
      </c>
      <c r="B2431" t="s">
        <v>85</v>
      </c>
      <c r="C2431" t="s">
        <v>278</v>
      </c>
      <c r="D2431" s="14">
        <v>24.4</v>
      </c>
    </row>
    <row r="2432" spans="1:4" x14ac:dyDescent="0.35">
      <c r="A2432" s="13">
        <v>46354</v>
      </c>
      <c r="B2432" t="s">
        <v>85</v>
      </c>
      <c r="C2432" t="s">
        <v>279</v>
      </c>
      <c r="D2432" s="14">
        <v>16.5</v>
      </c>
    </row>
    <row r="2433" spans="1:4" x14ac:dyDescent="0.35">
      <c r="A2433" s="13">
        <v>46354</v>
      </c>
      <c r="B2433" t="s">
        <v>85</v>
      </c>
      <c r="C2433" t="s">
        <v>280</v>
      </c>
      <c r="D2433" s="14">
        <v>21.9</v>
      </c>
    </row>
    <row r="2434" spans="1:4" x14ac:dyDescent="0.35">
      <c r="A2434" s="13">
        <v>46354</v>
      </c>
      <c r="B2434" t="s">
        <v>85</v>
      </c>
      <c r="C2434" t="s">
        <v>281</v>
      </c>
      <c r="D2434" s="14">
        <v>17.8</v>
      </c>
    </row>
    <row r="2435" spans="1:4" x14ac:dyDescent="0.35">
      <c r="A2435" s="13">
        <v>46354</v>
      </c>
      <c r="B2435" t="s">
        <v>87</v>
      </c>
      <c r="C2435" t="s">
        <v>282</v>
      </c>
      <c r="D2435" s="14">
        <v>11.7</v>
      </c>
    </row>
    <row r="2436" spans="1:4" x14ac:dyDescent="0.35">
      <c r="A2436" s="13">
        <v>46354</v>
      </c>
      <c r="B2436" t="s">
        <v>87</v>
      </c>
      <c r="C2436" t="s">
        <v>283</v>
      </c>
      <c r="D2436" s="14">
        <v>22.2</v>
      </c>
    </row>
    <row r="2437" spans="1:4" x14ac:dyDescent="0.35">
      <c r="A2437" s="13">
        <v>46354</v>
      </c>
      <c r="B2437" t="s">
        <v>87</v>
      </c>
      <c r="C2437" t="s">
        <v>284</v>
      </c>
      <c r="D2437" s="14">
        <v>19</v>
      </c>
    </row>
    <row r="2438" spans="1:4" x14ac:dyDescent="0.35">
      <c r="A2438" s="13">
        <v>46354</v>
      </c>
      <c r="B2438" t="s">
        <v>87</v>
      </c>
      <c r="C2438" t="s">
        <v>285</v>
      </c>
      <c r="D2438" s="14">
        <v>27.5</v>
      </c>
    </row>
    <row r="2439" spans="1:4" x14ac:dyDescent="0.35">
      <c r="A2439" s="13">
        <v>46354</v>
      </c>
      <c r="B2439" t="s">
        <v>87</v>
      </c>
      <c r="C2439" t="s">
        <v>286</v>
      </c>
      <c r="D2439" s="14">
        <v>19.7</v>
      </c>
    </row>
    <row r="2440" spans="1:4" x14ac:dyDescent="0.35">
      <c r="A2440" s="13">
        <v>46354</v>
      </c>
      <c r="B2440" t="s">
        <v>87</v>
      </c>
      <c r="C2440" t="s">
        <v>287</v>
      </c>
      <c r="D2440" s="14">
        <v>25.5</v>
      </c>
    </row>
    <row r="2441" spans="1:4" x14ac:dyDescent="0.35">
      <c r="A2441" s="13">
        <v>46354</v>
      </c>
      <c r="B2441" t="s">
        <v>87</v>
      </c>
      <c r="C2441" t="s">
        <v>288</v>
      </c>
      <c r="D2441" s="14">
        <v>16.100000000000001</v>
      </c>
    </row>
    <row r="2442" spans="1:4" x14ac:dyDescent="0.35">
      <c r="A2442" s="13">
        <v>46354</v>
      </c>
      <c r="B2442" t="s">
        <v>87</v>
      </c>
      <c r="C2442" t="s">
        <v>289</v>
      </c>
      <c r="D2442" s="14">
        <v>17.5</v>
      </c>
    </row>
    <row r="2443" spans="1:4" x14ac:dyDescent="0.35">
      <c r="A2443" s="13">
        <v>46354</v>
      </c>
      <c r="B2443" t="s">
        <v>87</v>
      </c>
      <c r="C2443" t="s">
        <v>290</v>
      </c>
      <c r="D2443" s="14">
        <v>26.3</v>
      </c>
    </row>
    <row r="2444" spans="1:4" x14ac:dyDescent="0.35">
      <c r="A2444" s="13">
        <v>46354</v>
      </c>
      <c r="B2444" t="s">
        <v>87</v>
      </c>
      <c r="C2444" t="s">
        <v>291</v>
      </c>
      <c r="D2444" s="14">
        <v>20.3</v>
      </c>
    </row>
    <row r="2445" spans="1:4" x14ac:dyDescent="0.35">
      <c r="A2445" s="13">
        <v>46354</v>
      </c>
      <c r="B2445" t="s">
        <v>87</v>
      </c>
      <c r="C2445" t="s">
        <v>292</v>
      </c>
      <c r="D2445" s="14">
        <v>17</v>
      </c>
    </row>
    <row r="2446" spans="1:4" x14ac:dyDescent="0.35">
      <c r="A2446" s="13">
        <v>46354</v>
      </c>
      <c r="B2446" t="s">
        <v>87</v>
      </c>
      <c r="C2446" t="s">
        <v>293</v>
      </c>
      <c r="D2446" s="14">
        <v>15.8</v>
      </c>
    </row>
    <row r="2447" spans="1:4" x14ac:dyDescent="0.35">
      <c r="A2447" s="13">
        <v>46354</v>
      </c>
      <c r="B2447" t="s">
        <v>87</v>
      </c>
      <c r="C2447" t="s">
        <v>294</v>
      </c>
      <c r="D2447" s="14">
        <v>15.5</v>
      </c>
    </row>
    <row r="2448" spans="1:4" x14ac:dyDescent="0.35">
      <c r="A2448" s="13">
        <v>46354</v>
      </c>
      <c r="B2448" t="s">
        <v>87</v>
      </c>
      <c r="C2448" t="s">
        <v>295</v>
      </c>
      <c r="D2448" s="14">
        <v>19.399999999999999</v>
      </c>
    </row>
    <row r="2449" spans="1:4" x14ac:dyDescent="0.35">
      <c r="A2449" s="13">
        <v>46354</v>
      </c>
      <c r="B2449" t="s">
        <v>87</v>
      </c>
      <c r="C2449" t="s">
        <v>296</v>
      </c>
      <c r="D2449" s="14">
        <v>29.2</v>
      </c>
    </row>
    <row r="2450" spans="1:4" x14ac:dyDescent="0.35">
      <c r="A2450" s="13">
        <v>46354</v>
      </c>
      <c r="B2450" t="s">
        <v>87</v>
      </c>
      <c r="C2450" t="s">
        <v>297</v>
      </c>
      <c r="D2450" s="14">
        <v>21.2</v>
      </c>
    </row>
    <row r="2451" spans="1:4" x14ac:dyDescent="0.35">
      <c r="A2451" s="13">
        <v>46354</v>
      </c>
      <c r="B2451" t="s">
        <v>77</v>
      </c>
      <c r="C2451" t="s">
        <v>298</v>
      </c>
      <c r="D2451" s="14">
        <v>21.2</v>
      </c>
    </row>
    <row r="2452" spans="1:4" x14ac:dyDescent="0.35">
      <c r="A2452" s="13">
        <v>46354</v>
      </c>
      <c r="B2452" t="s">
        <v>85</v>
      </c>
      <c r="C2452" t="s">
        <v>299</v>
      </c>
      <c r="D2452" s="14">
        <v>18.899999999999999</v>
      </c>
    </row>
    <row r="2453" spans="1:4" x14ac:dyDescent="0.35">
      <c r="A2453" s="13">
        <v>46361</v>
      </c>
      <c r="B2453" t="s">
        <v>70</v>
      </c>
      <c r="C2453" t="s">
        <v>155</v>
      </c>
      <c r="D2453" s="14">
        <v>38.9</v>
      </c>
    </row>
    <row r="2454" spans="1:4" x14ac:dyDescent="0.35">
      <c r="A2454" s="13">
        <v>46361</v>
      </c>
      <c r="B2454" t="s">
        <v>70</v>
      </c>
      <c r="C2454" t="s">
        <v>158</v>
      </c>
      <c r="D2454" s="14">
        <v>33.6</v>
      </c>
    </row>
    <row r="2455" spans="1:4" x14ac:dyDescent="0.35">
      <c r="A2455" s="13">
        <v>46361</v>
      </c>
      <c r="B2455" t="s">
        <v>70</v>
      </c>
      <c r="C2455" t="s">
        <v>159</v>
      </c>
      <c r="D2455" s="14">
        <v>25.6</v>
      </c>
    </row>
    <row r="2456" spans="1:4" x14ac:dyDescent="0.35">
      <c r="A2456" s="13">
        <v>46361</v>
      </c>
      <c r="B2456" t="s">
        <v>70</v>
      </c>
      <c r="C2456" t="s">
        <v>162</v>
      </c>
      <c r="D2456" s="14">
        <v>36.799999999999997</v>
      </c>
    </row>
    <row r="2457" spans="1:4" x14ac:dyDescent="0.35">
      <c r="A2457" s="13">
        <v>46361</v>
      </c>
      <c r="B2457" t="s">
        <v>70</v>
      </c>
      <c r="C2457" t="s">
        <v>164</v>
      </c>
      <c r="D2457" s="14">
        <v>16.100000000000001</v>
      </c>
    </row>
    <row r="2458" spans="1:4" x14ac:dyDescent="0.35">
      <c r="A2458" s="13">
        <v>46361</v>
      </c>
      <c r="B2458" t="s">
        <v>70</v>
      </c>
      <c r="C2458" t="s">
        <v>167</v>
      </c>
      <c r="D2458" s="14">
        <v>20.6</v>
      </c>
    </row>
    <row r="2459" spans="1:4" x14ac:dyDescent="0.35">
      <c r="A2459" s="13">
        <v>46361</v>
      </c>
      <c r="B2459" t="s">
        <v>70</v>
      </c>
      <c r="C2459" t="s">
        <v>169</v>
      </c>
      <c r="D2459" s="14">
        <v>15.5</v>
      </c>
    </row>
    <row r="2460" spans="1:4" x14ac:dyDescent="0.35">
      <c r="A2460" s="13">
        <v>46361</v>
      </c>
      <c r="B2460" t="s">
        <v>70</v>
      </c>
      <c r="C2460" t="s">
        <v>170</v>
      </c>
      <c r="D2460" s="14">
        <v>30.4</v>
      </c>
    </row>
    <row r="2461" spans="1:4" x14ac:dyDescent="0.35">
      <c r="A2461" s="13">
        <v>46361</v>
      </c>
      <c r="B2461" t="s">
        <v>70</v>
      </c>
      <c r="C2461" t="s">
        <v>171</v>
      </c>
      <c r="D2461" s="14">
        <v>24.1</v>
      </c>
    </row>
    <row r="2462" spans="1:4" x14ac:dyDescent="0.35">
      <c r="A2462" s="13">
        <v>46361</v>
      </c>
      <c r="B2462" t="s">
        <v>70</v>
      </c>
      <c r="C2462" t="s">
        <v>172</v>
      </c>
      <c r="D2462" s="14">
        <v>15.6</v>
      </c>
    </row>
    <row r="2463" spans="1:4" x14ac:dyDescent="0.35">
      <c r="A2463" s="13">
        <v>46361</v>
      </c>
      <c r="B2463" t="s">
        <v>70</v>
      </c>
      <c r="C2463" t="s">
        <v>173</v>
      </c>
      <c r="D2463" s="14">
        <v>28.4</v>
      </c>
    </row>
    <row r="2464" spans="1:4" x14ac:dyDescent="0.35">
      <c r="A2464" s="13">
        <v>46361</v>
      </c>
      <c r="B2464" t="s">
        <v>70</v>
      </c>
      <c r="C2464" t="s">
        <v>174</v>
      </c>
      <c r="D2464" s="14">
        <v>34.6</v>
      </c>
    </row>
    <row r="2465" spans="1:4" x14ac:dyDescent="0.35">
      <c r="A2465" s="13">
        <v>46361</v>
      </c>
      <c r="B2465" t="s">
        <v>70</v>
      </c>
      <c r="C2465" t="s">
        <v>175</v>
      </c>
      <c r="D2465" s="14">
        <v>23.8</v>
      </c>
    </row>
    <row r="2466" spans="1:4" x14ac:dyDescent="0.35">
      <c r="A2466" s="13">
        <v>46361</v>
      </c>
      <c r="B2466" t="s">
        <v>70</v>
      </c>
      <c r="C2466" t="s">
        <v>176</v>
      </c>
      <c r="D2466" s="14">
        <v>18.600000000000001</v>
      </c>
    </row>
    <row r="2467" spans="1:4" x14ac:dyDescent="0.35">
      <c r="A2467" s="13">
        <v>46361</v>
      </c>
      <c r="B2467" t="s">
        <v>73</v>
      </c>
      <c r="C2467" t="s">
        <v>177</v>
      </c>
      <c r="D2467" s="14">
        <v>19.5</v>
      </c>
    </row>
    <row r="2468" spans="1:4" x14ac:dyDescent="0.35">
      <c r="A2468" s="13">
        <v>46361</v>
      </c>
      <c r="B2468" t="s">
        <v>73</v>
      </c>
      <c r="C2468" t="s">
        <v>178</v>
      </c>
      <c r="D2468" s="14">
        <v>17</v>
      </c>
    </row>
    <row r="2469" spans="1:4" x14ac:dyDescent="0.35">
      <c r="A2469" s="13">
        <v>46361</v>
      </c>
      <c r="B2469" t="s">
        <v>73</v>
      </c>
      <c r="C2469" t="s">
        <v>179</v>
      </c>
      <c r="D2469" s="14">
        <v>25.2</v>
      </c>
    </row>
    <row r="2470" spans="1:4" x14ac:dyDescent="0.35">
      <c r="A2470" s="13">
        <v>46361</v>
      </c>
      <c r="B2470" t="s">
        <v>73</v>
      </c>
      <c r="C2470" t="s">
        <v>180</v>
      </c>
      <c r="D2470" s="14">
        <v>14.2</v>
      </c>
    </row>
    <row r="2471" spans="1:4" x14ac:dyDescent="0.35">
      <c r="A2471" s="13">
        <v>46361</v>
      </c>
      <c r="B2471" t="s">
        <v>73</v>
      </c>
      <c r="C2471" t="s">
        <v>181</v>
      </c>
      <c r="D2471" s="14">
        <v>16</v>
      </c>
    </row>
    <row r="2472" spans="1:4" x14ac:dyDescent="0.35">
      <c r="A2472" s="13">
        <v>46361</v>
      </c>
      <c r="B2472" t="s">
        <v>73</v>
      </c>
      <c r="C2472" t="s">
        <v>182</v>
      </c>
      <c r="D2472" s="14">
        <v>21.1</v>
      </c>
    </row>
    <row r="2473" spans="1:4" x14ac:dyDescent="0.35">
      <c r="A2473" s="13">
        <v>46361</v>
      </c>
      <c r="B2473" t="s">
        <v>73</v>
      </c>
      <c r="C2473" t="s">
        <v>183</v>
      </c>
      <c r="D2473" s="14">
        <v>31.5</v>
      </c>
    </row>
    <row r="2474" spans="1:4" x14ac:dyDescent="0.35">
      <c r="A2474" s="13">
        <v>46361</v>
      </c>
      <c r="B2474" t="s">
        <v>73</v>
      </c>
      <c r="C2474" t="s">
        <v>184</v>
      </c>
      <c r="D2474" s="14">
        <v>25</v>
      </c>
    </row>
    <row r="2475" spans="1:4" x14ac:dyDescent="0.35">
      <c r="A2475" s="13">
        <v>46361</v>
      </c>
      <c r="B2475" t="s">
        <v>73</v>
      </c>
      <c r="C2475" t="s">
        <v>185</v>
      </c>
      <c r="D2475" s="14">
        <v>15.8</v>
      </c>
    </row>
    <row r="2476" spans="1:4" x14ac:dyDescent="0.35">
      <c r="A2476" s="13">
        <v>46361</v>
      </c>
      <c r="B2476" t="s">
        <v>73</v>
      </c>
      <c r="C2476" t="s">
        <v>186</v>
      </c>
      <c r="D2476" s="14">
        <v>22.8</v>
      </c>
    </row>
    <row r="2477" spans="1:4" x14ac:dyDescent="0.35">
      <c r="A2477" s="13">
        <v>46361</v>
      </c>
      <c r="B2477" t="s">
        <v>73</v>
      </c>
      <c r="C2477" t="s">
        <v>187</v>
      </c>
      <c r="D2477" s="14">
        <v>12.3</v>
      </c>
    </row>
    <row r="2478" spans="1:4" x14ac:dyDescent="0.35">
      <c r="A2478" s="13">
        <v>46361</v>
      </c>
      <c r="B2478" t="s">
        <v>73</v>
      </c>
      <c r="C2478" t="s">
        <v>189</v>
      </c>
      <c r="D2478" s="14">
        <v>17</v>
      </c>
    </row>
    <row r="2479" spans="1:4" x14ac:dyDescent="0.35">
      <c r="A2479" s="13">
        <v>46361</v>
      </c>
      <c r="B2479" t="s">
        <v>73</v>
      </c>
      <c r="C2479" t="s">
        <v>190</v>
      </c>
      <c r="D2479" s="14">
        <v>19.7</v>
      </c>
    </row>
    <row r="2480" spans="1:4" x14ac:dyDescent="0.35">
      <c r="A2480" s="13">
        <v>46361</v>
      </c>
      <c r="B2480" t="s">
        <v>73</v>
      </c>
      <c r="C2480" t="s">
        <v>191</v>
      </c>
      <c r="D2480" s="14">
        <v>18.600000000000001</v>
      </c>
    </row>
    <row r="2481" spans="1:4" x14ac:dyDescent="0.35">
      <c r="A2481" s="13">
        <v>46361</v>
      </c>
      <c r="B2481" t="s">
        <v>73</v>
      </c>
      <c r="C2481" t="s">
        <v>192</v>
      </c>
      <c r="D2481" s="14">
        <v>11.8</v>
      </c>
    </row>
    <row r="2482" spans="1:4" x14ac:dyDescent="0.35">
      <c r="A2482" s="13">
        <v>46361</v>
      </c>
      <c r="B2482" t="s">
        <v>73</v>
      </c>
      <c r="C2482" t="s">
        <v>193</v>
      </c>
      <c r="D2482" s="14">
        <v>23.5</v>
      </c>
    </row>
    <row r="2483" spans="1:4" x14ac:dyDescent="0.35">
      <c r="A2483" s="13">
        <v>46361</v>
      </c>
      <c r="B2483" t="s">
        <v>73</v>
      </c>
      <c r="C2483" t="s">
        <v>194</v>
      </c>
      <c r="D2483" s="14">
        <v>15.1</v>
      </c>
    </row>
    <row r="2484" spans="1:4" x14ac:dyDescent="0.35">
      <c r="A2484" s="13">
        <v>46361</v>
      </c>
      <c r="B2484" t="s">
        <v>73</v>
      </c>
      <c r="C2484" t="s">
        <v>195</v>
      </c>
      <c r="D2484" s="14">
        <v>23.8</v>
      </c>
    </row>
    <row r="2485" spans="1:4" x14ac:dyDescent="0.35">
      <c r="A2485" s="13">
        <v>46361</v>
      </c>
      <c r="B2485" t="s">
        <v>73</v>
      </c>
      <c r="C2485" t="s">
        <v>196</v>
      </c>
      <c r="D2485" s="14">
        <v>12.9</v>
      </c>
    </row>
    <row r="2486" spans="1:4" x14ac:dyDescent="0.35">
      <c r="A2486" s="13">
        <v>46361</v>
      </c>
      <c r="B2486" t="s">
        <v>3</v>
      </c>
      <c r="C2486" t="s">
        <v>197</v>
      </c>
      <c r="D2486" s="14">
        <v>21.3</v>
      </c>
    </row>
    <row r="2487" spans="1:4" x14ac:dyDescent="0.35">
      <c r="A2487" s="13">
        <v>46361</v>
      </c>
      <c r="B2487" t="s">
        <v>3</v>
      </c>
      <c r="C2487" t="s">
        <v>198</v>
      </c>
      <c r="D2487" s="14">
        <v>18.8</v>
      </c>
    </row>
    <row r="2488" spans="1:4" x14ac:dyDescent="0.35">
      <c r="A2488" s="13">
        <v>46361</v>
      </c>
      <c r="B2488" t="s">
        <v>3</v>
      </c>
      <c r="C2488" t="s">
        <v>199</v>
      </c>
      <c r="D2488" s="14">
        <v>29.1</v>
      </c>
    </row>
    <row r="2489" spans="1:4" x14ac:dyDescent="0.35">
      <c r="A2489" s="13">
        <v>46361</v>
      </c>
      <c r="B2489" t="s">
        <v>3</v>
      </c>
      <c r="C2489" t="s">
        <v>200</v>
      </c>
      <c r="D2489" s="14">
        <v>20.9</v>
      </c>
    </row>
    <row r="2490" spans="1:4" x14ac:dyDescent="0.35">
      <c r="A2490" s="13">
        <v>46361</v>
      </c>
      <c r="B2490" t="s">
        <v>3</v>
      </c>
      <c r="C2490" t="s">
        <v>201</v>
      </c>
      <c r="D2490" s="14">
        <v>33.200000000000003</v>
      </c>
    </row>
    <row r="2491" spans="1:4" x14ac:dyDescent="0.35">
      <c r="A2491" s="13">
        <v>46361</v>
      </c>
      <c r="B2491" t="s">
        <v>3</v>
      </c>
      <c r="C2491" t="s">
        <v>202</v>
      </c>
      <c r="D2491" s="14">
        <v>13.5</v>
      </c>
    </row>
    <row r="2492" spans="1:4" x14ac:dyDescent="0.35">
      <c r="A2492" s="13">
        <v>46361</v>
      </c>
      <c r="B2492" t="s">
        <v>3</v>
      </c>
      <c r="C2492" t="s">
        <v>203</v>
      </c>
      <c r="D2492" s="14">
        <v>22.9</v>
      </c>
    </row>
    <row r="2493" spans="1:4" x14ac:dyDescent="0.35">
      <c r="A2493" s="13">
        <v>46361</v>
      </c>
      <c r="B2493" t="s">
        <v>3</v>
      </c>
      <c r="C2493" t="s">
        <v>204</v>
      </c>
      <c r="D2493" s="14">
        <v>13</v>
      </c>
    </row>
    <row r="2494" spans="1:4" x14ac:dyDescent="0.35">
      <c r="A2494" s="13">
        <v>46361</v>
      </c>
      <c r="B2494" t="s">
        <v>3</v>
      </c>
      <c r="C2494" t="s">
        <v>205</v>
      </c>
      <c r="D2494" s="14">
        <v>37.1</v>
      </c>
    </row>
    <row r="2495" spans="1:4" x14ac:dyDescent="0.35">
      <c r="A2495" s="13">
        <v>46361</v>
      </c>
      <c r="B2495" t="s">
        <v>3</v>
      </c>
      <c r="C2495" t="s">
        <v>206</v>
      </c>
      <c r="D2495" s="14">
        <v>35.1</v>
      </c>
    </row>
    <row r="2496" spans="1:4" x14ac:dyDescent="0.35">
      <c r="A2496" s="13">
        <v>46361</v>
      </c>
      <c r="B2496" t="s">
        <v>3</v>
      </c>
      <c r="C2496" t="s">
        <v>207</v>
      </c>
      <c r="D2496" s="14">
        <v>35.5</v>
      </c>
    </row>
    <row r="2497" spans="1:4" x14ac:dyDescent="0.35">
      <c r="A2497" s="13">
        <v>46361</v>
      </c>
      <c r="B2497" t="s">
        <v>3</v>
      </c>
      <c r="C2497" t="s">
        <v>208</v>
      </c>
      <c r="D2497" s="14">
        <v>34.299999999999997</v>
      </c>
    </row>
    <row r="2498" spans="1:4" x14ac:dyDescent="0.35">
      <c r="A2498" s="13">
        <v>46361</v>
      </c>
      <c r="B2498" t="s">
        <v>3</v>
      </c>
      <c r="C2498" t="s">
        <v>209</v>
      </c>
      <c r="D2498" s="14">
        <v>32.4</v>
      </c>
    </row>
    <row r="2499" spans="1:4" x14ac:dyDescent="0.35">
      <c r="A2499" s="13">
        <v>46361</v>
      </c>
      <c r="B2499" t="s">
        <v>3</v>
      </c>
      <c r="C2499" t="s">
        <v>210</v>
      </c>
      <c r="D2499" s="14">
        <v>20.7</v>
      </c>
    </row>
    <row r="2500" spans="1:4" x14ac:dyDescent="0.35">
      <c r="A2500" s="13">
        <v>46361</v>
      </c>
      <c r="B2500" t="s">
        <v>3</v>
      </c>
      <c r="C2500" t="s">
        <v>211</v>
      </c>
      <c r="D2500" s="14">
        <v>22.8</v>
      </c>
    </row>
    <row r="2501" spans="1:4" x14ac:dyDescent="0.35">
      <c r="A2501" s="13">
        <v>46361</v>
      </c>
      <c r="B2501" t="s">
        <v>3</v>
      </c>
      <c r="C2501" t="s">
        <v>212</v>
      </c>
      <c r="D2501" s="14">
        <v>32</v>
      </c>
    </row>
    <row r="2502" spans="1:4" x14ac:dyDescent="0.35">
      <c r="A2502" s="13">
        <v>46361</v>
      </c>
      <c r="B2502" t="s">
        <v>3</v>
      </c>
      <c r="C2502" t="s">
        <v>213</v>
      </c>
      <c r="D2502" s="14">
        <v>18.600000000000001</v>
      </c>
    </row>
    <row r="2503" spans="1:4" x14ac:dyDescent="0.35">
      <c r="A2503" s="13">
        <v>46361</v>
      </c>
      <c r="B2503" t="s">
        <v>3</v>
      </c>
      <c r="C2503" t="s">
        <v>214</v>
      </c>
      <c r="D2503" s="14">
        <v>22.1</v>
      </c>
    </row>
    <row r="2504" spans="1:4" x14ac:dyDescent="0.35">
      <c r="A2504" s="13">
        <v>46361</v>
      </c>
      <c r="B2504" t="s">
        <v>3</v>
      </c>
      <c r="C2504" t="s">
        <v>215</v>
      </c>
      <c r="D2504" s="14">
        <v>15.9</v>
      </c>
    </row>
    <row r="2505" spans="1:4" x14ac:dyDescent="0.35">
      <c r="A2505" s="13">
        <v>46361</v>
      </c>
      <c r="B2505" t="s">
        <v>77</v>
      </c>
      <c r="C2505" t="s">
        <v>216</v>
      </c>
      <c r="D2505" s="14">
        <v>19.399999999999999</v>
      </c>
    </row>
    <row r="2506" spans="1:4" x14ac:dyDescent="0.35">
      <c r="A2506" s="13">
        <v>46361</v>
      </c>
      <c r="B2506" t="s">
        <v>77</v>
      </c>
      <c r="C2506" t="s">
        <v>217</v>
      </c>
      <c r="D2506" s="14">
        <v>22.1</v>
      </c>
    </row>
    <row r="2507" spans="1:4" x14ac:dyDescent="0.35">
      <c r="A2507" s="13">
        <v>46361</v>
      </c>
      <c r="B2507" t="s">
        <v>77</v>
      </c>
      <c r="C2507" t="s">
        <v>218</v>
      </c>
      <c r="D2507" s="14">
        <v>22.2</v>
      </c>
    </row>
    <row r="2508" spans="1:4" x14ac:dyDescent="0.35">
      <c r="A2508" s="13">
        <v>46361</v>
      </c>
      <c r="B2508" t="s">
        <v>77</v>
      </c>
      <c r="C2508" t="s">
        <v>219</v>
      </c>
      <c r="D2508" s="14">
        <v>12.7</v>
      </c>
    </row>
    <row r="2509" spans="1:4" x14ac:dyDescent="0.35">
      <c r="A2509" s="13">
        <v>46361</v>
      </c>
      <c r="B2509" t="s">
        <v>77</v>
      </c>
      <c r="C2509" t="s">
        <v>220</v>
      </c>
      <c r="D2509" s="14">
        <v>19.2</v>
      </c>
    </row>
    <row r="2510" spans="1:4" x14ac:dyDescent="0.35">
      <c r="A2510" s="13">
        <v>46361</v>
      </c>
      <c r="B2510" t="s">
        <v>77</v>
      </c>
      <c r="C2510" t="s">
        <v>221</v>
      </c>
      <c r="D2510" s="14">
        <v>46.2</v>
      </c>
    </row>
    <row r="2511" spans="1:4" x14ac:dyDescent="0.35">
      <c r="A2511" s="13">
        <v>46361</v>
      </c>
      <c r="B2511" t="s">
        <v>77</v>
      </c>
      <c r="C2511" t="s">
        <v>222</v>
      </c>
      <c r="D2511" s="14">
        <v>21</v>
      </c>
    </row>
    <row r="2512" spans="1:4" x14ac:dyDescent="0.35">
      <c r="A2512" s="13">
        <v>46361</v>
      </c>
      <c r="B2512" t="s">
        <v>77</v>
      </c>
      <c r="C2512" t="s">
        <v>223</v>
      </c>
      <c r="D2512" s="14">
        <v>30.3</v>
      </c>
    </row>
    <row r="2513" spans="1:4" x14ac:dyDescent="0.35">
      <c r="A2513" s="13">
        <v>46361</v>
      </c>
      <c r="B2513" t="s">
        <v>77</v>
      </c>
      <c r="C2513" t="s">
        <v>224</v>
      </c>
      <c r="D2513" s="14">
        <v>21.6</v>
      </c>
    </row>
    <row r="2514" spans="1:4" x14ac:dyDescent="0.35">
      <c r="A2514" s="13">
        <v>46361</v>
      </c>
      <c r="B2514" t="s">
        <v>77</v>
      </c>
      <c r="C2514" t="s">
        <v>225</v>
      </c>
      <c r="D2514" s="14">
        <v>17.899999999999999</v>
      </c>
    </row>
    <row r="2515" spans="1:4" x14ac:dyDescent="0.35">
      <c r="A2515" s="13">
        <v>46361</v>
      </c>
      <c r="B2515" t="s">
        <v>77</v>
      </c>
      <c r="C2515" t="s">
        <v>226</v>
      </c>
      <c r="D2515" s="14">
        <v>30.1</v>
      </c>
    </row>
    <row r="2516" spans="1:4" x14ac:dyDescent="0.35">
      <c r="A2516" s="13">
        <v>46361</v>
      </c>
      <c r="B2516" t="s">
        <v>77</v>
      </c>
      <c r="C2516" t="s">
        <v>227</v>
      </c>
      <c r="D2516" s="14">
        <v>23.3</v>
      </c>
    </row>
    <row r="2517" spans="1:4" x14ac:dyDescent="0.35">
      <c r="A2517" s="13">
        <v>46361</v>
      </c>
      <c r="B2517" t="s">
        <v>77</v>
      </c>
      <c r="C2517" t="s">
        <v>228</v>
      </c>
      <c r="D2517" s="14">
        <v>36</v>
      </c>
    </row>
    <row r="2518" spans="1:4" x14ac:dyDescent="0.35">
      <c r="A2518" s="13">
        <v>46361</v>
      </c>
      <c r="B2518" t="s">
        <v>77</v>
      </c>
      <c r="C2518" t="s">
        <v>229</v>
      </c>
      <c r="D2518" s="14">
        <v>11.9</v>
      </c>
    </row>
    <row r="2519" spans="1:4" x14ac:dyDescent="0.35">
      <c r="A2519" s="13">
        <v>46361</v>
      </c>
      <c r="B2519" t="s">
        <v>77</v>
      </c>
      <c r="C2519" t="s">
        <v>230</v>
      </c>
      <c r="D2519" s="14">
        <v>13.8</v>
      </c>
    </row>
    <row r="2520" spans="1:4" x14ac:dyDescent="0.35">
      <c r="A2520" s="13">
        <v>46361</v>
      </c>
      <c r="B2520" t="s">
        <v>80</v>
      </c>
      <c r="C2520" t="s">
        <v>231</v>
      </c>
      <c r="D2520" s="14">
        <v>23.3</v>
      </c>
    </row>
    <row r="2521" spans="1:4" x14ac:dyDescent="0.35">
      <c r="A2521" s="13">
        <v>46361</v>
      </c>
      <c r="B2521" t="s">
        <v>80</v>
      </c>
      <c r="C2521" t="s">
        <v>232</v>
      </c>
      <c r="D2521" s="14">
        <v>35.4</v>
      </c>
    </row>
    <row r="2522" spans="1:4" x14ac:dyDescent="0.35">
      <c r="A2522" s="13">
        <v>46361</v>
      </c>
      <c r="B2522" t="s">
        <v>80</v>
      </c>
      <c r="C2522" t="s">
        <v>233</v>
      </c>
      <c r="D2522" s="14">
        <v>18.3</v>
      </c>
    </row>
    <row r="2523" spans="1:4" x14ac:dyDescent="0.35">
      <c r="A2523" s="13">
        <v>46361</v>
      </c>
      <c r="B2523" t="s">
        <v>80</v>
      </c>
      <c r="C2523" t="s">
        <v>234</v>
      </c>
      <c r="D2523" s="14">
        <v>12.3</v>
      </c>
    </row>
    <row r="2524" spans="1:4" x14ac:dyDescent="0.35">
      <c r="A2524" s="13">
        <v>46361</v>
      </c>
      <c r="B2524" t="s">
        <v>80</v>
      </c>
      <c r="C2524" t="s">
        <v>235</v>
      </c>
      <c r="D2524" s="14">
        <v>27.7</v>
      </c>
    </row>
    <row r="2525" spans="1:4" x14ac:dyDescent="0.35">
      <c r="A2525" s="13">
        <v>46361</v>
      </c>
      <c r="B2525" t="s">
        <v>80</v>
      </c>
      <c r="C2525" t="s">
        <v>236</v>
      </c>
      <c r="D2525" s="14">
        <v>30.5</v>
      </c>
    </row>
    <row r="2526" spans="1:4" x14ac:dyDescent="0.35">
      <c r="A2526" s="13">
        <v>46361</v>
      </c>
      <c r="B2526" t="s">
        <v>80</v>
      </c>
      <c r="C2526" t="s">
        <v>237</v>
      </c>
      <c r="D2526" s="14">
        <v>20.9</v>
      </c>
    </row>
    <row r="2527" spans="1:4" x14ac:dyDescent="0.35">
      <c r="A2527" s="13">
        <v>46361</v>
      </c>
      <c r="B2527" t="s">
        <v>80</v>
      </c>
      <c r="C2527" t="s">
        <v>238</v>
      </c>
      <c r="D2527" s="14">
        <v>27.9</v>
      </c>
    </row>
    <row r="2528" spans="1:4" x14ac:dyDescent="0.35">
      <c r="A2528" s="13">
        <v>46361</v>
      </c>
      <c r="B2528" t="s">
        <v>80</v>
      </c>
      <c r="C2528" t="s">
        <v>239</v>
      </c>
      <c r="D2528" s="14">
        <v>14.1</v>
      </c>
    </row>
    <row r="2529" spans="1:4" x14ac:dyDescent="0.35">
      <c r="A2529" s="13">
        <v>46361</v>
      </c>
      <c r="B2529" t="s">
        <v>80</v>
      </c>
      <c r="C2529" t="s">
        <v>240</v>
      </c>
      <c r="D2529" s="14">
        <v>30.8</v>
      </c>
    </row>
    <row r="2530" spans="1:4" x14ac:dyDescent="0.35">
      <c r="A2530" s="13">
        <v>46361</v>
      </c>
      <c r="B2530" t="s">
        <v>80</v>
      </c>
      <c r="C2530" t="s">
        <v>241</v>
      </c>
      <c r="D2530" s="14">
        <v>19.5</v>
      </c>
    </row>
    <row r="2531" spans="1:4" x14ac:dyDescent="0.35">
      <c r="A2531" s="13">
        <v>46361</v>
      </c>
      <c r="B2531" t="s">
        <v>80</v>
      </c>
      <c r="C2531" t="s">
        <v>242</v>
      </c>
      <c r="D2531" s="14">
        <v>44.4</v>
      </c>
    </row>
    <row r="2532" spans="1:4" x14ac:dyDescent="0.35">
      <c r="A2532" s="13">
        <v>46361</v>
      </c>
      <c r="B2532" t="s">
        <v>80</v>
      </c>
      <c r="C2532" t="s">
        <v>243</v>
      </c>
      <c r="D2532" s="14">
        <v>35.4</v>
      </c>
    </row>
    <row r="2533" spans="1:4" x14ac:dyDescent="0.35">
      <c r="A2533" s="13">
        <v>46361</v>
      </c>
      <c r="B2533" t="s">
        <v>80</v>
      </c>
      <c r="C2533" t="s">
        <v>244</v>
      </c>
      <c r="D2533" s="14">
        <v>24.5</v>
      </c>
    </row>
    <row r="2534" spans="1:4" x14ac:dyDescent="0.35">
      <c r="A2534" s="13">
        <v>46361</v>
      </c>
      <c r="B2534" t="s">
        <v>80</v>
      </c>
      <c r="C2534" t="s">
        <v>245</v>
      </c>
      <c r="D2534" s="14">
        <v>23.4</v>
      </c>
    </row>
    <row r="2535" spans="1:4" x14ac:dyDescent="0.35">
      <c r="A2535" s="13">
        <v>46361</v>
      </c>
      <c r="B2535" t="s">
        <v>80</v>
      </c>
      <c r="C2535" t="s">
        <v>246</v>
      </c>
      <c r="D2535" s="14">
        <v>24.3</v>
      </c>
    </row>
    <row r="2536" spans="1:4" x14ac:dyDescent="0.35">
      <c r="A2536" s="13">
        <v>46361</v>
      </c>
      <c r="B2536" t="s">
        <v>80</v>
      </c>
      <c r="C2536" t="s">
        <v>247</v>
      </c>
      <c r="D2536" s="14">
        <v>42.8</v>
      </c>
    </row>
    <row r="2537" spans="1:4" x14ac:dyDescent="0.35">
      <c r="A2537" s="13">
        <v>46361</v>
      </c>
      <c r="B2537" t="s">
        <v>82</v>
      </c>
      <c r="C2537" t="s">
        <v>248</v>
      </c>
      <c r="D2537" s="14">
        <v>34</v>
      </c>
    </row>
    <row r="2538" spans="1:4" x14ac:dyDescent="0.35">
      <c r="A2538" s="13">
        <v>46361</v>
      </c>
      <c r="B2538" t="s">
        <v>82</v>
      </c>
      <c r="C2538" t="s">
        <v>249</v>
      </c>
      <c r="D2538" s="14">
        <v>15.1</v>
      </c>
    </row>
    <row r="2539" spans="1:4" x14ac:dyDescent="0.35">
      <c r="A2539" s="13">
        <v>46361</v>
      </c>
      <c r="B2539" t="s">
        <v>82</v>
      </c>
      <c r="C2539" t="s">
        <v>250</v>
      </c>
      <c r="D2539" s="14">
        <v>24</v>
      </c>
    </row>
    <row r="2540" spans="1:4" x14ac:dyDescent="0.35">
      <c r="A2540" s="13">
        <v>46361</v>
      </c>
      <c r="B2540" t="s">
        <v>82</v>
      </c>
      <c r="C2540" t="s">
        <v>251</v>
      </c>
      <c r="D2540" s="14">
        <v>16.8</v>
      </c>
    </row>
    <row r="2541" spans="1:4" x14ac:dyDescent="0.35">
      <c r="A2541" s="13">
        <v>46361</v>
      </c>
      <c r="B2541" t="s">
        <v>82</v>
      </c>
      <c r="C2541" t="s">
        <v>252</v>
      </c>
      <c r="D2541" s="14">
        <v>15.2</v>
      </c>
    </row>
    <row r="2542" spans="1:4" x14ac:dyDescent="0.35">
      <c r="A2542" s="13">
        <v>46361</v>
      </c>
      <c r="B2542" t="s">
        <v>82</v>
      </c>
      <c r="C2542" t="s">
        <v>253</v>
      </c>
      <c r="D2542" s="14">
        <v>25.4</v>
      </c>
    </row>
    <row r="2543" spans="1:4" x14ac:dyDescent="0.35">
      <c r="A2543" s="13">
        <v>46361</v>
      </c>
      <c r="B2543" t="s">
        <v>82</v>
      </c>
      <c r="C2543" t="s">
        <v>254</v>
      </c>
      <c r="D2543" s="14">
        <v>12.6</v>
      </c>
    </row>
    <row r="2544" spans="1:4" x14ac:dyDescent="0.35">
      <c r="A2544" s="13">
        <v>46361</v>
      </c>
      <c r="B2544" t="s">
        <v>82</v>
      </c>
      <c r="C2544" t="s">
        <v>255</v>
      </c>
      <c r="D2544" s="14">
        <v>15.4</v>
      </c>
    </row>
    <row r="2545" spans="1:4" x14ac:dyDescent="0.35">
      <c r="A2545" s="13">
        <v>46361</v>
      </c>
      <c r="B2545" t="s">
        <v>82</v>
      </c>
      <c r="C2545" t="s">
        <v>256</v>
      </c>
      <c r="D2545" s="14">
        <v>27.3</v>
      </c>
    </row>
    <row r="2546" spans="1:4" x14ac:dyDescent="0.35">
      <c r="A2546" s="13">
        <v>46361</v>
      </c>
      <c r="B2546" t="s">
        <v>82</v>
      </c>
      <c r="C2546" t="s">
        <v>257</v>
      </c>
      <c r="D2546" s="14">
        <v>24.6</v>
      </c>
    </row>
    <row r="2547" spans="1:4" x14ac:dyDescent="0.35">
      <c r="A2547" s="13">
        <v>46361</v>
      </c>
      <c r="B2547" t="s">
        <v>82</v>
      </c>
      <c r="C2547" t="s">
        <v>258</v>
      </c>
      <c r="D2547" s="14">
        <v>35</v>
      </c>
    </row>
    <row r="2548" spans="1:4" x14ac:dyDescent="0.35">
      <c r="A2548" s="13">
        <v>46361</v>
      </c>
      <c r="B2548" t="s">
        <v>82</v>
      </c>
      <c r="C2548" t="s">
        <v>259</v>
      </c>
      <c r="D2548" s="14">
        <v>16.600000000000001</v>
      </c>
    </row>
    <row r="2549" spans="1:4" x14ac:dyDescent="0.35">
      <c r="A2549" s="13">
        <v>46361</v>
      </c>
      <c r="B2549" t="s">
        <v>82</v>
      </c>
      <c r="C2549" t="s">
        <v>260</v>
      </c>
      <c r="D2549" s="14">
        <v>16.7</v>
      </c>
    </row>
    <row r="2550" spans="1:4" x14ac:dyDescent="0.35">
      <c r="A2550" s="13">
        <v>46361</v>
      </c>
      <c r="B2550" t="s">
        <v>82</v>
      </c>
      <c r="C2550" t="s">
        <v>261</v>
      </c>
      <c r="D2550" s="14">
        <v>24.4</v>
      </c>
    </row>
    <row r="2551" spans="1:4" x14ac:dyDescent="0.35">
      <c r="A2551" s="13">
        <v>46361</v>
      </c>
      <c r="B2551" t="s">
        <v>82</v>
      </c>
      <c r="C2551" t="s">
        <v>262</v>
      </c>
      <c r="D2551" s="14">
        <v>33.200000000000003</v>
      </c>
    </row>
    <row r="2552" spans="1:4" x14ac:dyDescent="0.35">
      <c r="A2552" s="13">
        <v>46361</v>
      </c>
      <c r="B2552" t="s">
        <v>82</v>
      </c>
      <c r="C2552" t="s">
        <v>263</v>
      </c>
      <c r="D2552" s="14">
        <v>14.6</v>
      </c>
    </row>
    <row r="2553" spans="1:4" x14ac:dyDescent="0.35">
      <c r="A2553" s="13">
        <v>46361</v>
      </c>
      <c r="B2553" t="s">
        <v>82</v>
      </c>
      <c r="C2553" t="s">
        <v>264</v>
      </c>
      <c r="D2553" s="14">
        <v>36.9</v>
      </c>
    </row>
    <row r="2554" spans="1:4" x14ac:dyDescent="0.35">
      <c r="A2554" s="13">
        <v>46361</v>
      </c>
      <c r="B2554" t="s">
        <v>82</v>
      </c>
      <c r="C2554" t="s">
        <v>265</v>
      </c>
      <c r="D2554" s="14">
        <v>25.2</v>
      </c>
    </row>
    <row r="2555" spans="1:4" x14ac:dyDescent="0.35">
      <c r="A2555" s="13">
        <v>46361</v>
      </c>
      <c r="B2555" t="s">
        <v>85</v>
      </c>
      <c r="C2555" t="s">
        <v>266</v>
      </c>
      <c r="D2555" s="14">
        <v>17.2</v>
      </c>
    </row>
    <row r="2556" spans="1:4" x14ac:dyDescent="0.35">
      <c r="A2556" s="13">
        <v>46361</v>
      </c>
      <c r="B2556" t="s">
        <v>85</v>
      </c>
      <c r="C2556" t="s">
        <v>267</v>
      </c>
      <c r="D2556" s="14">
        <v>10.7</v>
      </c>
    </row>
    <row r="2557" spans="1:4" x14ac:dyDescent="0.35">
      <c r="A2557" s="13">
        <v>46361</v>
      </c>
      <c r="B2557" t="s">
        <v>85</v>
      </c>
      <c r="C2557" t="s">
        <v>268</v>
      </c>
      <c r="D2557" s="14">
        <v>33.799999999999997</v>
      </c>
    </row>
    <row r="2558" spans="1:4" x14ac:dyDescent="0.35">
      <c r="A2558" s="13">
        <v>46361</v>
      </c>
      <c r="B2558" t="s">
        <v>85</v>
      </c>
      <c r="C2558" t="s">
        <v>269</v>
      </c>
      <c r="D2558" s="14">
        <v>34.299999999999997</v>
      </c>
    </row>
    <row r="2559" spans="1:4" x14ac:dyDescent="0.35">
      <c r="A2559" s="13">
        <v>46361</v>
      </c>
      <c r="B2559" t="s">
        <v>85</v>
      </c>
      <c r="C2559" t="s">
        <v>270</v>
      </c>
      <c r="D2559" s="14">
        <v>28.4</v>
      </c>
    </row>
    <row r="2560" spans="1:4" x14ac:dyDescent="0.35">
      <c r="A2560" s="13">
        <v>46361</v>
      </c>
      <c r="B2560" t="s">
        <v>85</v>
      </c>
      <c r="C2560" t="s">
        <v>271</v>
      </c>
      <c r="D2560" s="14">
        <v>20.8</v>
      </c>
    </row>
    <row r="2561" spans="1:4" x14ac:dyDescent="0.35">
      <c r="A2561" s="13">
        <v>46361</v>
      </c>
      <c r="B2561" t="s">
        <v>85</v>
      </c>
      <c r="C2561" t="s">
        <v>272</v>
      </c>
      <c r="D2561" s="14">
        <v>28.7</v>
      </c>
    </row>
    <row r="2562" spans="1:4" x14ac:dyDescent="0.35">
      <c r="A2562" s="13">
        <v>46361</v>
      </c>
      <c r="B2562" t="s">
        <v>85</v>
      </c>
      <c r="C2562" t="s">
        <v>273</v>
      </c>
      <c r="D2562" s="14">
        <v>14.3</v>
      </c>
    </row>
    <row r="2563" spans="1:4" x14ac:dyDescent="0.35">
      <c r="A2563" s="13">
        <v>46361</v>
      </c>
      <c r="B2563" t="s">
        <v>85</v>
      </c>
      <c r="C2563" t="s">
        <v>274</v>
      </c>
      <c r="D2563" s="14">
        <v>13.4</v>
      </c>
    </row>
    <row r="2564" spans="1:4" x14ac:dyDescent="0.35">
      <c r="A2564" s="13">
        <v>46361</v>
      </c>
      <c r="B2564" t="s">
        <v>85</v>
      </c>
      <c r="C2564" t="s">
        <v>275</v>
      </c>
      <c r="D2564" s="14">
        <v>26.2</v>
      </c>
    </row>
    <row r="2565" spans="1:4" x14ac:dyDescent="0.35">
      <c r="A2565" s="13">
        <v>46361</v>
      </c>
      <c r="B2565" t="s">
        <v>85</v>
      </c>
      <c r="C2565" t="s">
        <v>276</v>
      </c>
      <c r="D2565" s="14">
        <v>17.7</v>
      </c>
    </row>
    <row r="2566" spans="1:4" x14ac:dyDescent="0.35">
      <c r="A2566" s="13">
        <v>46361</v>
      </c>
      <c r="B2566" t="s">
        <v>85</v>
      </c>
      <c r="C2566" t="s">
        <v>277</v>
      </c>
      <c r="D2566" s="14">
        <v>21.7</v>
      </c>
    </row>
    <row r="2567" spans="1:4" x14ac:dyDescent="0.35">
      <c r="A2567" s="13">
        <v>46361</v>
      </c>
      <c r="B2567" t="s">
        <v>85</v>
      </c>
      <c r="C2567" t="s">
        <v>278</v>
      </c>
      <c r="D2567" s="14">
        <v>25.7</v>
      </c>
    </row>
    <row r="2568" spans="1:4" x14ac:dyDescent="0.35">
      <c r="A2568" s="13">
        <v>46361</v>
      </c>
      <c r="B2568" t="s">
        <v>85</v>
      </c>
      <c r="C2568" t="s">
        <v>279</v>
      </c>
      <c r="D2568" s="14">
        <v>17.3</v>
      </c>
    </row>
    <row r="2569" spans="1:4" x14ac:dyDescent="0.35">
      <c r="A2569" s="13">
        <v>46361</v>
      </c>
      <c r="B2569" t="s">
        <v>85</v>
      </c>
      <c r="C2569" t="s">
        <v>280</v>
      </c>
      <c r="D2569" s="14">
        <v>23</v>
      </c>
    </row>
    <row r="2570" spans="1:4" x14ac:dyDescent="0.35">
      <c r="A2570" s="13">
        <v>46361</v>
      </c>
      <c r="B2570" t="s">
        <v>85</v>
      </c>
      <c r="C2570" t="s">
        <v>281</v>
      </c>
      <c r="D2570" s="14">
        <v>18.8</v>
      </c>
    </row>
    <row r="2571" spans="1:4" x14ac:dyDescent="0.35">
      <c r="A2571" s="13">
        <v>46361</v>
      </c>
      <c r="B2571" t="s">
        <v>87</v>
      </c>
      <c r="C2571" t="s">
        <v>282</v>
      </c>
      <c r="D2571" s="14">
        <v>12.2</v>
      </c>
    </row>
    <row r="2572" spans="1:4" x14ac:dyDescent="0.35">
      <c r="A2572" s="13">
        <v>46361</v>
      </c>
      <c r="B2572" t="s">
        <v>87</v>
      </c>
      <c r="C2572" t="s">
        <v>283</v>
      </c>
      <c r="D2572" s="14">
        <v>23.1</v>
      </c>
    </row>
    <row r="2573" spans="1:4" x14ac:dyDescent="0.35">
      <c r="A2573" s="13">
        <v>46361</v>
      </c>
      <c r="B2573" t="s">
        <v>87</v>
      </c>
      <c r="C2573" t="s">
        <v>284</v>
      </c>
      <c r="D2573" s="14">
        <v>19.8</v>
      </c>
    </row>
    <row r="2574" spans="1:4" x14ac:dyDescent="0.35">
      <c r="A2574" s="13">
        <v>46361</v>
      </c>
      <c r="B2574" t="s">
        <v>87</v>
      </c>
      <c r="C2574" t="s">
        <v>285</v>
      </c>
      <c r="D2574" s="14">
        <v>28.6</v>
      </c>
    </row>
    <row r="2575" spans="1:4" x14ac:dyDescent="0.35">
      <c r="A2575" s="13">
        <v>46361</v>
      </c>
      <c r="B2575" t="s">
        <v>87</v>
      </c>
      <c r="C2575" t="s">
        <v>286</v>
      </c>
      <c r="D2575" s="14">
        <v>20.5</v>
      </c>
    </row>
    <row r="2576" spans="1:4" x14ac:dyDescent="0.35">
      <c r="A2576" s="13">
        <v>46361</v>
      </c>
      <c r="B2576" t="s">
        <v>87</v>
      </c>
      <c r="C2576" t="s">
        <v>287</v>
      </c>
      <c r="D2576" s="14">
        <v>26.5</v>
      </c>
    </row>
    <row r="2577" spans="1:4" x14ac:dyDescent="0.35">
      <c r="A2577" s="13">
        <v>46361</v>
      </c>
      <c r="B2577" t="s">
        <v>87</v>
      </c>
      <c r="C2577" t="s">
        <v>288</v>
      </c>
      <c r="D2577" s="14">
        <v>16.7</v>
      </c>
    </row>
    <row r="2578" spans="1:4" x14ac:dyDescent="0.35">
      <c r="A2578" s="13">
        <v>46361</v>
      </c>
      <c r="B2578" t="s">
        <v>87</v>
      </c>
      <c r="C2578" t="s">
        <v>289</v>
      </c>
      <c r="D2578" s="14">
        <v>18.100000000000001</v>
      </c>
    </row>
    <row r="2579" spans="1:4" x14ac:dyDescent="0.35">
      <c r="A2579" s="13">
        <v>46361</v>
      </c>
      <c r="B2579" t="s">
        <v>87</v>
      </c>
      <c r="C2579" t="s">
        <v>290</v>
      </c>
      <c r="D2579" s="14">
        <v>27.3</v>
      </c>
    </row>
    <row r="2580" spans="1:4" x14ac:dyDescent="0.35">
      <c r="A2580" s="13">
        <v>46361</v>
      </c>
      <c r="B2580" t="s">
        <v>87</v>
      </c>
      <c r="C2580" t="s">
        <v>291</v>
      </c>
      <c r="D2580" s="14">
        <v>21.1</v>
      </c>
    </row>
    <row r="2581" spans="1:4" x14ac:dyDescent="0.35">
      <c r="A2581" s="13">
        <v>46361</v>
      </c>
      <c r="B2581" t="s">
        <v>87</v>
      </c>
      <c r="C2581" t="s">
        <v>292</v>
      </c>
      <c r="D2581" s="14">
        <v>17.7</v>
      </c>
    </row>
    <row r="2582" spans="1:4" x14ac:dyDescent="0.35">
      <c r="A2582" s="13">
        <v>46361</v>
      </c>
      <c r="B2582" t="s">
        <v>87</v>
      </c>
      <c r="C2582" t="s">
        <v>293</v>
      </c>
      <c r="D2582" s="14">
        <v>16.399999999999999</v>
      </c>
    </row>
    <row r="2583" spans="1:4" x14ac:dyDescent="0.35">
      <c r="A2583" s="13">
        <v>46361</v>
      </c>
      <c r="B2583" t="s">
        <v>87</v>
      </c>
      <c r="C2583" t="s">
        <v>294</v>
      </c>
      <c r="D2583" s="14">
        <v>16.2</v>
      </c>
    </row>
    <row r="2584" spans="1:4" x14ac:dyDescent="0.35">
      <c r="A2584" s="13">
        <v>46361</v>
      </c>
      <c r="B2584" t="s">
        <v>87</v>
      </c>
      <c r="C2584" t="s">
        <v>295</v>
      </c>
      <c r="D2584" s="14">
        <v>20.100000000000001</v>
      </c>
    </row>
    <row r="2585" spans="1:4" x14ac:dyDescent="0.35">
      <c r="A2585" s="13">
        <v>46361</v>
      </c>
      <c r="B2585" t="s">
        <v>87</v>
      </c>
      <c r="C2585" t="s">
        <v>296</v>
      </c>
      <c r="D2585" s="14">
        <v>30.3</v>
      </c>
    </row>
    <row r="2586" spans="1:4" x14ac:dyDescent="0.35">
      <c r="A2586" s="13">
        <v>46361</v>
      </c>
      <c r="B2586" t="s">
        <v>87</v>
      </c>
      <c r="C2586" t="s">
        <v>297</v>
      </c>
      <c r="D2586" s="14">
        <v>22</v>
      </c>
    </row>
    <row r="2587" spans="1:4" x14ac:dyDescent="0.35">
      <c r="A2587" s="13">
        <v>46361</v>
      </c>
      <c r="B2587" t="s">
        <v>77</v>
      </c>
      <c r="C2587" t="s">
        <v>298</v>
      </c>
      <c r="D2587" s="14">
        <v>21.8</v>
      </c>
    </row>
    <row r="2588" spans="1:4" x14ac:dyDescent="0.35">
      <c r="A2588" s="13">
        <v>46361</v>
      </c>
      <c r="B2588" t="s">
        <v>85</v>
      </c>
      <c r="C2588" t="s">
        <v>299</v>
      </c>
      <c r="D2588" s="14">
        <v>21.1</v>
      </c>
    </row>
    <row r="2589" spans="1:4" x14ac:dyDescent="0.35">
      <c r="A2589" s="13">
        <v>46368</v>
      </c>
      <c r="B2589" t="s">
        <v>70</v>
      </c>
      <c r="C2589" t="s">
        <v>155</v>
      </c>
      <c r="D2589" s="14">
        <v>38.799999999999997</v>
      </c>
    </row>
    <row r="2590" spans="1:4" x14ac:dyDescent="0.35">
      <c r="A2590" s="13">
        <v>46368</v>
      </c>
      <c r="B2590" t="s">
        <v>70</v>
      </c>
      <c r="C2590" t="s">
        <v>158</v>
      </c>
      <c r="D2590" s="14">
        <v>33.6</v>
      </c>
    </row>
    <row r="2591" spans="1:4" x14ac:dyDescent="0.35">
      <c r="A2591" s="13">
        <v>46368</v>
      </c>
      <c r="B2591" t="s">
        <v>70</v>
      </c>
      <c r="C2591" t="s">
        <v>159</v>
      </c>
      <c r="D2591" s="14">
        <v>25.5</v>
      </c>
    </row>
    <row r="2592" spans="1:4" x14ac:dyDescent="0.35">
      <c r="A2592" s="13">
        <v>46368</v>
      </c>
      <c r="B2592" t="s">
        <v>70</v>
      </c>
      <c r="C2592" t="s">
        <v>162</v>
      </c>
      <c r="D2592" s="14">
        <v>36.700000000000003</v>
      </c>
    </row>
    <row r="2593" spans="1:4" x14ac:dyDescent="0.35">
      <c r="A2593" s="13">
        <v>46368</v>
      </c>
      <c r="B2593" t="s">
        <v>70</v>
      </c>
      <c r="C2593" t="s">
        <v>164</v>
      </c>
      <c r="D2593" s="14">
        <v>16</v>
      </c>
    </row>
    <row r="2594" spans="1:4" x14ac:dyDescent="0.35">
      <c r="A2594" s="13">
        <v>46368</v>
      </c>
      <c r="B2594" t="s">
        <v>70</v>
      </c>
      <c r="C2594" t="s">
        <v>167</v>
      </c>
      <c r="D2594" s="14">
        <v>20.6</v>
      </c>
    </row>
    <row r="2595" spans="1:4" x14ac:dyDescent="0.35">
      <c r="A2595" s="13">
        <v>46368</v>
      </c>
      <c r="B2595" t="s">
        <v>70</v>
      </c>
      <c r="C2595" t="s">
        <v>169</v>
      </c>
      <c r="D2595" s="14">
        <v>15.4</v>
      </c>
    </row>
    <row r="2596" spans="1:4" x14ac:dyDescent="0.35">
      <c r="A2596" s="13">
        <v>46368</v>
      </c>
      <c r="B2596" t="s">
        <v>70</v>
      </c>
      <c r="C2596" t="s">
        <v>170</v>
      </c>
      <c r="D2596" s="14">
        <v>30.3</v>
      </c>
    </row>
    <row r="2597" spans="1:4" x14ac:dyDescent="0.35">
      <c r="A2597" s="13">
        <v>46368</v>
      </c>
      <c r="B2597" t="s">
        <v>70</v>
      </c>
      <c r="C2597" t="s">
        <v>171</v>
      </c>
      <c r="D2597" s="14">
        <v>24</v>
      </c>
    </row>
    <row r="2598" spans="1:4" x14ac:dyDescent="0.35">
      <c r="A2598" s="13">
        <v>46368</v>
      </c>
      <c r="B2598" t="s">
        <v>70</v>
      </c>
      <c r="C2598" t="s">
        <v>172</v>
      </c>
      <c r="D2598" s="14">
        <v>15.6</v>
      </c>
    </row>
    <row r="2599" spans="1:4" x14ac:dyDescent="0.35">
      <c r="A2599" s="13">
        <v>46368</v>
      </c>
      <c r="B2599" t="s">
        <v>70</v>
      </c>
      <c r="C2599" t="s">
        <v>173</v>
      </c>
      <c r="D2599" s="14">
        <v>28.3</v>
      </c>
    </row>
    <row r="2600" spans="1:4" x14ac:dyDescent="0.35">
      <c r="A2600" s="13">
        <v>46368</v>
      </c>
      <c r="B2600" t="s">
        <v>70</v>
      </c>
      <c r="C2600" t="s">
        <v>174</v>
      </c>
      <c r="D2600" s="14">
        <v>34.5</v>
      </c>
    </row>
    <row r="2601" spans="1:4" x14ac:dyDescent="0.35">
      <c r="A2601" s="13">
        <v>46368</v>
      </c>
      <c r="B2601" t="s">
        <v>70</v>
      </c>
      <c r="C2601" t="s">
        <v>175</v>
      </c>
      <c r="D2601" s="14">
        <v>23.8</v>
      </c>
    </row>
    <row r="2602" spans="1:4" x14ac:dyDescent="0.35">
      <c r="A2602" s="13">
        <v>46368</v>
      </c>
      <c r="B2602" t="s">
        <v>70</v>
      </c>
      <c r="C2602" t="s">
        <v>176</v>
      </c>
      <c r="D2602" s="14">
        <v>18.600000000000001</v>
      </c>
    </row>
    <row r="2603" spans="1:4" x14ac:dyDescent="0.35">
      <c r="A2603" s="13">
        <v>46368</v>
      </c>
      <c r="B2603" t="s">
        <v>73</v>
      </c>
      <c r="C2603" t="s">
        <v>177</v>
      </c>
      <c r="D2603" s="14">
        <v>19.2</v>
      </c>
    </row>
    <row r="2604" spans="1:4" x14ac:dyDescent="0.35">
      <c r="A2604" s="13">
        <v>46368</v>
      </c>
      <c r="B2604" t="s">
        <v>73</v>
      </c>
      <c r="C2604" t="s">
        <v>178</v>
      </c>
      <c r="D2604" s="14">
        <v>16.600000000000001</v>
      </c>
    </row>
    <row r="2605" spans="1:4" x14ac:dyDescent="0.35">
      <c r="A2605" s="13">
        <v>46368</v>
      </c>
      <c r="B2605" t="s">
        <v>73</v>
      </c>
      <c r="C2605" t="s">
        <v>179</v>
      </c>
      <c r="D2605" s="14">
        <v>24.7</v>
      </c>
    </row>
    <row r="2606" spans="1:4" x14ac:dyDescent="0.35">
      <c r="A2606" s="13">
        <v>46368</v>
      </c>
      <c r="B2606" t="s">
        <v>73</v>
      </c>
      <c r="C2606" t="s">
        <v>180</v>
      </c>
      <c r="D2606" s="14">
        <v>13.9</v>
      </c>
    </row>
    <row r="2607" spans="1:4" x14ac:dyDescent="0.35">
      <c r="A2607" s="13">
        <v>46368</v>
      </c>
      <c r="B2607" t="s">
        <v>73</v>
      </c>
      <c r="C2607" t="s">
        <v>181</v>
      </c>
      <c r="D2607" s="14">
        <v>15.7</v>
      </c>
    </row>
    <row r="2608" spans="1:4" x14ac:dyDescent="0.35">
      <c r="A2608" s="13">
        <v>46368</v>
      </c>
      <c r="B2608" t="s">
        <v>73</v>
      </c>
      <c r="C2608" t="s">
        <v>182</v>
      </c>
      <c r="D2608" s="14">
        <v>20.6</v>
      </c>
    </row>
    <row r="2609" spans="1:4" x14ac:dyDescent="0.35">
      <c r="A2609" s="13">
        <v>46368</v>
      </c>
      <c r="B2609" t="s">
        <v>73</v>
      </c>
      <c r="C2609" t="s">
        <v>183</v>
      </c>
      <c r="D2609" s="14">
        <v>30.9</v>
      </c>
    </row>
    <row r="2610" spans="1:4" x14ac:dyDescent="0.35">
      <c r="A2610" s="13">
        <v>46368</v>
      </c>
      <c r="B2610" t="s">
        <v>73</v>
      </c>
      <c r="C2610" t="s">
        <v>184</v>
      </c>
      <c r="D2610" s="14">
        <v>24.5</v>
      </c>
    </row>
    <row r="2611" spans="1:4" x14ac:dyDescent="0.35">
      <c r="A2611" s="13">
        <v>46368</v>
      </c>
      <c r="B2611" t="s">
        <v>73</v>
      </c>
      <c r="C2611" t="s">
        <v>185</v>
      </c>
      <c r="D2611" s="14">
        <v>15.5</v>
      </c>
    </row>
    <row r="2612" spans="1:4" x14ac:dyDescent="0.35">
      <c r="A2612" s="13">
        <v>46368</v>
      </c>
      <c r="B2612" t="s">
        <v>73</v>
      </c>
      <c r="C2612" t="s">
        <v>186</v>
      </c>
      <c r="D2612" s="14">
        <v>22.4</v>
      </c>
    </row>
    <row r="2613" spans="1:4" x14ac:dyDescent="0.35">
      <c r="A2613" s="13">
        <v>46368</v>
      </c>
      <c r="B2613" t="s">
        <v>73</v>
      </c>
      <c r="C2613" t="s">
        <v>187</v>
      </c>
      <c r="D2613" s="14">
        <v>12</v>
      </c>
    </row>
    <row r="2614" spans="1:4" x14ac:dyDescent="0.35">
      <c r="A2614" s="13">
        <v>46368</v>
      </c>
      <c r="B2614" t="s">
        <v>73</v>
      </c>
      <c r="C2614" t="s">
        <v>189</v>
      </c>
      <c r="D2614" s="14">
        <v>16.600000000000001</v>
      </c>
    </row>
    <row r="2615" spans="1:4" x14ac:dyDescent="0.35">
      <c r="A2615" s="13">
        <v>46368</v>
      </c>
      <c r="B2615" t="s">
        <v>73</v>
      </c>
      <c r="C2615" t="s">
        <v>190</v>
      </c>
      <c r="D2615" s="14">
        <v>19.3</v>
      </c>
    </row>
    <row r="2616" spans="1:4" x14ac:dyDescent="0.35">
      <c r="A2616" s="13">
        <v>46368</v>
      </c>
      <c r="B2616" t="s">
        <v>73</v>
      </c>
      <c r="C2616" t="s">
        <v>191</v>
      </c>
      <c r="D2616" s="14">
        <v>18.2</v>
      </c>
    </row>
    <row r="2617" spans="1:4" x14ac:dyDescent="0.35">
      <c r="A2617" s="13">
        <v>46368</v>
      </c>
      <c r="B2617" t="s">
        <v>73</v>
      </c>
      <c r="C2617" t="s">
        <v>192</v>
      </c>
      <c r="D2617" s="14">
        <v>11.6</v>
      </c>
    </row>
    <row r="2618" spans="1:4" x14ac:dyDescent="0.35">
      <c r="A2618" s="13">
        <v>46368</v>
      </c>
      <c r="B2618" t="s">
        <v>73</v>
      </c>
      <c r="C2618" t="s">
        <v>193</v>
      </c>
      <c r="D2618" s="14">
        <v>23.1</v>
      </c>
    </row>
    <row r="2619" spans="1:4" x14ac:dyDescent="0.35">
      <c r="A2619" s="13">
        <v>46368</v>
      </c>
      <c r="B2619" t="s">
        <v>73</v>
      </c>
      <c r="C2619" t="s">
        <v>194</v>
      </c>
      <c r="D2619" s="14">
        <v>14.8</v>
      </c>
    </row>
    <row r="2620" spans="1:4" x14ac:dyDescent="0.35">
      <c r="A2620" s="13">
        <v>46368</v>
      </c>
      <c r="B2620" t="s">
        <v>73</v>
      </c>
      <c r="C2620" t="s">
        <v>195</v>
      </c>
      <c r="D2620" s="14">
        <v>23.3</v>
      </c>
    </row>
    <row r="2621" spans="1:4" x14ac:dyDescent="0.35">
      <c r="A2621" s="13">
        <v>46368</v>
      </c>
      <c r="B2621" t="s">
        <v>73</v>
      </c>
      <c r="C2621" t="s">
        <v>196</v>
      </c>
      <c r="D2621" s="14">
        <v>12.6</v>
      </c>
    </row>
    <row r="2622" spans="1:4" x14ac:dyDescent="0.35">
      <c r="A2622" s="13">
        <v>46368</v>
      </c>
      <c r="B2622" t="s">
        <v>3</v>
      </c>
      <c r="C2622" t="s">
        <v>197</v>
      </c>
      <c r="D2622" s="14">
        <v>21.3</v>
      </c>
    </row>
    <row r="2623" spans="1:4" x14ac:dyDescent="0.35">
      <c r="A2623" s="13">
        <v>46368</v>
      </c>
      <c r="B2623" t="s">
        <v>3</v>
      </c>
      <c r="C2623" t="s">
        <v>198</v>
      </c>
      <c r="D2623" s="14">
        <v>18.8</v>
      </c>
    </row>
    <row r="2624" spans="1:4" x14ac:dyDescent="0.35">
      <c r="A2624" s="13">
        <v>46368</v>
      </c>
      <c r="B2624" t="s">
        <v>3</v>
      </c>
      <c r="C2624" t="s">
        <v>199</v>
      </c>
      <c r="D2624" s="14">
        <v>29.2</v>
      </c>
    </row>
    <row r="2625" spans="1:4" x14ac:dyDescent="0.35">
      <c r="A2625" s="13">
        <v>46368</v>
      </c>
      <c r="B2625" t="s">
        <v>3</v>
      </c>
      <c r="C2625" t="s">
        <v>200</v>
      </c>
      <c r="D2625" s="14">
        <v>21</v>
      </c>
    </row>
    <row r="2626" spans="1:4" x14ac:dyDescent="0.35">
      <c r="A2626" s="13">
        <v>46368</v>
      </c>
      <c r="B2626" t="s">
        <v>3</v>
      </c>
      <c r="C2626" t="s">
        <v>201</v>
      </c>
      <c r="D2626" s="14">
        <v>33.299999999999997</v>
      </c>
    </row>
    <row r="2627" spans="1:4" x14ac:dyDescent="0.35">
      <c r="A2627" s="13">
        <v>46368</v>
      </c>
      <c r="B2627" t="s">
        <v>3</v>
      </c>
      <c r="C2627" t="s">
        <v>202</v>
      </c>
      <c r="D2627" s="14">
        <v>13.6</v>
      </c>
    </row>
    <row r="2628" spans="1:4" x14ac:dyDescent="0.35">
      <c r="A2628" s="13">
        <v>46368</v>
      </c>
      <c r="B2628" t="s">
        <v>3</v>
      </c>
      <c r="C2628" t="s">
        <v>203</v>
      </c>
      <c r="D2628" s="14">
        <v>22.9</v>
      </c>
    </row>
    <row r="2629" spans="1:4" x14ac:dyDescent="0.35">
      <c r="A2629" s="13">
        <v>46368</v>
      </c>
      <c r="B2629" t="s">
        <v>3</v>
      </c>
      <c r="C2629" t="s">
        <v>204</v>
      </c>
      <c r="D2629" s="14">
        <v>13</v>
      </c>
    </row>
    <row r="2630" spans="1:4" x14ac:dyDescent="0.35">
      <c r="A2630" s="13">
        <v>46368</v>
      </c>
      <c r="B2630" t="s">
        <v>3</v>
      </c>
      <c r="C2630" t="s">
        <v>205</v>
      </c>
      <c r="D2630" s="14">
        <v>37.1</v>
      </c>
    </row>
    <row r="2631" spans="1:4" x14ac:dyDescent="0.35">
      <c r="A2631" s="13">
        <v>46368</v>
      </c>
      <c r="B2631" t="s">
        <v>3</v>
      </c>
      <c r="C2631" t="s">
        <v>206</v>
      </c>
      <c r="D2631" s="14">
        <v>35.1</v>
      </c>
    </row>
    <row r="2632" spans="1:4" x14ac:dyDescent="0.35">
      <c r="A2632" s="13">
        <v>46368</v>
      </c>
      <c r="B2632" t="s">
        <v>3</v>
      </c>
      <c r="C2632" t="s">
        <v>207</v>
      </c>
      <c r="D2632" s="14">
        <v>35.5</v>
      </c>
    </row>
    <row r="2633" spans="1:4" x14ac:dyDescent="0.35">
      <c r="A2633" s="13">
        <v>46368</v>
      </c>
      <c r="B2633" t="s">
        <v>3</v>
      </c>
      <c r="C2633" t="s">
        <v>208</v>
      </c>
      <c r="D2633" s="14">
        <v>34.299999999999997</v>
      </c>
    </row>
    <row r="2634" spans="1:4" x14ac:dyDescent="0.35">
      <c r="A2634" s="13">
        <v>46368</v>
      </c>
      <c r="B2634" t="s">
        <v>3</v>
      </c>
      <c r="C2634" t="s">
        <v>209</v>
      </c>
      <c r="D2634" s="14">
        <v>32.5</v>
      </c>
    </row>
    <row r="2635" spans="1:4" x14ac:dyDescent="0.35">
      <c r="A2635" s="13">
        <v>46368</v>
      </c>
      <c r="B2635" t="s">
        <v>3</v>
      </c>
      <c r="C2635" t="s">
        <v>210</v>
      </c>
      <c r="D2635" s="14">
        <v>20.7</v>
      </c>
    </row>
    <row r="2636" spans="1:4" x14ac:dyDescent="0.35">
      <c r="A2636" s="13">
        <v>46368</v>
      </c>
      <c r="B2636" t="s">
        <v>3</v>
      </c>
      <c r="C2636" t="s">
        <v>211</v>
      </c>
      <c r="D2636" s="14">
        <v>22.8</v>
      </c>
    </row>
    <row r="2637" spans="1:4" x14ac:dyDescent="0.35">
      <c r="A2637" s="13">
        <v>46368</v>
      </c>
      <c r="B2637" t="s">
        <v>3</v>
      </c>
      <c r="C2637" t="s">
        <v>212</v>
      </c>
      <c r="D2637" s="14">
        <v>32</v>
      </c>
    </row>
    <row r="2638" spans="1:4" x14ac:dyDescent="0.35">
      <c r="A2638" s="13">
        <v>46368</v>
      </c>
      <c r="B2638" t="s">
        <v>3</v>
      </c>
      <c r="C2638" t="s">
        <v>213</v>
      </c>
      <c r="D2638" s="14">
        <v>18.600000000000001</v>
      </c>
    </row>
    <row r="2639" spans="1:4" x14ac:dyDescent="0.35">
      <c r="A2639" s="13">
        <v>46368</v>
      </c>
      <c r="B2639" t="s">
        <v>3</v>
      </c>
      <c r="C2639" t="s">
        <v>214</v>
      </c>
      <c r="D2639" s="14">
        <v>22.1</v>
      </c>
    </row>
    <row r="2640" spans="1:4" x14ac:dyDescent="0.35">
      <c r="A2640" s="13">
        <v>46368</v>
      </c>
      <c r="B2640" t="s">
        <v>3</v>
      </c>
      <c r="C2640" t="s">
        <v>215</v>
      </c>
      <c r="D2640" s="14">
        <v>15.9</v>
      </c>
    </row>
    <row r="2641" spans="1:4" x14ac:dyDescent="0.35">
      <c r="A2641" s="13">
        <v>46368</v>
      </c>
      <c r="B2641" t="s">
        <v>77</v>
      </c>
      <c r="C2641" t="s">
        <v>216</v>
      </c>
      <c r="D2641" s="14">
        <v>19.8</v>
      </c>
    </row>
    <row r="2642" spans="1:4" x14ac:dyDescent="0.35">
      <c r="A2642" s="13">
        <v>46368</v>
      </c>
      <c r="B2642" t="s">
        <v>77</v>
      </c>
      <c r="C2642" t="s">
        <v>217</v>
      </c>
      <c r="D2642" s="14">
        <v>22.5</v>
      </c>
    </row>
    <row r="2643" spans="1:4" x14ac:dyDescent="0.35">
      <c r="A2643" s="13">
        <v>46368</v>
      </c>
      <c r="B2643" t="s">
        <v>77</v>
      </c>
      <c r="C2643" t="s">
        <v>218</v>
      </c>
      <c r="D2643" s="14">
        <v>22.6</v>
      </c>
    </row>
    <row r="2644" spans="1:4" x14ac:dyDescent="0.35">
      <c r="A2644" s="13">
        <v>46368</v>
      </c>
      <c r="B2644" t="s">
        <v>77</v>
      </c>
      <c r="C2644" t="s">
        <v>219</v>
      </c>
      <c r="D2644" s="14">
        <v>13</v>
      </c>
    </row>
    <row r="2645" spans="1:4" x14ac:dyDescent="0.35">
      <c r="A2645" s="13">
        <v>46368</v>
      </c>
      <c r="B2645" t="s">
        <v>77</v>
      </c>
      <c r="C2645" t="s">
        <v>220</v>
      </c>
      <c r="D2645" s="14">
        <v>19.5</v>
      </c>
    </row>
    <row r="2646" spans="1:4" x14ac:dyDescent="0.35">
      <c r="A2646" s="13">
        <v>46368</v>
      </c>
      <c r="B2646" t="s">
        <v>77</v>
      </c>
      <c r="C2646" t="s">
        <v>221</v>
      </c>
      <c r="D2646" s="14">
        <v>47</v>
      </c>
    </row>
    <row r="2647" spans="1:4" x14ac:dyDescent="0.35">
      <c r="A2647" s="13">
        <v>46368</v>
      </c>
      <c r="B2647" t="s">
        <v>77</v>
      </c>
      <c r="C2647" t="s">
        <v>222</v>
      </c>
      <c r="D2647" s="14">
        <v>21.3</v>
      </c>
    </row>
    <row r="2648" spans="1:4" x14ac:dyDescent="0.35">
      <c r="A2648" s="13">
        <v>46368</v>
      </c>
      <c r="B2648" t="s">
        <v>77</v>
      </c>
      <c r="C2648" t="s">
        <v>223</v>
      </c>
      <c r="D2648" s="14">
        <v>30.9</v>
      </c>
    </row>
    <row r="2649" spans="1:4" x14ac:dyDescent="0.35">
      <c r="A2649" s="13">
        <v>46368</v>
      </c>
      <c r="B2649" t="s">
        <v>77</v>
      </c>
      <c r="C2649" t="s">
        <v>224</v>
      </c>
      <c r="D2649" s="14">
        <v>22</v>
      </c>
    </row>
    <row r="2650" spans="1:4" x14ac:dyDescent="0.35">
      <c r="A2650" s="13">
        <v>46368</v>
      </c>
      <c r="B2650" t="s">
        <v>77</v>
      </c>
      <c r="C2650" t="s">
        <v>225</v>
      </c>
      <c r="D2650" s="14">
        <v>18.3</v>
      </c>
    </row>
    <row r="2651" spans="1:4" x14ac:dyDescent="0.35">
      <c r="A2651" s="13">
        <v>46368</v>
      </c>
      <c r="B2651" t="s">
        <v>77</v>
      </c>
      <c r="C2651" t="s">
        <v>226</v>
      </c>
      <c r="D2651" s="14">
        <v>30.6</v>
      </c>
    </row>
    <row r="2652" spans="1:4" x14ac:dyDescent="0.35">
      <c r="A2652" s="13">
        <v>46368</v>
      </c>
      <c r="B2652" t="s">
        <v>77</v>
      </c>
      <c r="C2652" t="s">
        <v>227</v>
      </c>
      <c r="D2652" s="14">
        <v>23.7</v>
      </c>
    </row>
    <row r="2653" spans="1:4" x14ac:dyDescent="0.35">
      <c r="A2653" s="13">
        <v>46368</v>
      </c>
      <c r="B2653" t="s">
        <v>77</v>
      </c>
      <c r="C2653" t="s">
        <v>228</v>
      </c>
      <c r="D2653" s="14">
        <v>36.6</v>
      </c>
    </row>
    <row r="2654" spans="1:4" x14ac:dyDescent="0.35">
      <c r="A2654" s="13">
        <v>46368</v>
      </c>
      <c r="B2654" t="s">
        <v>77</v>
      </c>
      <c r="C2654" t="s">
        <v>229</v>
      </c>
      <c r="D2654" s="14">
        <v>12.1</v>
      </c>
    </row>
    <row r="2655" spans="1:4" x14ac:dyDescent="0.35">
      <c r="A2655" s="13">
        <v>46368</v>
      </c>
      <c r="B2655" t="s">
        <v>77</v>
      </c>
      <c r="C2655" t="s">
        <v>230</v>
      </c>
      <c r="D2655" s="14">
        <v>14</v>
      </c>
    </row>
    <row r="2656" spans="1:4" x14ac:dyDescent="0.35">
      <c r="A2656" s="13">
        <v>46368</v>
      </c>
      <c r="B2656" t="s">
        <v>80</v>
      </c>
      <c r="C2656" t="s">
        <v>231</v>
      </c>
      <c r="D2656" s="14">
        <v>23.1</v>
      </c>
    </row>
    <row r="2657" spans="1:4" x14ac:dyDescent="0.35">
      <c r="A2657" s="13">
        <v>46368</v>
      </c>
      <c r="B2657" t="s">
        <v>80</v>
      </c>
      <c r="C2657" t="s">
        <v>232</v>
      </c>
      <c r="D2657" s="14">
        <v>35.200000000000003</v>
      </c>
    </row>
    <row r="2658" spans="1:4" x14ac:dyDescent="0.35">
      <c r="A2658" s="13">
        <v>46368</v>
      </c>
      <c r="B2658" t="s">
        <v>80</v>
      </c>
      <c r="C2658" t="s">
        <v>233</v>
      </c>
      <c r="D2658" s="14">
        <v>18.2</v>
      </c>
    </row>
    <row r="2659" spans="1:4" x14ac:dyDescent="0.35">
      <c r="A2659" s="13">
        <v>46368</v>
      </c>
      <c r="B2659" t="s">
        <v>80</v>
      </c>
      <c r="C2659" t="s">
        <v>234</v>
      </c>
      <c r="D2659" s="14">
        <v>12.3</v>
      </c>
    </row>
    <row r="2660" spans="1:4" x14ac:dyDescent="0.35">
      <c r="A2660" s="13">
        <v>46368</v>
      </c>
      <c r="B2660" t="s">
        <v>80</v>
      </c>
      <c r="C2660" t="s">
        <v>235</v>
      </c>
      <c r="D2660" s="14">
        <v>27.5</v>
      </c>
    </row>
    <row r="2661" spans="1:4" x14ac:dyDescent="0.35">
      <c r="A2661" s="13">
        <v>46368</v>
      </c>
      <c r="B2661" t="s">
        <v>80</v>
      </c>
      <c r="C2661" t="s">
        <v>236</v>
      </c>
      <c r="D2661" s="14">
        <v>30.3</v>
      </c>
    </row>
    <row r="2662" spans="1:4" x14ac:dyDescent="0.35">
      <c r="A2662" s="13">
        <v>46368</v>
      </c>
      <c r="B2662" t="s">
        <v>80</v>
      </c>
      <c r="C2662" t="s">
        <v>237</v>
      </c>
      <c r="D2662" s="14">
        <v>20.8</v>
      </c>
    </row>
    <row r="2663" spans="1:4" x14ac:dyDescent="0.35">
      <c r="A2663" s="13">
        <v>46368</v>
      </c>
      <c r="B2663" t="s">
        <v>80</v>
      </c>
      <c r="C2663" t="s">
        <v>238</v>
      </c>
      <c r="D2663" s="14">
        <v>27.8</v>
      </c>
    </row>
    <row r="2664" spans="1:4" x14ac:dyDescent="0.35">
      <c r="A2664" s="13">
        <v>46368</v>
      </c>
      <c r="B2664" t="s">
        <v>80</v>
      </c>
      <c r="C2664" t="s">
        <v>239</v>
      </c>
      <c r="D2664" s="14">
        <v>14</v>
      </c>
    </row>
    <row r="2665" spans="1:4" x14ac:dyDescent="0.35">
      <c r="A2665" s="13">
        <v>46368</v>
      </c>
      <c r="B2665" t="s">
        <v>80</v>
      </c>
      <c r="C2665" t="s">
        <v>240</v>
      </c>
      <c r="D2665" s="14">
        <v>30.6</v>
      </c>
    </row>
    <row r="2666" spans="1:4" x14ac:dyDescent="0.35">
      <c r="A2666" s="13">
        <v>46368</v>
      </c>
      <c r="B2666" t="s">
        <v>80</v>
      </c>
      <c r="C2666" t="s">
        <v>241</v>
      </c>
      <c r="D2666" s="14">
        <v>19.399999999999999</v>
      </c>
    </row>
    <row r="2667" spans="1:4" x14ac:dyDescent="0.35">
      <c r="A2667" s="13">
        <v>46368</v>
      </c>
      <c r="B2667" t="s">
        <v>80</v>
      </c>
      <c r="C2667" t="s">
        <v>242</v>
      </c>
      <c r="D2667" s="14">
        <v>44.2</v>
      </c>
    </row>
    <row r="2668" spans="1:4" x14ac:dyDescent="0.35">
      <c r="A2668" s="13">
        <v>46368</v>
      </c>
      <c r="B2668" t="s">
        <v>80</v>
      </c>
      <c r="C2668" t="s">
        <v>243</v>
      </c>
      <c r="D2668" s="14">
        <v>35.200000000000003</v>
      </c>
    </row>
    <row r="2669" spans="1:4" x14ac:dyDescent="0.35">
      <c r="A2669" s="13">
        <v>46368</v>
      </c>
      <c r="B2669" t="s">
        <v>80</v>
      </c>
      <c r="C2669" t="s">
        <v>244</v>
      </c>
      <c r="D2669" s="14">
        <v>24.4</v>
      </c>
    </row>
    <row r="2670" spans="1:4" x14ac:dyDescent="0.35">
      <c r="A2670" s="13">
        <v>46368</v>
      </c>
      <c r="B2670" t="s">
        <v>80</v>
      </c>
      <c r="C2670" t="s">
        <v>245</v>
      </c>
      <c r="D2670" s="14">
        <v>23.2</v>
      </c>
    </row>
    <row r="2671" spans="1:4" x14ac:dyDescent="0.35">
      <c r="A2671" s="13">
        <v>46368</v>
      </c>
      <c r="B2671" t="s">
        <v>80</v>
      </c>
      <c r="C2671" t="s">
        <v>246</v>
      </c>
      <c r="D2671" s="14">
        <v>24.2</v>
      </c>
    </row>
    <row r="2672" spans="1:4" x14ac:dyDescent="0.35">
      <c r="A2672" s="13">
        <v>46368</v>
      </c>
      <c r="B2672" t="s">
        <v>80</v>
      </c>
      <c r="C2672" t="s">
        <v>247</v>
      </c>
      <c r="D2672" s="14">
        <v>42.6</v>
      </c>
    </row>
    <row r="2673" spans="1:4" x14ac:dyDescent="0.35">
      <c r="A2673" s="13">
        <v>46368</v>
      </c>
      <c r="B2673" t="s">
        <v>82</v>
      </c>
      <c r="C2673" t="s">
        <v>248</v>
      </c>
      <c r="D2673" s="14">
        <v>33.799999999999997</v>
      </c>
    </row>
    <row r="2674" spans="1:4" x14ac:dyDescent="0.35">
      <c r="A2674" s="13">
        <v>46368</v>
      </c>
      <c r="B2674" t="s">
        <v>82</v>
      </c>
      <c r="C2674" t="s">
        <v>249</v>
      </c>
      <c r="D2674" s="14">
        <v>15</v>
      </c>
    </row>
    <row r="2675" spans="1:4" x14ac:dyDescent="0.35">
      <c r="A2675" s="13">
        <v>46368</v>
      </c>
      <c r="B2675" t="s">
        <v>82</v>
      </c>
      <c r="C2675" t="s">
        <v>250</v>
      </c>
      <c r="D2675" s="14">
        <v>23.9</v>
      </c>
    </row>
    <row r="2676" spans="1:4" x14ac:dyDescent="0.35">
      <c r="A2676" s="13">
        <v>46368</v>
      </c>
      <c r="B2676" t="s">
        <v>82</v>
      </c>
      <c r="C2676" t="s">
        <v>251</v>
      </c>
      <c r="D2676" s="14">
        <v>16.7</v>
      </c>
    </row>
    <row r="2677" spans="1:4" x14ac:dyDescent="0.35">
      <c r="A2677" s="13">
        <v>46368</v>
      </c>
      <c r="B2677" t="s">
        <v>82</v>
      </c>
      <c r="C2677" t="s">
        <v>252</v>
      </c>
      <c r="D2677" s="14">
        <v>15.1</v>
      </c>
    </row>
    <row r="2678" spans="1:4" x14ac:dyDescent="0.35">
      <c r="A2678" s="13">
        <v>46368</v>
      </c>
      <c r="B2678" t="s">
        <v>82</v>
      </c>
      <c r="C2678" t="s">
        <v>253</v>
      </c>
      <c r="D2678" s="14">
        <v>25.3</v>
      </c>
    </row>
    <row r="2679" spans="1:4" x14ac:dyDescent="0.35">
      <c r="A2679" s="13">
        <v>46368</v>
      </c>
      <c r="B2679" t="s">
        <v>82</v>
      </c>
      <c r="C2679" t="s">
        <v>254</v>
      </c>
      <c r="D2679" s="14">
        <v>12.5</v>
      </c>
    </row>
    <row r="2680" spans="1:4" x14ac:dyDescent="0.35">
      <c r="A2680" s="13">
        <v>46368</v>
      </c>
      <c r="B2680" t="s">
        <v>82</v>
      </c>
      <c r="C2680" t="s">
        <v>255</v>
      </c>
      <c r="D2680" s="14">
        <v>15.4</v>
      </c>
    </row>
    <row r="2681" spans="1:4" x14ac:dyDescent="0.35">
      <c r="A2681" s="13">
        <v>46368</v>
      </c>
      <c r="B2681" t="s">
        <v>82</v>
      </c>
      <c r="C2681" t="s">
        <v>256</v>
      </c>
      <c r="D2681" s="14">
        <v>27.2</v>
      </c>
    </row>
    <row r="2682" spans="1:4" x14ac:dyDescent="0.35">
      <c r="A2682" s="13">
        <v>46368</v>
      </c>
      <c r="B2682" t="s">
        <v>82</v>
      </c>
      <c r="C2682" t="s">
        <v>257</v>
      </c>
      <c r="D2682" s="14">
        <v>24.5</v>
      </c>
    </row>
    <row r="2683" spans="1:4" x14ac:dyDescent="0.35">
      <c r="A2683" s="13">
        <v>46368</v>
      </c>
      <c r="B2683" t="s">
        <v>82</v>
      </c>
      <c r="C2683" t="s">
        <v>258</v>
      </c>
      <c r="D2683" s="14">
        <v>34.799999999999997</v>
      </c>
    </row>
    <row r="2684" spans="1:4" x14ac:dyDescent="0.35">
      <c r="A2684" s="13">
        <v>46368</v>
      </c>
      <c r="B2684" t="s">
        <v>82</v>
      </c>
      <c r="C2684" t="s">
        <v>259</v>
      </c>
      <c r="D2684" s="14">
        <v>16.5</v>
      </c>
    </row>
    <row r="2685" spans="1:4" x14ac:dyDescent="0.35">
      <c r="A2685" s="13">
        <v>46368</v>
      </c>
      <c r="B2685" t="s">
        <v>82</v>
      </c>
      <c r="C2685" t="s">
        <v>260</v>
      </c>
      <c r="D2685" s="14">
        <v>16.600000000000001</v>
      </c>
    </row>
    <row r="2686" spans="1:4" x14ac:dyDescent="0.35">
      <c r="A2686" s="13">
        <v>46368</v>
      </c>
      <c r="B2686" t="s">
        <v>82</v>
      </c>
      <c r="C2686" t="s">
        <v>261</v>
      </c>
      <c r="D2686" s="14">
        <v>24.3</v>
      </c>
    </row>
    <row r="2687" spans="1:4" x14ac:dyDescent="0.35">
      <c r="A2687" s="13">
        <v>46368</v>
      </c>
      <c r="B2687" t="s">
        <v>82</v>
      </c>
      <c r="C2687" t="s">
        <v>262</v>
      </c>
      <c r="D2687" s="14">
        <v>33</v>
      </c>
    </row>
    <row r="2688" spans="1:4" x14ac:dyDescent="0.35">
      <c r="A2688" s="13">
        <v>46368</v>
      </c>
      <c r="B2688" t="s">
        <v>82</v>
      </c>
      <c r="C2688" t="s">
        <v>263</v>
      </c>
      <c r="D2688" s="14">
        <v>14.6</v>
      </c>
    </row>
    <row r="2689" spans="1:4" x14ac:dyDescent="0.35">
      <c r="A2689" s="13">
        <v>46368</v>
      </c>
      <c r="B2689" t="s">
        <v>82</v>
      </c>
      <c r="C2689" t="s">
        <v>264</v>
      </c>
      <c r="D2689" s="14">
        <v>36.799999999999997</v>
      </c>
    </row>
    <row r="2690" spans="1:4" x14ac:dyDescent="0.35">
      <c r="A2690" s="13">
        <v>46368</v>
      </c>
      <c r="B2690" t="s">
        <v>82</v>
      </c>
      <c r="C2690" t="s">
        <v>265</v>
      </c>
      <c r="D2690" s="14">
        <v>25.1</v>
      </c>
    </row>
    <row r="2691" spans="1:4" x14ac:dyDescent="0.35">
      <c r="A2691" s="13">
        <v>46368</v>
      </c>
      <c r="B2691" t="s">
        <v>85</v>
      </c>
      <c r="C2691" t="s">
        <v>266</v>
      </c>
      <c r="D2691" s="14">
        <v>17</v>
      </c>
    </row>
    <row r="2692" spans="1:4" x14ac:dyDescent="0.35">
      <c r="A2692" s="13">
        <v>46368</v>
      </c>
      <c r="B2692" t="s">
        <v>85</v>
      </c>
      <c r="C2692" t="s">
        <v>267</v>
      </c>
      <c r="D2692" s="14">
        <v>10.6</v>
      </c>
    </row>
    <row r="2693" spans="1:4" x14ac:dyDescent="0.35">
      <c r="A2693" s="13">
        <v>46368</v>
      </c>
      <c r="B2693" t="s">
        <v>85</v>
      </c>
      <c r="C2693" t="s">
        <v>268</v>
      </c>
      <c r="D2693" s="14">
        <v>33.5</v>
      </c>
    </row>
    <row r="2694" spans="1:4" x14ac:dyDescent="0.35">
      <c r="A2694" s="13">
        <v>46368</v>
      </c>
      <c r="B2694" t="s">
        <v>85</v>
      </c>
      <c r="C2694" t="s">
        <v>269</v>
      </c>
      <c r="D2694" s="14">
        <v>33.9</v>
      </c>
    </row>
    <row r="2695" spans="1:4" x14ac:dyDescent="0.35">
      <c r="A2695" s="13">
        <v>46368</v>
      </c>
      <c r="B2695" t="s">
        <v>85</v>
      </c>
      <c r="C2695" t="s">
        <v>270</v>
      </c>
      <c r="D2695" s="14">
        <v>28.1</v>
      </c>
    </row>
    <row r="2696" spans="1:4" x14ac:dyDescent="0.35">
      <c r="A2696" s="13">
        <v>46368</v>
      </c>
      <c r="B2696" t="s">
        <v>85</v>
      </c>
      <c r="C2696" t="s">
        <v>271</v>
      </c>
      <c r="D2696" s="14">
        <v>20.6</v>
      </c>
    </row>
    <row r="2697" spans="1:4" x14ac:dyDescent="0.35">
      <c r="A2697" s="13">
        <v>46368</v>
      </c>
      <c r="B2697" t="s">
        <v>85</v>
      </c>
      <c r="C2697" t="s">
        <v>272</v>
      </c>
      <c r="D2697" s="14">
        <v>28.4</v>
      </c>
    </row>
    <row r="2698" spans="1:4" x14ac:dyDescent="0.35">
      <c r="A2698" s="13">
        <v>46368</v>
      </c>
      <c r="B2698" t="s">
        <v>85</v>
      </c>
      <c r="C2698" t="s">
        <v>273</v>
      </c>
      <c r="D2698" s="14">
        <v>14.1</v>
      </c>
    </row>
    <row r="2699" spans="1:4" x14ac:dyDescent="0.35">
      <c r="A2699" s="13">
        <v>46368</v>
      </c>
      <c r="B2699" t="s">
        <v>85</v>
      </c>
      <c r="C2699" t="s">
        <v>274</v>
      </c>
      <c r="D2699" s="14">
        <v>13.3</v>
      </c>
    </row>
    <row r="2700" spans="1:4" x14ac:dyDescent="0.35">
      <c r="A2700" s="13">
        <v>46368</v>
      </c>
      <c r="B2700" t="s">
        <v>85</v>
      </c>
      <c r="C2700" t="s">
        <v>275</v>
      </c>
      <c r="D2700" s="14">
        <v>26</v>
      </c>
    </row>
    <row r="2701" spans="1:4" x14ac:dyDescent="0.35">
      <c r="A2701" s="13">
        <v>46368</v>
      </c>
      <c r="B2701" t="s">
        <v>85</v>
      </c>
      <c r="C2701" t="s">
        <v>276</v>
      </c>
      <c r="D2701" s="14">
        <v>17.5</v>
      </c>
    </row>
    <row r="2702" spans="1:4" x14ac:dyDescent="0.35">
      <c r="A2702" s="13">
        <v>46368</v>
      </c>
      <c r="B2702" t="s">
        <v>85</v>
      </c>
      <c r="C2702" t="s">
        <v>277</v>
      </c>
      <c r="D2702" s="14">
        <v>21.5</v>
      </c>
    </row>
    <row r="2703" spans="1:4" x14ac:dyDescent="0.35">
      <c r="A2703" s="13">
        <v>46368</v>
      </c>
      <c r="B2703" t="s">
        <v>85</v>
      </c>
      <c r="C2703" t="s">
        <v>278</v>
      </c>
      <c r="D2703" s="14">
        <v>25.4</v>
      </c>
    </row>
    <row r="2704" spans="1:4" x14ac:dyDescent="0.35">
      <c r="A2704" s="13">
        <v>46368</v>
      </c>
      <c r="B2704" t="s">
        <v>85</v>
      </c>
      <c r="C2704" t="s">
        <v>279</v>
      </c>
      <c r="D2704" s="14">
        <v>17.2</v>
      </c>
    </row>
    <row r="2705" spans="1:4" x14ac:dyDescent="0.35">
      <c r="A2705" s="13">
        <v>46368</v>
      </c>
      <c r="B2705" t="s">
        <v>85</v>
      </c>
      <c r="C2705" t="s">
        <v>280</v>
      </c>
      <c r="D2705" s="14">
        <v>22.8</v>
      </c>
    </row>
    <row r="2706" spans="1:4" x14ac:dyDescent="0.35">
      <c r="A2706" s="13">
        <v>46368</v>
      </c>
      <c r="B2706" t="s">
        <v>85</v>
      </c>
      <c r="C2706" t="s">
        <v>281</v>
      </c>
      <c r="D2706" s="14">
        <v>18.600000000000001</v>
      </c>
    </row>
    <row r="2707" spans="1:4" x14ac:dyDescent="0.35">
      <c r="A2707" s="13">
        <v>46368</v>
      </c>
      <c r="B2707" t="s">
        <v>87</v>
      </c>
      <c r="C2707" t="s">
        <v>282</v>
      </c>
      <c r="D2707" s="14">
        <v>12</v>
      </c>
    </row>
    <row r="2708" spans="1:4" x14ac:dyDescent="0.35">
      <c r="A2708" s="13">
        <v>46368</v>
      </c>
      <c r="B2708" t="s">
        <v>87</v>
      </c>
      <c r="C2708" t="s">
        <v>283</v>
      </c>
      <c r="D2708" s="14">
        <v>22.6</v>
      </c>
    </row>
    <row r="2709" spans="1:4" x14ac:dyDescent="0.35">
      <c r="A2709" s="13">
        <v>46368</v>
      </c>
      <c r="B2709" t="s">
        <v>87</v>
      </c>
      <c r="C2709" t="s">
        <v>284</v>
      </c>
      <c r="D2709" s="14">
        <v>19.399999999999999</v>
      </c>
    </row>
    <row r="2710" spans="1:4" x14ac:dyDescent="0.35">
      <c r="A2710" s="13">
        <v>46368</v>
      </c>
      <c r="B2710" t="s">
        <v>87</v>
      </c>
      <c r="C2710" t="s">
        <v>285</v>
      </c>
      <c r="D2710" s="14">
        <v>28</v>
      </c>
    </row>
    <row r="2711" spans="1:4" x14ac:dyDescent="0.35">
      <c r="A2711" s="13">
        <v>46368</v>
      </c>
      <c r="B2711" t="s">
        <v>87</v>
      </c>
      <c r="C2711" t="s">
        <v>286</v>
      </c>
      <c r="D2711" s="14">
        <v>20.100000000000001</v>
      </c>
    </row>
    <row r="2712" spans="1:4" x14ac:dyDescent="0.35">
      <c r="A2712" s="13">
        <v>46368</v>
      </c>
      <c r="B2712" t="s">
        <v>87</v>
      </c>
      <c r="C2712" t="s">
        <v>287</v>
      </c>
      <c r="D2712" s="14">
        <v>26</v>
      </c>
    </row>
    <row r="2713" spans="1:4" x14ac:dyDescent="0.35">
      <c r="A2713" s="13">
        <v>46368</v>
      </c>
      <c r="B2713" t="s">
        <v>87</v>
      </c>
      <c r="C2713" t="s">
        <v>288</v>
      </c>
      <c r="D2713" s="14">
        <v>16.399999999999999</v>
      </c>
    </row>
    <row r="2714" spans="1:4" x14ac:dyDescent="0.35">
      <c r="A2714" s="13">
        <v>46368</v>
      </c>
      <c r="B2714" t="s">
        <v>87</v>
      </c>
      <c r="C2714" t="s">
        <v>289</v>
      </c>
      <c r="D2714" s="14">
        <v>17.8</v>
      </c>
    </row>
    <row r="2715" spans="1:4" x14ac:dyDescent="0.35">
      <c r="A2715" s="13">
        <v>46368</v>
      </c>
      <c r="B2715" t="s">
        <v>87</v>
      </c>
      <c r="C2715" t="s">
        <v>290</v>
      </c>
      <c r="D2715" s="14">
        <v>26.8</v>
      </c>
    </row>
    <row r="2716" spans="1:4" x14ac:dyDescent="0.35">
      <c r="A2716" s="13">
        <v>46368</v>
      </c>
      <c r="B2716" t="s">
        <v>87</v>
      </c>
      <c r="C2716" t="s">
        <v>291</v>
      </c>
      <c r="D2716" s="14">
        <v>20.7</v>
      </c>
    </row>
    <row r="2717" spans="1:4" x14ac:dyDescent="0.35">
      <c r="A2717" s="13">
        <v>46368</v>
      </c>
      <c r="B2717" t="s">
        <v>87</v>
      </c>
      <c r="C2717" t="s">
        <v>292</v>
      </c>
      <c r="D2717" s="14">
        <v>17.399999999999999</v>
      </c>
    </row>
    <row r="2718" spans="1:4" x14ac:dyDescent="0.35">
      <c r="A2718" s="13">
        <v>46368</v>
      </c>
      <c r="B2718" t="s">
        <v>87</v>
      </c>
      <c r="C2718" t="s">
        <v>293</v>
      </c>
      <c r="D2718" s="14">
        <v>16.100000000000001</v>
      </c>
    </row>
    <row r="2719" spans="1:4" x14ac:dyDescent="0.35">
      <c r="A2719" s="13">
        <v>46368</v>
      </c>
      <c r="B2719" t="s">
        <v>87</v>
      </c>
      <c r="C2719" t="s">
        <v>294</v>
      </c>
      <c r="D2719" s="14">
        <v>15.9</v>
      </c>
    </row>
    <row r="2720" spans="1:4" x14ac:dyDescent="0.35">
      <c r="A2720" s="13">
        <v>46368</v>
      </c>
      <c r="B2720" t="s">
        <v>87</v>
      </c>
      <c r="C2720" t="s">
        <v>295</v>
      </c>
      <c r="D2720" s="14">
        <v>19.8</v>
      </c>
    </row>
    <row r="2721" spans="1:4" x14ac:dyDescent="0.35">
      <c r="A2721" s="13">
        <v>46368</v>
      </c>
      <c r="B2721" t="s">
        <v>87</v>
      </c>
      <c r="C2721" t="s">
        <v>296</v>
      </c>
      <c r="D2721" s="14">
        <v>29.8</v>
      </c>
    </row>
    <row r="2722" spans="1:4" x14ac:dyDescent="0.35">
      <c r="A2722" s="13">
        <v>46368</v>
      </c>
      <c r="B2722" t="s">
        <v>87</v>
      </c>
      <c r="C2722" t="s">
        <v>297</v>
      </c>
      <c r="D2722" s="14">
        <v>21.6</v>
      </c>
    </row>
    <row r="2723" spans="1:4" x14ac:dyDescent="0.35">
      <c r="A2723" s="13">
        <v>46368</v>
      </c>
      <c r="B2723" t="s">
        <v>77</v>
      </c>
      <c r="C2723" t="s">
        <v>298</v>
      </c>
      <c r="D2723" s="14">
        <v>22.6</v>
      </c>
    </row>
    <row r="2724" spans="1:4" x14ac:dyDescent="0.35">
      <c r="A2724" s="13">
        <v>46368</v>
      </c>
      <c r="B2724" t="s">
        <v>85</v>
      </c>
      <c r="C2724" t="s">
        <v>299</v>
      </c>
      <c r="D2724" s="14">
        <v>22.4</v>
      </c>
    </row>
    <row r="2725" spans="1:4" x14ac:dyDescent="0.35">
      <c r="A2725" s="13">
        <v>46375</v>
      </c>
      <c r="B2725" t="s">
        <v>70</v>
      </c>
      <c r="C2725" t="s">
        <v>155</v>
      </c>
      <c r="D2725" s="14">
        <v>33.700000000000003</v>
      </c>
    </row>
    <row r="2726" spans="1:4" x14ac:dyDescent="0.35">
      <c r="A2726" s="13">
        <v>46375</v>
      </c>
      <c r="B2726" t="s">
        <v>70</v>
      </c>
      <c r="C2726" t="s">
        <v>158</v>
      </c>
      <c r="D2726" s="14">
        <v>29.2</v>
      </c>
    </row>
    <row r="2727" spans="1:4" x14ac:dyDescent="0.35">
      <c r="A2727" s="13">
        <v>46375</v>
      </c>
      <c r="B2727" t="s">
        <v>70</v>
      </c>
      <c r="C2727" t="s">
        <v>159</v>
      </c>
      <c r="D2727" s="14">
        <v>22.2</v>
      </c>
    </row>
    <row r="2728" spans="1:4" x14ac:dyDescent="0.35">
      <c r="A2728" s="13">
        <v>46375</v>
      </c>
      <c r="B2728" t="s">
        <v>70</v>
      </c>
      <c r="C2728" t="s">
        <v>162</v>
      </c>
      <c r="D2728" s="14">
        <v>31.9</v>
      </c>
    </row>
    <row r="2729" spans="1:4" x14ac:dyDescent="0.35">
      <c r="A2729" s="13">
        <v>46375</v>
      </c>
      <c r="B2729" t="s">
        <v>70</v>
      </c>
      <c r="C2729" t="s">
        <v>164</v>
      </c>
      <c r="D2729" s="14">
        <v>13.9</v>
      </c>
    </row>
    <row r="2730" spans="1:4" x14ac:dyDescent="0.35">
      <c r="A2730" s="13">
        <v>46375</v>
      </c>
      <c r="B2730" t="s">
        <v>70</v>
      </c>
      <c r="C2730" t="s">
        <v>167</v>
      </c>
      <c r="D2730" s="14">
        <v>17.899999999999999</v>
      </c>
    </row>
    <row r="2731" spans="1:4" x14ac:dyDescent="0.35">
      <c r="A2731" s="13">
        <v>46375</v>
      </c>
      <c r="B2731" t="s">
        <v>70</v>
      </c>
      <c r="C2731" t="s">
        <v>169</v>
      </c>
      <c r="D2731" s="14">
        <v>13.4</v>
      </c>
    </row>
    <row r="2732" spans="1:4" x14ac:dyDescent="0.35">
      <c r="A2732" s="13">
        <v>46375</v>
      </c>
      <c r="B2732" t="s">
        <v>70</v>
      </c>
      <c r="C2732" t="s">
        <v>170</v>
      </c>
      <c r="D2732" s="14">
        <v>26.3</v>
      </c>
    </row>
    <row r="2733" spans="1:4" x14ac:dyDescent="0.35">
      <c r="A2733" s="13">
        <v>46375</v>
      </c>
      <c r="B2733" t="s">
        <v>70</v>
      </c>
      <c r="C2733" t="s">
        <v>171</v>
      </c>
      <c r="D2733" s="14">
        <v>20.9</v>
      </c>
    </row>
    <row r="2734" spans="1:4" x14ac:dyDescent="0.35">
      <c r="A2734" s="13">
        <v>46375</v>
      </c>
      <c r="B2734" t="s">
        <v>70</v>
      </c>
      <c r="C2734" t="s">
        <v>172</v>
      </c>
      <c r="D2734" s="14">
        <v>13.5</v>
      </c>
    </row>
    <row r="2735" spans="1:4" x14ac:dyDescent="0.35">
      <c r="A2735" s="13">
        <v>46375</v>
      </c>
      <c r="B2735" t="s">
        <v>70</v>
      </c>
      <c r="C2735" t="s">
        <v>173</v>
      </c>
      <c r="D2735" s="14">
        <v>24.6</v>
      </c>
    </row>
    <row r="2736" spans="1:4" x14ac:dyDescent="0.35">
      <c r="A2736" s="13">
        <v>46375</v>
      </c>
      <c r="B2736" t="s">
        <v>70</v>
      </c>
      <c r="C2736" t="s">
        <v>174</v>
      </c>
      <c r="D2736" s="14">
        <v>30</v>
      </c>
    </row>
    <row r="2737" spans="1:4" x14ac:dyDescent="0.35">
      <c r="A2737" s="13">
        <v>46375</v>
      </c>
      <c r="B2737" t="s">
        <v>70</v>
      </c>
      <c r="C2737" t="s">
        <v>175</v>
      </c>
      <c r="D2737" s="14">
        <v>20.7</v>
      </c>
    </row>
    <row r="2738" spans="1:4" x14ac:dyDescent="0.35">
      <c r="A2738" s="13">
        <v>46375</v>
      </c>
      <c r="B2738" t="s">
        <v>70</v>
      </c>
      <c r="C2738" t="s">
        <v>176</v>
      </c>
      <c r="D2738" s="14">
        <v>16.100000000000001</v>
      </c>
    </row>
    <row r="2739" spans="1:4" x14ac:dyDescent="0.35">
      <c r="A2739" s="13">
        <v>46375</v>
      </c>
      <c r="B2739" t="s">
        <v>73</v>
      </c>
      <c r="C2739" t="s">
        <v>177</v>
      </c>
      <c r="D2739" s="14">
        <v>16.8</v>
      </c>
    </row>
    <row r="2740" spans="1:4" x14ac:dyDescent="0.35">
      <c r="A2740" s="13">
        <v>46375</v>
      </c>
      <c r="B2740" t="s">
        <v>73</v>
      </c>
      <c r="C2740" t="s">
        <v>178</v>
      </c>
      <c r="D2740" s="14">
        <v>14.6</v>
      </c>
    </row>
    <row r="2741" spans="1:4" x14ac:dyDescent="0.35">
      <c r="A2741" s="13">
        <v>46375</v>
      </c>
      <c r="B2741" t="s">
        <v>73</v>
      </c>
      <c r="C2741" t="s">
        <v>179</v>
      </c>
      <c r="D2741" s="14">
        <v>21.7</v>
      </c>
    </row>
    <row r="2742" spans="1:4" x14ac:dyDescent="0.35">
      <c r="A2742" s="13">
        <v>46375</v>
      </c>
      <c r="B2742" t="s">
        <v>73</v>
      </c>
      <c r="C2742" t="s">
        <v>180</v>
      </c>
      <c r="D2742" s="14">
        <v>12.2</v>
      </c>
    </row>
    <row r="2743" spans="1:4" x14ac:dyDescent="0.35">
      <c r="A2743" s="13">
        <v>46375</v>
      </c>
      <c r="B2743" t="s">
        <v>73</v>
      </c>
      <c r="C2743" t="s">
        <v>181</v>
      </c>
      <c r="D2743" s="14">
        <v>13.8</v>
      </c>
    </row>
    <row r="2744" spans="1:4" x14ac:dyDescent="0.35">
      <c r="A2744" s="13">
        <v>46375</v>
      </c>
      <c r="B2744" t="s">
        <v>73</v>
      </c>
      <c r="C2744" t="s">
        <v>182</v>
      </c>
      <c r="D2744" s="14">
        <v>18.100000000000001</v>
      </c>
    </row>
    <row r="2745" spans="1:4" x14ac:dyDescent="0.35">
      <c r="A2745" s="13">
        <v>46375</v>
      </c>
      <c r="B2745" t="s">
        <v>73</v>
      </c>
      <c r="C2745" t="s">
        <v>183</v>
      </c>
      <c r="D2745" s="14">
        <v>27.1</v>
      </c>
    </row>
    <row r="2746" spans="1:4" x14ac:dyDescent="0.35">
      <c r="A2746" s="13">
        <v>46375</v>
      </c>
      <c r="B2746" t="s">
        <v>73</v>
      </c>
      <c r="C2746" t="s">
        <v>184</v>
      </c>
      <c r="D2746" s="14">
        <v>21.6</v>
      </c>
    </row>
    <row r="2747" spans="1:4" x14ac:dyDescent="0.35">
      <c r="A2747" s="13">
        <v>46375</v>
      </c>
      <c r="B2747" t="s">
        <v>73</v>
      </c>
      <c r="C2747" t="s">
        <v>185</v>
      </c>
      <c r="D2747" s="14">
        <v>13.6</v>
      </c>
    </row>
    <row r="2748" spans="1:4" x14ac:dyDescent="0.35">
      <c r="A2748" s="13">
        <v>46375</v>
      </c>
      <c r="B2748" t="s">
        <v>73</v>
      </c>
      <c r="C2748" t="s">
        <v>186</v>
      </c>
      <c r="D2748" s="14">
        <v>19.7</v>
      </c>
    </row>
    <row r="2749" spans="1:4" x14ac:dyDescent="0.35">
      <c r="A2749" s="13">
        <v>46375</v>
      </c>
      <c r="B2749" t="s">
        <v>73</v>
      </c>
      <c r="C2749" t="s">
        <v>187</v>
      </c>
      <c r="D2749" s="14">
        <v>10.6</v>
      </c>
    </row>
    <row r="2750" spans="1:4" x14ac:dyDescent="0.35">
      <c r="A2750" s="13">
        <v>46375</v>
      </c>
      <c r="B2750" t="s">
        <v>73</v>
      </c>
      <c r="C2750" t="s">
        <v>189</v>
      </c>
      <c r="D2750" s="14">
        <v>14.6</v>
      </c>
    </row>
    <row r="2751" spans="1:4" x14ac:dyDescent="0.35">
      <c r="A2751" s="13">
        <v>46375</v>
      </c>
      <c r="B2751" t="s">
        <v>73</v>
      </c>
      <c r="C2751" t="s">
        <v>190</v>
      </c>
      <c r="D2751" s="14">
        <v>16.899999999999999</v>
      </c>
    </row>
    <row r="2752" spans="1:4" x14ac:dyDescent="0.35">
      <c r="A2752" s="13">
        <v>46375</v>
      </c>
      <c r="B2752" t="s">
        <v>73</v>
      </c>
      <c r="C2752" t="s">
        <v>191</v>
      </c>
      <c r="D2752" s="14">
        <v>16</v>
      </c>
    </row>
    <row r="2753" spans="1:4" x14ac:dyDescent="0.35">
      <c r="A2753" s="13">
        <v>46375</v>
      </c>
      <c r="B2753" t="s">
        <v>73</v>
      </c>
      <c r="C2753" t="s">
        <v>192</v>
      </c>
      <c r="D2753" s="14">
        <v>10.199999999999999</v>
      </c>
    </row>
    <row r="2754" spans="1:4" x14ac:dyDescent="0.35">
      <c r="A2754" s="13">
        <v>46375</v>
      </c>
      <c r="B2754" t="s">
        <v>73</v>
      </c>
      <c r="C2754" t="s">
        <v>193</v>
      </c>
      <c r="D2754" s="14">
        <v>20.3</v>
      </c>
    </row>
    <row r="2755" spans="1:4" x14ac:dyDescent="0.35">
      <c r="A2755" s="13">
        <v>46375</v>
      </c>
      <c r="B2755" t="s">
        <v>73</v>
      </c>
      <c r="C2755" t="s">
        <v>194</v>
      </c>
      <c r="D2755" s="14">
        <v>13</v>
      </c>
    </row>
    <row r="2756" spans="1:4" x14ac:dyDescent="0.35">
      <c r="A2756" s="13">
        <v>46375</v>
      </c>
      <c r="B2756" t="s">
        <v>73</v>
      </c>
      <c r="C2756" t="s">
        <v>195</v>
      </c>
      <c r="D2756" s="14">
        <v>20.5</v>
      </c>
    </row>
    <row r="2757" spans="1:4" x14ac:dyDescent="0.35">
      <c r="A2757" s="13">
        <v>46375</v>
      </c>
      <c r="B2757" t="s">
        <v>73</v>
      </c>
      <c r="C2757" t="s">
        <v>196</v>
      </c>
      <c r="D2757" s="14">
        <v>11.1</v>
      </c>
    </row>
    <row r="2758" spans="1:4" x14ac:dyDescent="0.35">
      <c r="A2758" s="13">
        <v>46375</v>
      </c>
      <c r="B2758" t="s">
        <v>3</v>
      </c>
      <c r="C2758" t="s">
        <v>197</v>
      </c>
      <c r="D2758" s="14">
        <v>18.7</v>
      </c>
    </row>
    <row r="2759" spans="1:4" x14ac:dyDescent="0.35">
      <c r="A2759" s="13">
        <v>46375</v>
      </c>
      <c r="B2759" t="s">
        <v>3</v>
      </c>
      <c r="C2759" t="s">
        <v>198</v>
      </c>
      <c r="D2759" s="14">
        <v>16.5</v>
      </c>
    </row>
    <row r="2760" spans="1:4" x14ac:dyDescent="0.35">
      <c r="A2760" s="13">
        <v>46375</v>
      </c>
      <c r="B2760" t="s">
        <v>3</v>
      </c>
      <c r="C2760" t="s">
        <v>199</v>
      </c>
      <c r="D2760" s="14">
        <v>25.7</v>
      </c>
    </row>
    <row r="2761" spans="1:4" x14ac:dyDescent="0.35">
      <c r="A2761" s="13">
        <v>46375</v>
      </c>
      <c r="B2761" t="s">
        <v>3</v>
      </c>
      <c r="C2761" t="s">
        <v>200</v>
      </c>
      <c r="D2761" s="14">
        <v>18.399999999999999</v>
      </c>
    </row>
    <row r="2762" spans="1:4" x14ac:dyDescent="0.35">
      <c r="A2762" s="13">
        <v>46375</v>
      </c>
      <c r="B2762" t="s">
        <v>3</v>
      </c>
      <c r="C2762" t="s">
        <v>201</v>
      </c>
      <c r="D2762" s="14">
        <v>29.3</v>
      </c>
    </row>
    <row r="2763" spans="1:4" x14ac:dyDescent="0.35">
      <c r="A2763" s="13">
        <v>46375</v>
      </c>
      <c r="B2763" t="s">
        <v>3</v>
      </c>
      <c r="C2763" t="s">
        <v>202</v>
      </c>
      <c r="D2763" s="14">
        <v>11.9</v>
      </c>
    </row>
    <row r="2764" spans="1:4" x14ac:dyDescent="0.35">
      <c r="A2764" s="13">
        <v>46375</v>
      </c>
      <c r="B2764" t="s">
        <v>3</v>
      </c>
      <c r="C2764" t="s">
        <v>203</v>
      </c>
      <c r="D2764" s="14">
        <v>20.2</v>
      </c>
    </row>
    <row r="2765" spans="1:4" x14ac:dyDescent="0.35">
      <c r="A2765" s="13">
        <v>46375</v>
      </c>
      <c r="B2765" t="s">
        <v>3</v>
      </c>
      <c r="C2765" t="s">
        <v>204</v>
      </c>
      <c r="D2765" s="14">
        <v>11.4</v>
      </c>
    </row>
    <row r="2766" spans="1:4" x14ac:dyDescent="0.35">
      <c r="A2766" s="13">
        <v>46375</v>
      </c>
      <c r="B2766" t="s">
        <v>3</v>
      </c>
      <c r="C2766" t="s">
        <v>205</v>
      </c>
      <c r="D2766" s="14">
        <v>32.700000000000003</v>
      </c>
    </row>
    <row r="2767" spans="1:4" x14ac:dyDescent="0.35">
      <c r="A2767" s="13">
        <v>46375</v>
      </c>
      <c r="B2767" t="s">
        <v>3</v>
      </c>
      <c r="C2767" t="s">
        <v>206</v>
      </c>
      <c r="D2767" s="14">
        <v>30.9</v>
      </c>
    </row>
    <row r="2768" spans="1:4" x14ac:dyDescent="0.35">
      <c r="A2768" s="13">
        <v>46375</v>
      </c>
      <c r="B2768" t="s">
        <v>3</v>
      </c>
      <c r="C2768" t="s">
        <v>207</v>
      </c>
      <c r="D2768" s="14">
        <v>31.3</v>
      </c>
    </row>
    <row r="2769" spans="1:4" x14ac:dyDescent="0.35">
      <c r="A2769" s="13">
        <v>46375</v>
      </c>
      <c r="B2769" t="s">
        <v>3</v>
      </c>
      <c r="C2769" t="s">
        <v>208</v>
      </c>
      <c r="D2769" s="14">
        <v>30.2</v>
      </c>
    </row>
    <row r="2770" spans="1:4" x14ac:dyDescent="0.35">
      <c r="A2770" s="13">
        <v>46375</v>
      </c>
      <c r="B2770" t="s">
        <v>3</v>
      </c>
      <c r="C2770" t="s">
        <v>209</v>
      </c>
      <c r="D2770" s="14">
        <v>28.6</v>
      </c>
    </row>
    <row r="2771" spans="1:4" x14ac:dyDescent="0.35">
      <c r="A2771" s="13">
        <v>46375</v>
      </c>
      <c r="B2771" t="s">
        <v>3</v>
      </c>
      <c r="C2771" t="s">
        <v>210</v>
      </c>
      <c r="D2771" s="14">
        <v>18.2</v>
      </c>
    </row>
    <row r="2772" spans="1:4" x14ac:dyDescent="0.35">
      <c r="A2772" s="13">
        <v>46375</v>
      </c>
      <c r="B2772" t="s">
        <v>3</v>
      </c>
      <c r="C2772" t="s">
        <v>211</v>
      </c>
      <c r="D2772" s="14">
        <v>20.100000000000001</v>
      </c>
    </row>
    <row r="2773" spans="1:4" x14ac:dyDescent="0.35">
      <c r="A2773" s="13">
        <v>46375</v>
      </c>
      <c r="B2773" t="s">
        <v>3</v>
      </c>
      <c r="C2773" t="s">
        <v>212</v>
      </c>
      <c r="D2773" s="14">
        <v>28.2</v>
      </c>
    </row>
    <row r="2774" spans="1:4" x14ac:dyDescent="0.35">
      <c r="A2774" s="13">
        <v>46375</v>
      </c>
      <c r="B2774" t="s">
        <v>3</v>
      </c>
      <c r="C2774" t="s">
        <v>213</v>
      </c>
      <c r="D2774" s="14">
        <v>16.3</v>
      </c>
    </row>
    <row r="2775" spans="1:4" x14ac:dyDescent="0.35">
      <c r="A2775" s="13">
        <v>46375</v>
      </c>
      <c r="B2775" t="s">
        <v>3</v>
      </c>
      <c r="C2775" t="s">
        <v>214</v>
      </c>
      <c r="D2775" s="14">
        <v>19.5</v>
      </c>
    </row>
    <row r="2776" spans="1:4" x14ac:dyDescent="0.35">
      <c r="A2776" s="13">
        <v>46375</v>
      </c>
      <c r="B2776" t="s">
        <v>3</v>
      </c>
      <c r="C2776" t="s">
        <v>215</v>
      </c>
      <c r="D2776" s="14">
        <v>14</v>
      </c>
    </row>
    <row r="2777" spans="1:4" x14ac:dyDescent="0.35">
      <c r="A2777" s="13">
        <v>46375</v>
      </c>
      <c r="B2777" t="s">
        <v>77</v>
      </c>
      <c r="C2777" t="s">
        <v>216</v>
      </c>
      <c r="D2777" s="14">
        <v>16.8</v>
      </c>
    </row>
    <row r="2778" spans="1:4" x14ac:dyDescent="0.35">
      <c r="A2778" s="13">
        <v>46375</v>
      </c>
      <c r="B2778" t="s">
        <v>77</v>
      </c>
      <c r="C2778" t="s">
        <v>217</v>
      </c>
      <c r="D2778" s="14">
        <v>19.100000000000001</v>
      </c>
    </row>
    <row r="2779" spans="1:4" x14ac:dyDescent="0.35">
      <c r="A2779" s="13">
        <v>46375</v>
      </c>
      <c r="B2779" t="s">
        <v>77</v>
      </c>
      <c r="C2779" t="s">
        <v>218</v>
      </c>
      <c r="D2779" s="14">
        <v>19.2</v>
      </c>
    </row>
    <row r="2780" spans="1:4" x14ac:dyDescent="0.35">
      <c r="A2780" s="13">
        <v>46375</v>
      </c>
      <c r="B2780" t="s">
        <v>77</v>
      </c>
      <c r="C2780" t="s">
        <v>219</v>
      </c>
      <c r="D2780" s="14">
        <v>11</v>
      </c>
    </row>
    <row r="2781" spans="1:4" x14ac:dyDescent="0.35">
      <c r="A2781" s="13">
        <v>46375</v>
      </c>
      <c r="B2781" t="s">
        <v>77</v>
      </c>
      <c r="C2781" t="s">
        <v>220</v>
      </c>
      <c r="D2781" s="14">
        <v>16.600000000000001</v>
      </c>
    </row>
    <row r="2782" spans="1:4" x14ac:dyDescent="0.35">
      <c r="A2782" s="13">
        <v>46375</v>
      </c>
      <c r="B2782" t="s">
        <v>77</v>
      </c>
      <c r="C2782" t="s">
        <v>221</v>
      </c>
      <c r="D2782" s="14">
        <v>40</v>
      </c>
    </row>
    <row r="2783" spans="1:4" x14ac:dyDescent="0.35">
      <c r="A2783" s="13">
        <v>46375</v>
      </c>
      <c r="B2783" t="s">
        <v>77</v>
      </c>
      <c r="C2783" t="s">
        <v>222</v>
      </c>
      <c r="D2783" s="14">
        <v>18.100000000000001</v>
      </c>
    </row>
    <row r="2784" spans="1:4" x14ac:dyDescent="0.35">
      <c r="A2784" s="13">
        <v>46375</v>
      </c>
      <c r="B2784" t="s">
        <v>77</v>
      </c>
      <c r="C2784" t="s">
        <v>223</v>
      </c>
      <c r="D2784" s="14">
        <v>26.2</v>
      </c>
    </row>
    <row r="2785" spans="1:4" x14ac:dyDescent="0.35">
      <c r="A2785" s="13">
        <v>46375</v>
      </c>
      <c r="B2785" t="s">
        <v>77</v>
      </c>
      <c r="C2785" t="s">
        <v>224</v>
      </c>
      <c r="D2785" s="14">
        <v>18.7</v>
      </c>
    </row>
    <row r="2786" spans="1:4" x14ac:dyDescent="0.35">
      <c r="A2786" s="13">
        <v>46375</v>
      </c>
      <c r="B2786" t="s">
        <v>77</v>
      </c>
      <c r="C2786" t="s">
        <v>225</v>
      </c>
      <c r="D2786" s="14">
        <v>15.5</v>
      </c>
    </row>
    <row r="2787" spans="1:4" x14ac:dyDescent="0.35">
      <c r="A2787" s="13">
        <v>46375</v>
      </c>
      <c r="B2787" t="s">
        <v>77</v>
      </c>
      <c r="C2787" t="s">
        <v>226</v>
      </c>
      <c r="D2787" s="14">
        <v>26</v>
      </c>
    </row>
    <row r="2788" spans="1:4" x14ac:dyDescent="0.35">
      <c r="A2788" s="13">
        <v>46375</v>
      </c>
      <c r="B2788" t="s">
        <v>77</v>
      </c>
      <c r="C2788" t="s">
        <v>227</v>
      </c>
      <c r="D2788" s="14">
        <v>20.100000000000001</v>
      </c>
    </row>
    <row r="2789" spans="1:4" x14ac:dyDescent="0.35">
      <c r="A2789" s="13">
        <v>46375</v>
      </c>
      <c r="B2789" t="s">
        <v>77</v>
      </c>
      <c r="C2789" t="s">
        <v>228</v>
      </c>
      <c r="D2789" s="14">
        <v>31.1</v>
      </c>
    </row>
    <row r="2790" spans="1:4" x14ac:dyDescent="0.35">
      <c r="A2790" s="13">
        <v>46375</v>
      </c>
      <c r="B2790" t="s">
        <v>77</v>
      </c>
      <c r="C2790" t="s">
        <v>229</v>
      </c>
      <c r="D2790" s="14">
        <v>10.3</v>
      </c>
    </row>
    <row r="2791" spans="1:4" x14ac:dyDescent="0.35">
      <c r="A2791" s="13">
        <v>46375</v>
      </c>
      <c r="B2791" t="s">
        <v>77</v>
      </c>
      <c r="C2791" t="s">
        <v>230</v>
      </c>
      <c r="D2791" s="14">
        <v>11.9</v>
      </c>
    </row>
    <row r="2792" spans="1:4" x14ac:dyDescent="0.35">
      <c r="A2792" s="13">
        <v>46375</v>
      </c>
      <c r="B2792" t="s">
        <v>80</v>
      </c>
      <c r="C2792" t="s">
        <v>231</v>
      </c>
      <c r="D2792" s="14">
        <v>20.399999999999999</v>
      </c>
    </row>
    <row r="2793" spans="1:4" x14ac:dyDescent="0.35">
      <c r="A2793" s="13">
        <v>46375</v>
      </c>
      <c r="B2793" t="s">
        <v>80</v>
      </c>
      <c r="C2793" t="s">
        <v>232</v>
      </c>
      <c r="D2793" s="14">
        <v>31</v>
      </c>
    </row>
    <row r="2794" spans="1:4" x14ac:dyDescent="0.35">
      <c r="A2794" s="13">
        <v>46375</v>
      </c>
      <c r="B2794" t="s">
        <v>80</v>
      </c>
      <c r="C2794" t="s">
        <v>233</v>
      </c>
      <c r="D2794" s="14">
        <v>16</v>
      </c>
    </row>
    <row r="2795" spans="1:4" x14ac:dyDescent="0.35">
      <c r="A2795" s="13">
        <v>46375</v>
      </c>
      <c r="B2795" t="s">
        <v>80</v>
      </c>
      <c r="C2795" t="s">
        <v>234</v>
      </c>
      <c r="D2795" s="14">
        <v>10.8</v>
      </c>
    </row>
    <row r="2796" spans="1:4" x14ac:dyDescent="0.35">
      <c r="A2796" s="13">
        <v>46375</v>
      </c>
      <c r="B2796" t="s">
        <v>80</v>
      </c>
      <c r="C2796" t="s">
        <v>235</v>
      </c>
      <c r="D2796" s="14">
        <v>24.2</v>
      </c>
    </row>
    <row r="2797" spans="1:4" x14ac:dyDescent="0.35">
      <c r="A2797" s="13">
        <v>46375</v>
      </c>
      <c r="B2797" t="s">
        <v>80</v>
      </c>
      <c r="C2797" t="s">
        <v>236</v>
      </c>
      <c r="D2797" s="14">
        <v>26.7</v>
      </c>
    </row>
    <row r="2798" spans="1:4" x14ac:dyDescent="0.35">
      <c r="A2798" s="13">
        <v>46375</v>
      </c>
      <c r="B2798" t="s">
        <v>80</v>
      </c>
      <c r="C2798" t="s">
        <v>237</v>
      </c>
      <c r="D2798" s="14">
        <v>18.3</v>
      </c>
    </row>
    <row r="2799" spans="1:4" x14ac:dyDescent="0.35">
      <c r="A2799" s="13">
        <v>46375</v>
      </c>
      <c r="B2799" t="s">
        <v>80</v>
      </c>
      <c r="C2799" t="s">
        <v>238</v>
      </c>
      <c r="D2799" s="14">
        <v>24.4</v>
      </c>
    </row>
    <row r="2800" spans="1:4" x14ac:dyDescent="0.35">
      <c r="A2800" s="13">
        <v>46375</v>
      </c>
      <c r="B2800" t="s">
        <v>80</v>
      </c>
      <c r="C2800" t="s">
        <v>239</v>
      </c>
      <c r="D2800" s="14">
        <v>12.3</v>
      </c>
    </row>
    <row r="2801" spans="1:4" x14ac:dyDescent="0.35">
      <c r="A2801" s="13">
        <v>46375</v>
      </c>
      <c r="B2801" t="s">
        <v>80</v>
      </c>
      <c r="C2801" t="s">
        <v>240</v>
      </c>
      <c r="D2801" s="14">
        <v>27</v>
      </c>
    </row>
    <row r="2802" spans="1:4" x14ac:dyDescent="0.35">
      <c r="A2802" s="13">
        <v>46375</v>
      </c>
      <c r="B2802" t="s">
        <v>80</v>
      </c>
      <c r="C2802" t="s">
        <v>241</v>
      </c>
      <c r="D2802" s="14">
        <v>17.100000000000001</v>
      </c>
    </row>
    <row r="2803" spans="1:4" x14ac:dyDescent="0.35">
      <c r="A2803" s="13">
        <v>46375</v>
      </c>
      <c r="B2803" t="s">
        <v>80</v>
      </c>
      <c r="C2803" t="s">
        <v>242</v>
      </c>
      <c r="D2803" s="14">
        <v>38.9</v>
      </c>
    </row>
    <row r="2804" spans="1:4" x14ac:dyDescent="0.35">
      <c r="A2804" s="13">
        <v>46375</v>
      </c>
      <c r="B2804" t="s">
        <v>80</v>
      </c>
      <c r="C2804" t="s">
        <v>243</v>
      </c>
      <c r="D2804" s="14">
        <v>31</v>
      </c>
    </row>
    <row r="2805" spans="1:4" x14ac:dyDescent="0.35">
      <c r="A2805" s="13">
        <v>46375</v>
      </c>
      <c r="B2805" t="s">
        <v>80</v>
      </c>
      <c r="C2805" t="s">
        <v>244</v>
      </c>
      <c r="D2805" s="14">
        <v>21.5</v>
      </c>
    </row>
    <row r="2806" spans="1:4" x14ac:dyDescent="0.35">
      <c r="A2806" s="13">
        <v>46375</v>
      </c>
      <c r="B2806" t="s">
        <v>80</v>
      </c>
      <c r="C2806" t="s">
        <v>245</v>
      </c>
      <c r="D2806" s="14">
        <v>20.5</v>
      </c>
    </row>
    <row r="2807" spans="1:4" x14ac:dyDescent="0.35">
      <c r="A2807" s="13">
        <v>46375</v>
      </c>
      <c r="B2807" t="s">
        <v>80</v>
      </c>
      <c r="C2807" t="s">
        <v>246</v>
      </c>
      <c r="D2807" s="14">
        <v>21.3</v>
      </c>
    </row>
    <row r="2808" spans="1:4" x14ac:dyDescent="0.35">
      <c r="A2808" s="13">
        <v>46375</v>
      </c>
      <c r="B2808" t="s">
        <v>80</v>
      </c>
      <c r="C2808" t="s">
        <v>247</v>
      </c>
      <c r="D2808" s="14">
        <v>37.5</v>
      </c>
    </row>
    <row r="2809" spans="1:4" x14ac:dyDescent="0.35">
      <c r="A2809" s="13">
        <v>46375</v>
      </c>
      <c r="B2809" t="s">
        <v>82</v>
      </c>
      <c r="C2809" t="s">
        <v>248</v>
      </c>
      <c r="D2809" s="14">
        <v>30.4</v>
      </c>
    </row>
    <row r="2810" spans="1:4" x14ac:dyDescent="0.35">
      <c r="A2810" s="13">
        <v>46375</v>
      </c>
      <c r="B2810" t="s">
        <v>82</v>
      </c>
      <c r="C2810" t="s">
        <v>249</v>
      </c>
      <c r="D2810" s="14">
        <v>13.5</v>
      </c>
    </row>
    <row r="2811" spans="1:4" x14ac:dyDescent="0.35">
      <c r="A2811" s="13">
        <v>46375</v>
      </c>
      <c r="B2811" t="s">
        <v>82</v>
      </c>
      <c r="C2811" t="s">
        <v>250</v>
      </c>
      <c r="D2811" s="14">
        <v>21.5</v>
      </c>
    </row>
    <row r="2812" spans="1:4" x14ac:dyDescent="0.35">
      <c r="A2812" s="13">
        <v>46375</v>
      </c>
      <c r="B2812" t="s">
        <v>82</v>
      </c>
      <c r="C2812" t="s">
        <v>251</v>
      </c>
      <c r="D2812" s="14">
        <v>15</v>
      </c>
    </row>
    <row r="2813" spans="1:4" x14ac:dyDescent="0.35">
      <c r="A2813" s="13">
        <v>46375</v>
      </c>
      <c r="B2813" t="s">
        <v>82</v>
      </c>
      <c r="C2813" t="s">
        <v>252</v>
      </c>
      <c r="D2813" s="14">
        <v>13.6</v>
      </c>
    </row>
    <row r="2814" spans="1:4" x14ac:dyDescent="0.35">
      <c r="A2814" s="13">
        <v>46375</v>
      </c>
      <c r="B2814" t="s">
        <v>82</v>
      </c>
      <c r="C2814" t="s">
        <v>253</v>
      </c>
      <c r="D2814" s="14">
        <v>22.7</v>
      </c>
    </row>
    <row r="2815" spans="1:4" x14ac:dyDescent="0.35">
      <c r="A2815" s="13">
        <v>46375</v>
      </c>
      <c r="B2815" t="s">
        <v>82</v>
      </c>
      <c r="C2815" t="s">
        <v>254</v>
      </c>
      <c r="D2815" s="14">
        <v>11.2</v>
      </c>
    </row>
    <row r="2816" spans="1:4" x14ac:dyDescent="0.35">
      <c r="A2816" s="13">
        <v>46375</v>
      </c>
      <c r="B2816" t="s">
        <v>82</v>
      </c>
      <c r="C2816" t="s">
        <v>255</v>
      </c>
      <c r="D2816" s="14">
        <v>13.8</v>
      </c>
    </row>
    <row r="2817" spans="1:4" x14ac:dyDescent="0.35">
      <c r="A2817" s="13">
        <v>46375</v>
      </c>
      <c r="B2817" t="s">
        <v>82</v>
      </c>
      <c r="C2817" t="s">
        <v>256</v>
      </c>
      <c r="D2817" s="14">
        <v>24.4</v>
      </c>
    </row>
    <row r="2818" spans="1:4" x14ac:dyDescent="0.35">
      <c r="A2818" s="13">
        <v>46375</v>
      </c>
      <c r="B2818" t="s">
        <v>82</v>
      </c>
      <c r="C2818" t="s">
        <v>257</v>
      </c>
      <c r="D2818" s="14">
        <v>22</v>
      </c>
    </row>
    <row r="2819" spans="1:4" x14ac:dyDescent="0.35">
      <c r="A2819" s="13">
        <v>46375</v>
      </c>
      <c r="B2819" t="s">
        <v>82</v>
      </c>
      <c r="C2819" t="s">
        <v>258</v>
      </c>
      <c r="D2819" s="14">
        <v>31.3</v>
      </c>
    </row>
    <row r="2820" spans="1:4" x14ac:dyDescent="0.35">
      <c r="A2820" s="13">
        <v>46375</v>
      </c>
      <c r="B2820" t="s">
        <v>82</v>
      </c>
      <c r="C2820" t="s">
        <v>259</v>
      </c>
      <c r="D2820" s="14">
        <v>14.8</v>
      </c>
    </row>
    <row r="2821" spans="1:4" x14ac:dyDescent="0.35">
      <c r="A2821" s="13">
        <v>46375</v>
      </c>
      <c r="B2821" t="s">
        <v>82</v>
      </c>
      <c r="C2821" t="s">
        <v>260</v>
      </c>
      <c r="D2821" s="14">
        <v>14.9</v>
      </c>
    </row>
    <row r="2822" spans="1:4" x14ac:dyDescent="0.35">
      <c r="A2822" s="13">
        <v>46375</v>
      </c>
      <c r="B2822" t="s">
        <v>82</v>
      </c>
      <c r="C2822" t="s">
        <v>261</v>
      </c>
      <c r="D2822" s="14">
        <v>21.8</v>
      </c>
    </row>
    <row r="2823" spans="1:4" x14ac:dyDescent="0.35">
      <c r="A2823" s="13">
        <v>46375</v>
      </c>
      <c r="B2823" t="s">
        <v>82</v>
      </c>
      <c r="C2823" t="s">
        <v>262</v>
      </c>
      <c r="D2823" s="14">
        <v>29.6</v>
      </c>
    </row>
    <row r="2824" spans="1:4" x14ac:dyDescent="0.35">
      <c r="A2824" s="13">
        <v>46375</v>
      </c>
      <c r="B2824" t="s">
        <v>82</v>
      </c>
      <c r="C2824" t="s">
        <v>263</v>
      </c>
      <c r="D2824" s="14">
        <v>13.1</v>
      </c>
    </row>
    <row r="2825" spans="1:4" x14ac:dyDescent="0.35">
      <c r="A2825" s="13">
        <v>46375</v>
      </c>
      <c r="B2825" t="s">
        <v>82</v>
      </c>
      <c r="C2825" t="s">
        <v>264</v>
      </c>
      <c r="D2825" s="14">
        <v>33</v>
      </c>
    </row>
    <row r="2826" spans="1:4" x14ac:dyDescent="0.35">
      <c r="A2826" s="13">
        <v>46375</v>
      </c>
      <c r="B2826" t="s">
        <v>82</v>
      </c>
      <c r="C2826" t="s">
        <v>265</v>
      </c>
      <c r="D2826" s="14">
        <v>22.5</v>
      </c>
    </row>
    <row r="2827" spans="1:4" x14ac:dyDescent="0.35">
      <c r="A2827" s="13">
        <v>46375</v>
      </c>
      <c r="B2827" t="s">
        <v>85</v>
      </c>
      <c r="C2827" t="s">
        <v>266</v>
      </c>
      <c r="D2827" s="14">
        <v>15.3</v>
      </c>
    </row>
    <row r="2828" spans="1:4" x14ac:dyDescent="0.35">
      <c r="A2828" s="13">
        <v>46375</v>
      </c>
      <c r="B2828" t="s">
        <v>85</v>
      </c>
      <c r="C2828" t="s">
        <v>267</v>
      </c>
      <c r="D2828" s="14">
        <v>9.5</v>
      </c>
    </row>
    <row r="2829" spans="1:4" x14ac:dyDescent="0.35">
      <c r="A2829" s="13">
        <v>46375</v>
      </c>
      <c r="B2829" t="s">
        <v>85</v>
      </c>
      <c r="C2829" t="s">
        <v>268</v>
      </c>
      <c r="D2829" s="14">
        <v>30</v>
      </c>
    </row>
    <row r="2830" spans="1:4" x14ac:dyDescent="0.35">
      <c r="A2830" s="13">
        <v>46375</v>
      </c>
      <c r="B2830" t="s">
        <v>85</v>
      </c>
      <c r="C2830" t="s">
        <v>269</v>
      </c>
      <c r="D2830" s="14">
        <v>30.4</v>
      </c>
    </row>
    <row r="2831" spans="1:4" x14ac:dyDescent="0.35">
      <c r="A2831" s="13">
        <v>46375</v>
      </c>
      <c r="B2831" t="s">
        <v>85</v>
      </c>
      <c r="C2831" t="s">
        <v>270</v>
      </c>
      <c r="D2831" s="14">
        <v>25.2</v>
      </c>
    </row>
    <row r="2832" spans="1:4" x14ac:dyDescent="0.35">
      <c r="A2832" s="13">
        <v>46375</v>
      </c>
      <c r="B2832" t="s">
        <v>85</v>
      </c>
      <c r="C2832" t="s">
        <v>271</v>
      </c>
      <c r="D2832" s="14">
        <v>18.399999999999999</v>
      </c>
    </row>
    <row r="2833" spans="1:4" x14ac:dyDescent="0.35">
      <c r="A2833" s="13">
        <v>46375</v>
      </c>
      <c r="B2833" t="s">
        <v>85</v>
      </c>
      <c r="C2833" t="s">
        <v>272</v>
      </c>
      <c r="D2833" s="14">
        <v>25.5</v>
      </c>
    </row>
    <row r="2834" spans="1:4" x14ac:dyDescent="0.35">
      <c r="A2834" s="13">
        <v>46375</v>
      </c>
      <c r="B2834" t="s">
        <v>85</v>
      </c>
      <c r="C2834" t="s">
        <v>273</v>
      </c>
      <c r="D2834" s="14">
        <v>12.6</v>
      </c>
    </row>
    <row r="2835" spans="1:4" x14ac:dyDescent="0.35">
      <c r="A2835" s="13">
        <v>46375</v>
      </c>
      <c r="B2835" t="s">
        <v>85</v>
      </c>
      <c r="C2835" t="s">
        <v>274</v>
      </c>
      <c r="D2835" s="14">
        <v>11.9</v>
      </c>
    </row>
    <row r="2836" spans="1:4" x14ac:dyDescent="0.35">
      <c r="A2836" s="13">
        <v>46375</v>
      </c>
      <c r="B2836" t="s">
        <v>85</v>
      </c>
      <c r="C2836" t="s">
        <v>275</v>
      </c>
      <c r="D2836" s="14">
        <v>23.3</v>
      </c>
    </row>
    <row r="2837" spans="1:4" x14ac:dyDescent="0.35">
      <c r="A2837" s="13">
        <v>46375</v>
      </c>
      <c r="B2837" t="s">
        <v>85</v>
      </c>
      <c r="C2837" t="s">
        <v>276</v>
      </c>
      <c r="D2837" s="14">
        <v>15.7</v>
      </c>
    </row>
    <row r="2838" spans="1:4" x14ac:dyDescent="0.35">
      <c r="A2838" s="13">
        <v>46375</v>
      </c>
      <c r="B2838" t="s">
        <v>85</v>
      </c>
      <c r="C2838" t="s">
        <v>277</v>
      </c>
      <c r="D2838" s="14">
        <v>19.3</v>
      </c>
    </row>
    <row r="2839" spans="1:4" x14ac:dyDescent="0.35">
      <c r="A2839" s="13">
        <v>46375</v>
      </c>
      <c r="B2839" t="s">
        <v>85</v>
      </c>
      <c r="C2839" t="s">
        <v>278</v>
      </c>
      <c r="D2839" s="14">
        <v>22.7</v>
      </c>
    </row>
    <row r="2840" spans="1:4" x14ac:dyDescent="0.35">
      <c r="A2840" s="13">
        <v>46375</v>
      </c>
      <c r="B2840" t="s">
        <v>85</v>
      </c>
      <c r="C2840" t="s">
        <v>279</v>
      </c>
      <c r="D2840" s="14">
        <v>15.4</v>
      </c>
    </row>
    <row r="2841" spans="1:4" x14ac:dyDescent="0.35">
      <c r="A2841" s="13">
        <v>46375</v>
      </c>
      <c r="B2841" t="s">
        <v>85</v>
      </c>
      <c r="C2841" t="s">
        <v>280</v>
      </c>
      <c r="D2841" s="14">
        <v>20.399999999999999</v>
      </c>
    </row>
    <row r="2842" spans="1:4" x14ac:dyDescent="0.35">
      <c r="A2842" s="13">
        <v>46375</v>
      </c>
      <c r="B2842" t="s">
        <v>85</v>
      </c>
      <c r="C2842" t="s">
        <v>281</v>
      </c>
      <c r="D2842" s="14">
        <v>16.600000000000001</v>
      </c>
    </row>
    <row r="2843" spans="1:4" x14ac:dyDescent="0.35">
      <c r="A2843" s="13">
        <v>46375</v>
      </c>
      <c r="B2843" t="s">
        <v>87</v>
      </c>
      <c r="C2843" t="s">
        <v>282</v>
      </c>
      <c r="D2843" s="14">
        <v>10.6</v>
      </c>
    </row>
    <row r="2844" spans="1:4" x14ac:dyDescent="0.35">
      <c r="A2844" s="13">
        <v>46375</v>
      </c>
      <c r="B2844" t="s">
        <v>87</v>
      </c>
      <c r="C2844" t="s">
        <v>283</v>
      </c>
      <c r="D2844" s="14">
        <v>20</v>
      </c>
    </row>
    <row r="2845" spans="1:4" x14ac:dyDescent="0.35">
      <c r="A2845" s="13">
        <v>46375</v>
      </c>
      <c r="B2845" t="s">
        <v>87</v>
      </c>
      <c r="C2845" t="s">
        <v>284</v>
      </c>
      <c r="D2845" s="14">
        <v>17.2</v>
      </c>
    </row>
    <row r="2846" spans="1:4" x14ac:dyDescent="0.35">
      <c r="A2846" s="13">
        <v>46375</v>
      </c>
      <c r="B2846" t="s">
        <v>87</v>
      </c>
      <c r="C2846" t="s">
        <v>285</v>
      </c>
      <c r="D2846" s="14">
        <v>24.8</v>
      </c>
    </row>
    <row r="2847" spans="1:4" x14ac:dyDescent="0.35">
      <c r="A2847" s="13">
        <v>46375</v>
      </c>
      <c r="B2847" t="s">
        <v>87</v>
      </c>
      <c r="C2847" t="s">
        <v>286</v>
      </c>
      <c r="D2847" s="14">
        <v>17.8</v>
      </c>
    </row>
    <row r="2848" spans="1:4" x14ac:dyDescent="0.35">
      <c r="A2848" s="13">
        <v>46375</v>
      </c>
      <c r="B2848" t="s">
        <v>87</v>
      </c>
      <c r="C2848" t="s">
        <v>287</v>
      </c>
      <c r="D2848" s="14">
        <v>23</v>
      </c>
    </row>
    <row r="2849" spans="1:4" x14ac:dyDescent="0.35">
      <c r="A2849" s="13">
        <v>46375</v>
      </c>
      <c r="B2849" t="s">
        <v>87</v>
      </c>
      <c r="C2849" t="s">
        <v>288</v>
      </c>
      <c r="D2849" s="14">
        <v>14.5</v>
      </c>
    </row>
    <row r="2850" spans="1:4" x14ac:dyDescent="0.35">
      <c r="A2850" s="13">
        <v>46375</v>
      </c>
      <c r="B2850" t="s">
        <v>87</v>
      </c>
      <c r="C2850" t="s">
        <v>289</v>
      </c>
      <c r="D2850" s="14">
        <v>15.7</v>
      </c>
    </row>
    <row r="2851" spans="1:4" x14ac:dyDescent="0.35">
      <c r="A2851" s="13">
        <v>46375</v>
      </c>
      <c r="B2851" t="s">
        <v>87</v>
      </c>
      <c r="C2851" t="s">
        <v>290</v>
      </c>
      <c r="D2851" s="14">
        <v>23.7</v>
      </c>
    </row>
    <row r="2852" spans="1:4" x14ac:dyDescent="0.35">
      <c r="A2852" s="13">
        <v>46375</v>
      </c>
      <c r="B2852" t="s">
        <v>87</v>
      </c>
      <c r="C2852" t="s">
        <v>291</v>
      </c>
      <c r="D2852" s="14">
        <v>18.3</v>
      </c>
    </row>
    <row r="2853" spans="1:4" x14ac:dyDescent="0.35">
      <c r="A2853" s="13">
        <v>46375</v>
      </c>
      <c r="B2853" t="s">
        <v>87</v>
      </c>
      <c r="C2853" t="s">
        <v>292</v>
      </c>
      <c r="D2853" s="14">
        <v>15.3</v>
      </c>
    </row>
    <row r="2854" spans="1:4" x14ac:dyDescent="0.35">
      <c r="A2854" s="13">
        <v>46375</v>
      </c>
      <c r="B2854" t="s">
        <v>87</v>
      </c>
      <c r="C2854" t="s">
        <v>293</v>
      </c>
      <c r="D2854" s="14">
        <v>14.2</v>
      </c>
    </row>
    <row r="2855" spans="1:4" x14ac:dyDescent="0.35">
      <c r="A2855" s="13">
        <v>46375</v>
      </c>
      <c r="B2855" t="s">
        <v>87</v>
      </c>
      <c r="C2855" t="s">
        <v>294</v>
      </c>
      <c r="D2855" s="14">
        <v>14</v>
      </c>
    </row>
    <row r="2856" spans="1:4" x14ac:dyDescent="0.35">
      <c r="A2856" s="13">
        <v>46375</v>
      </c>
      <c r="B2856" t="s">
        <v>87</v>
      </c>
      <c r="C2856" t="s">
        <v>295</v>
      </c>
      <c r="D2856" s="14">
        <v>17.5</v>
      </c>
    </row>
    <row r="2857" spans="1:4" x14ac:dyDescent="0.35">
      <c r="A2857" s="13">
        <v>46375</v>
      </c>
      <c r="B2857" t="s">
        <v>87</v>
      </c>
      <c r="C2857" t="s">
        <v>296</v>
      </c>
      <c r="D2857" s="14">
        <v>26.3</v>
      </c>
    </row>
    <row r="2858" spans="1:4" x14ac:dyDescent="0.35">
      <c r="A2858" s="13">
        <v>46375</v>
      </c>
      <c r="B2858" t="s">
        <v>87</v>
      </c>
      <c r="C2858" t="s">
        <v>297</v>
      </c>
      <c r="D2858" s="14">
        <v>19.100000000000001</v>
      </c>
    </row>
    <row r="2859" spans="1:4" x14ac:dyDescent="0.35">
      <c r="A2859" s="13">
        <v>46375</v>
      </c>
      <c r="B2859" t="s">
        <v>77</v>
      </c>
      <c r="C2859" t="s">
        <v>298</v>
      </c>
      <c r="D2859" s="14">
        <v>19.100000000000001</v>
      </c>
    </row>
    <row r="2860" spans="1:4" x14ac:dyDescent="0.35">
      <c r="A2860" s="13">
        <v>46375</v>
      </c>
      <c r="B2860" t="s">
        <v>85</v>
      </c>
      <c r="C2860" t="s">
        <v>299</v>
      </c>
      <c r="D2860" s="14">
        <v>20.3</v>
      </c>
    </row>
    <row r="2861" spans="1:4" x14ac:dyDescent="0.35">
      <c r="A2861" s="13">
        <v>46382</v>
      </c>
      <c r="B2861" t="s">
        <v>70</v>
      </c>
      <c r="C2861" t="s">
        <v>155</v>
      </c>
      <c r="D2861" s="14">
        <v>28.8</v>
      </c>
    </row>
    <row r="2862" spans="1:4" x14ac:dyDescent="0.35">
      <c r="A2862" s="13">
        <v>46382</v>
      </c>
      <c r="B2862" t="s">
        <v>70</v>
      </c>
      <c r="C2862" t="s">
        <v>158</v>
      </c>
      <c r="D2862" s="14">
        <v>24.9</v>
      </c>
    </row>
    <row r="2863" spans="1:4" x14ac:dyDescent="0.35">
      <c r="A2863" s="13">
        <v>46382</v>
      </c>
      <c r="B2863" t="s">
        <v>70</v>
      </c>
      <c r="C2863" t="s">
        <v>159</v>
      </c>
      <c r="D2863" s="14">
        <v>19</v>
      </c>
    </row>
    <row r="2864" spans="1:4" x14ac:dyDescent="0.35">
      <c r="A2864" s="13">
        <v>46382</v>
      </c>
      <c r="B2864" t="s">
        <v>70</v>
      </c>
      <c r="C2864" t="s">
        <v>162</v>
      </c>
      <c r="D2864" s="14">
        <v>27.2</v>
      </c>
    </row>
    <row r="2865" spans="1:4" x14ac:dyDescent="0.35">
      <c r="A2865" s="13">
        <v>46382</v>
      </c>
      <c r="B2865" t="s">
        <v>70</v>
      </c>
      <c r="C2865" t="s">
        <v>164</v>
      </c>
      <c r="D2865" s="14">
        <v>11.9</v>
      </c>
    </row>
    <row r="2866" spans="1:4" x14ac:dyDescent="0.35">
      <c r="A2866" s="13">
        <v>46382</v>
      </c>
      <c r="B2866" t="s">
        <v>70</v>
      </c>
      <c r="C2866" t="s">
        <v>167</v>
      </c>
      <c r="D2866" s="14">
        <v>15.3</v>
      </c>
    </row>
    <row r="2867" spans="1:4" x14ac:dyDescent="0.35">
      <c r="A2867" s="13">
        <v>46382</v>
      </c>
      <c r="B2867" t="s">
        <v>70</v>
      </c>
      <c r="C2867" t="s">
        <v>169</v>
      </c>
      <c r="D2867" s="14">
        <v>11.5</v>
      </c>
    </row>
    <row r="2868" spans="1:4" x14ac:dyDescent="0.35">
      <c r="A2868" s="13">
        <v>46382</v>
      </c>
      <c r="B2868" t="s">
        <v>70</v>
      </c>
      <c r="C2868" t="s">
        <v>170</v>
      </c>
      <c r="D2868" s="14">
        <v>22.5</v>
      </c>
    </row>
    <row r="2869" spans="1:4" x14ac:dyDescent="0.35">
      <c r="A2869" s="13">
        <v>46382</v>
      </c>
      <c r="B2869" t="s">
        <v>70</v>
      </c>
      <c r="C2869" t="s">
        <v>171</v>
      </c>
      <c r="D2869" s="14">
        <v>17.8</v>
      </c>
    </row>
    <row r="2870" spans="1:4" x14ac:dyDescent="0.35">
      <c r="A2870" s="13">
        <v>46382</v>
      </c>
      <c r="B2870" t="s">
        <v>70</v>
      </c>
      <c r="C2870" t="s">
        <v>172</v>
      </c>
      <c r="D2870" s="14">
        <v>11.5</v>
      </c>
    </row>
    <row r="2871" spans="1:4" x14ac:dyDescent="0.35">
      <c r="A2871" s="13">
        <v>46382</v>
      </c>
      <c r="B2871" t="s">
        <v>70</v>
      </c>
      <c r="C2871" t="s">
        <v>173</v>
      </c>
      <c r="D2871" s="14">
        <v>21</v>
      </c>
    </row>
    <row r="2872" spans="1:4" x14ac:dyDescent="0.35">
      <c r="A2872" s="13">
        <v>46382</v>
      </c>
      <c r="B2872" t="s">
        <v>70</v>
      </c>
      <c r="C2872" t="s">
        <v>174</v>
      </c>
      <c r="D2872" s="14">
        <v>25.6</v>
      </c>
    </row>
    <row r="2873" spans="1:4" x14ac:dyDescent="0.35">
      <c r="A2873" s="13">
        <v>46382</v>
      </c>
      <c r="B2873" t="s">
        <v>70</v>
      </c>
      <c r="C2873" t="s">
        <v>175</v>
      </c>
      <c r="D2873" s="14">
        <v>17.7</v>
      </c>
    </row>
    <row r="2874" spans="1:4" x14ac:dyDescent="0.35">
      <c r="A2874" s="13">
        <v>46382</v>
      </c>
      <c r="B2874" t="s">
        <v>70</v>
      </c>
      <c r="C2874" t="s">
        <v>176</v>
      </c>
      <c r="D2874" s="14">
        <v>13.8</v>
      </c>
    </row>
    <row r="2875" spans="1:4" x14ac:dyDescent="0.35">
      <c r="A2875" s="13">
        <v>46382</v>
      </c>
      <c r="B2875" t="s">
        <v>73</v>
      </c>
      <c r="C2875" t="s">
        <v>177</v>
      </c>
      <c r="D2875" s="14">
        <v>14.2</v>
      </c>
    </row>
    <row r="2876" spans="1:4" x14ac:dyDescent="0.35">
      <c r="A2876" s="13">
        <v>46382</v>
      </c>
      <c r="B2876" t="s">
        <v>73</v>
      </c>
      <c r="C2876" t="s">
        <v>178</v>
      </c>
      <c r="D2876" s="14">
        <v>12.3</v>
      </c>
    </row>
    <row r="2877" spans="1:4" x14ac:dyDescent="0.35">
      <c r="A2877" s="13">
        <v>46382</v>
      </c>
      <c r="B2877" t="s">
        <v>73</v>
      </c>
      <c r="C2877" t="s">
        <v>179</v>
      </c>
      <c r="D2877" s="14">
        <v>18.2</v>
      </c>
    </row>
    <row r="2878" spans="1:4" x14ac:dyDescent="0.35">
      <c r="A2878" s="13">
        <v>46382</v>
      </c>
      <c r="B2878" t="s">
        <v>73</v>
      </c>
      <c r="C2878" t="s">
        <v>180</v>
      </c>
      <c r="D2878" s="14">
        <v>10.3</v>
      </c>
    </row>
    <row r="2879" spans="1:4" x14ac:dyDescent="0.35">
      <c r="A2879" s="13">
        <v>46382</v>
      </c>
      <c r="B2879" t="s">
        <v>73</v>
      </c>
      <c r="C2879" t="s">
        <v>181</v>
      </c>
      <c r="D2879" s="14">
        <v>11.6</v>
      </c>
    </row>
    <row r="2880" spans="1:4" x14ac:dyDescent="0.35">
      <c r="A2880" s="13">
        <v>46382</v>
      </c>
      <c r="B2880" t="s">
        <v>73</v>
      </c>
      <c r="C2880" t="s">
        <v>182</v>
      </c>
      <c r="D2880" s="14">
        <v>15.3</v>
      </c>
    </row>
    <row r="2881" spans="1:4" x14ac:dyDescent="0.35">
      <c r="A2881" s="13">
        <v>46382</v>
      </c>
      <c r="B2881" t="s">
        <v>73</v>
      </c>
      <c r="C2881" t="s">
        <v>183</v>
      </c>
      <c r="D2881" s="14">
        <v>22.8</v>
      </c>
    </row>
    <row r="2882" spans="1:4" x14ac:dyDescent="0.35">
      <c r="A2882" s="13">
        <v>46382</v>
      </c>
      <c r="B2882" t="s">
        <v>73</v>
      </c>
      <c r="C2882" t="s">
        <v>184</v>
      </c>
      <c r="D2882" s="14">
        <v>18.100000000000001</v>
      </c>
    </row>
    <row r="2883" spans="1:4" x14ac:dyDescent="0.35">
      <c r="A2883" s="13">
        <v>46382</v>
      </c>
      <c r="B2883" t="s">
        <v>73</v>
      </c>
      <c r="C2883" t="s">
        <v>185</v>
      </c>
      <c r="D2883" s="14">
        <v>11.4</v>
      </c>
    </row>
    <row r="2884" spans="1:4" x14ac:dyDescent="0.35">
      <c r="A2884" s="13">
        <v>46382</v>
      </c>
      <c r="B2884" t="s">
        <v>73</v>
      </c>
      <c r="C2884" t="s">
        <v>186</v>
      </c>
      <c r="D2884" s="14">
        <v>16.5</v>
      </c>
    </row>
    <row r="2885" spans="1:4" x14ac:dyDescent="0.35">
      <c r="A2885" s="13">
        <v>46382</v>
      </c>
      <c r="B2885" t="s">
        <v>73</v>
      </c>
      <c r="C2885" t="s">
        <v>187</v>
      </c>
      <c r="D2885" s="14">
        <v>8.9</v>
      </c>
    </row>
    <row r="2886" spans="1:4" x14ac:dyDescent="0.35">
      <c r="A2886" s="13">
        <v>46382</v>
      </c>
      <c r="B2886" t="s">
        <v>73</v>
      </c>
      <c r="C2886" t="s">
        <v>189</v>
      </c>
      <c r="D2886" s="14">
        <v>12.3</v>
      </c>
    </row>
    <row r="2887" spans="1:4" x14ac:dyDescent="0.35">
      <c r="A2887" s="13">
        <v>46382</v>
      </c>
      <c r="B2887" t="s">
        <v>73</v>
      </c>
      <c r="C2887" t="s">
        <v>190</v>
      </c>
      <c r="D2887" s="14">
        <v>14.2</v>
      </c>
    </row>
    <row r="2888" spans="1:4" x14ac:dyDescent="0.35">
      <c r="A2888" s="13">
        <v>46382</v>
      </c>
      <c r="B2888" t="s">
        <v>73</v>
      </c>
      <c r="C2888" t="s">
        <v>191</v>
      </c>
      <c r="D2888" s="14">
        <v>13.5</v>
      </c>
    </row>
    <row r="2889" spans="1:4" x14ac:dyDescent="0.35">
      <c r="A2889" s="13">
        <v>46382</v>
      </c>
      <c r="B2889" t="s">
        <v>73</v>
      </c>
      <c r="C2889" t="s">
        <v>192</v>
      </c>
      <c r="D2889" s="14">
        <v>8.6</v>
      </c>
    </row>
    <row r="2890" spans="1:4" x14ac:dyDescent="0.35">
      <c r="A2890" s="13">
        <v>46382</v>
      </c>
      <c r="B2890" t="s">
        <v>73</v>
      </c>
      <c r="C2890" t="s">
        <v>193</v>
      </c>
      <c r="D2890" s="14">
        <v>17</v>
      </c>
    </row>
    <row r="2891" spans="1:4" x14ac:dyDescent="0.35">
      <c r="A2891" s="13">
        <v>46382</v>
      </c>
      <c r="B2891" t="s">
        <v>73</v>
      </c>
      <c r="C2891" t="s">
        <v>194</v>
      </c>
      <c r="D2891" s="14">
        <v>10.9</v>
      </c>
    </row>
    <row r="2892" spans="1:4" x14ac:dyDescent="0.35">
      <c r="A2892" s="13">
        <v>46382</v>
      </c>
      <c r="B2892" t="s">
        <v>73</v>
      </c>
      <c r="C2892" t="s">
        <v>195</v>
      </c>
      <c r="D2892" s="14">
        <v>17.2</v>
      </c>
    </row>
    <row r="2893" spans="1:4" x14ac:dyDescent="0.35">
      <c r="A2893" s="13">
        <v>46382</v>
      </c>
      <c r="B2893" t="s">
        <v>73</v>
      </c>
      <c r="C2893" t="s">
        <v>196</v>
      </c>
      <c r="D2893" s="14">
        <v>9.3000000000000007</v>
      </c>
    </row>
    <row r="2894" spans="1:4" x14ac:dyDescent="0.35">
      <c r="A2894" s="13">
        <v>46382</v>
      </c>
      <c r="B2894" t="s">
        <v>3</v>
      </c>
      <c r="C2894" t="s">
        <v>197</v>
      </c>
      <c r="D2894" s="14">
        <v>16.3</v>
      </c>
    </row>
    <row r="2895" spans="1:4" x14ac:dyDescent="0.35">
      <c r="A2895" s="13">
        <v>46382</v>
      </c>
      <c r="B2895" t="s">
        <v>3</v>
      </c>
      <c r="C2895" t="s">
        <v>198</v>
      </c>
      <c r="D2895" s="14">
        <v>14.4</v>
      </c>
    </row>
    <row r="2896" spans="1:4" x14ac:dyDescent="0.35">
      <c r="A2896" s="13">
        <v>46382</v>
      </c>
      <c r="B2896" t="s">
        <v>3</v>
      </c>
      <c r="C2896" t="s">
        <v>199</v>
      </c>
      <c r="D2896" s="14">
        <v>22.3</v>
      </c>
    </row>
    <row r="2897" spans="1:4" x14ac:dyDescent="0.35">
      <c r="A2897" s="13">
        <v>46382</v>
      </c>
      <c r="B2897" t="s">
        <v>3</v>
      </c>
      <c r="C2897" t="s">
        <v>200</v>
      </c>
      <c r="D2897" s="14">
        <v>16</v>
      </c>
    </row>
    <row r="2898" spans="1:4" x14ac:dyDescent="0.35">
      <c r="A2898" s="13">
        <v>46382</v>
      </c>
      <c r="B2898" t="s">
        <v>3</v>
      </c>
      <c r="C2898" t="s">
        <v>201</v>
      </c>
      <c r="D2898" s="14">
        <v>25.4</v>
      </c>
    </row>
    <row r="2899" spans="1:4" x14ac:dyDescent="0.35">
      <c r="A2899" s="13">
        <v>46382</v>
      </c>
      <c r="B2899" t="s">
        <v>3</v>
      </c>
      <c r="C2899" t="s">
        <v>202</v>
      </c>
      <c r="D2899" s="14">
        <v>10.4</v>
      </c>
    </row>
    <row r="2900" spans="1:4" x14ac:dyDescent="0.35">
      <c r="A2900" s="13">
        <v>46382</v>
      </c>
      <c r="B2900" t="s">
        <v>3</v>
      </c>
      <c r="C2900" t="s">
        <v>203</v>
      </c>
      <c r="D2900" s="14">
        <v>17.5</v>
      </c>
    </row>
    <row r="2901" spans="1:4" x14ac:dyDescent="0.35">
      <c r="A2901" s="13">
        <v>46382</v>
      </c>
      <c r="B2901" t="s">
        <v>3</v>
      </c>
      <c r="C2901" t="s">
        <v>204</v>
      </c>
      <c r="D2901" s="14">
        <v>9.9</v>
      </c>
    </row>
    <row r="2902" spans="1:4" x14ac:dyDescent="0.35">
      <c r="A2902" s="13">
        <v>46382</v>
      </c>
      <c r="B2902" t="s">
        <v>3</v>
      </c>
      <c r="C2902" t="s">
        <v>205</v>
      </c>
      <c r="D2902" s="14">
        <v>28.4</v>
      </c>
    </row>
    <row r="2903" spans="1:4" x14ac:dyDescent="0.35">
      <c r="A2903" s="13">
        <v>46382</v>
      </c>
      <c r="B2903" t="s">
        <v>3</v>
      </c>
      <c r="C2903" t="s">
        <v>206</v>
      </c>
      <c r="D2903" s="14">
        <v>26.8</v>
      </c>
    </row>
    <row r="2904" spans="1:4" x14ac:dyDescent="0.35">
      <c r="A2904" s="13">
        <v>46382</v>
      </c>
      <c r="B2904" t="s">
        <v>3</v>
      </c>
      <c r="C2904" t="s">
        <v>207</v>
      </c>
      <c r="D2904" s="14">
        <v>27.2</v>
      </c>
    </row>
    <row r="2905" spans="1:4" x14ac:dyDescent="0.35">
      <c r="A2905" s="13">
        <v>46382</v>
      </c>
      <c r="B2905" t="s">
        <v>3</v>
      </c>
      <c r="C2905" t="s">
        <v>208</v>
      </c>
      <c r="D2905" s="14">
        <v>26.2</v>
      </c>
    </row>
    <row r="2906" spans="1:4" x14ac:dyDescent="0.35">
      <c r="A2906" s="13">
        <v>46382</v>
      </c>
      <c r="B2906" t="s">
        <v>3</v>
      </c>
      <c r="C2906" t="s">
        <v>209</v>
      </c>
      <c r="D2906" s="14">
        <v>24.8</v>
      </c>
    </row>
    <row r="2907" spans="1:4" x14ac:dyDescent="0.35">
      <c r="A2907" s="13">
        <v>46382</v>
      </c>
      <c r="B2907" t="s">
        <v>3</v>
      </c>
      <c r="C2907" t="s">
        <v>210</v>
      </c>
      <c r="D2907" s="14">
        <v>15.8</v>
      </c>
    </row>
    <row r="2908" spans="1:4" x14ac:dyDescent="0.35">
      <c r="A2908" s="13">
        <v>46382</v>
      </c>
      <c r="B2908" t="s">
        <v>3</v>
      </c>
      <c r="C2908" t="s">
        <v>211</v>
      </c>
      <c r="D2908" s="14">
        <v>17.399999999999999</v>
      </c>
    </row>
    <row r="2909" spans="1:4" x14ac:dyDescent="0.35">
      <c r="A2909" s="13">
        <v>46382</v>
      </c>
      <c r="B2909" t="s">
        <v>3</v>
      </c>
      <c r="C2909" t="s">
        <v>212</v>
      </c>
      <c r="D2909" s="14">
        <v>24.5</v>
      </c>
    </row>
    <row r="2910" spans="1:4" x14ac:dyDescent="0.35">
      <c r="A2910" s="13">
        <v>46382</v>
      </c>
      <c r="B2910" t="s">
        <v>3</v>
      </c>
      <c r="C2910" t="s">
        <v>213</v>
      </c>
      <c r="D2910" s="14">
        <v>14.2</v>
      </c>
    </row>
    <row r="2911" spans="1:4" x14ac:dyDescent="0.35">
      <c r="A2911" s="13">
        <v>46382</v>
      </c>
      <c r="B2911" t="s">
        <v>3</v>
      </c>
      <c r="C2911" t="s">
        <v>214</v>
      </c>
      <c r="D2911" s="14">
        <v>16.899999999999999</v>
      </c>
    </row>
    <row r="2912" spans="1:4" x14ac:dyDescent="0.35">
      <c r="A2912" s="13">
        <v>46382</v>
      </c>
      <c r="B2912" t="s">
        <v>3</v>
      </c>
      <c r="C2912" t="s">
        <v>215</v>
      </c>
      <c r="D2912" s="14">
        <v>12.2</v>
      </c>
    </row>
    <row r="2913" spans="1:4" x14ac:dyDescent="0.35">
      <c r="A2913" s="13">
        <v>46382</v>
      </c>
      <c r="B2913" t="s">
        <v>77</v>
      </c>
      <c r="C2913" t="s">
        <v>216</v>
      </c>
      <c r="D2913" s="14">
        <v>14.6</v>
      </c>
    </row>
    <row r="2914" spans="1:4" x14ac:dyDescent="0.35">
      <c r="A2914" s="13">
        <v>46382</v>
      </c>
      <c r="B2914" t="s">
        <v>77</v>
      </c>
      <c r="C2914" t="s">
        <v>217</v>
      </c>
      <c r="D2914" s="14">
        <v>16.600000000000001</v>
      </c>
    </row>
    <row r="2915" spans="1:4" x14ac:dyDescent="0.35">
      <c r="A2915" s="13">
        <v>46382</v>
      </c>
      <c r="B2915" t="s">
        <v>77</v>
      </c>
      <c r="C2915" t="s">
        <v>218</v>
      </c>
      <c r="D2915" s="14">
        <v>16.7</v>
      </c>
    </row>
    <row r="2916" spans="1:4" x14ac:dyDescent="0.35">
      <c r="A2916" s="13">
        <v>46382</v>
      </c>
      <c r="B2916" t="s">
        <v>77</v>
      </c>
      <c r="C2916" t="s">
        <v>219</v>
      </c>
      <c r="D2916" s="14">
        <v>9.6</v>
      </c>
    </row>
    <row r="2917" spans="1:4" x14ac:dyDescent="0.35">
      <c r="A2917" s="13">
        <v>46382</v>
      </c>
      <c r="B2917" t="s">
        <v>77</v>
      </c>
      <c r="C2917" t="s">
        <v>220</v>
      </c>
      <c r="D2917" s="14">
        <v>14.4</v>
      </c>
    </row>
    <row r="2918" spans="1:4" x14ac:dyDescent="0.35">
      <c r="A2918" s="13">
        <v>46382</v>
      </c>
      <c r="B2918" t="s">
        <v>77</v>
      </c>
      <c r="C2918" t="s">
        <v>221</v>
      </c>
      <c r="D2918" s="14">
        <v>34.700000000000003</v>
      </c>
    </row>
    <row r="2919" spans="1:4" x14ac:dyDescent="0.35">
      <c r="A2919" s="13">
        <v>46382</v>
      </c>
      <c r="B2919" t="s">
        <v>77</v>
      </c>
      <c r="C2919" t="s">
        <v>222</v>
      </c>
      <c r="D2919" s="14">
        <v>15.8</v>
      </c>
    </row>
    <row r="2920" spans="1:4" x14ac:dyDescent="0.35">
      <c r="A2920" s="13">
        <v>46382</v>
      </c>
      <c r="B2920" t="s">
        <v>77</v>
      </c>
      <c r="C2920" t="s">
        <v>223</v>
      </c>
      <c r="D2920" s="14">
        <v>22.8</v>
      </c>
    </row>
    <row r="2921" spans="1:4" x14ac:dyDescent="0.35">
      <c r="A2921" s="13">
        <v>46382</v>
      </c>
      <c r="B2921" t="s">
        <v>77</v>
      </c>
      <c r="C2921" t="s">
        <v>224</v>
      </c>
      <c r="D2921" s="14">
        <v>16.3</v>
      </c>
    </row>
    <row r="2922" spans="1:4" x14ac:dyDescent="0.35">
      <c r="A2922" s="13">
        <v>46382</v>
      </c>
      <c r="B2922" t="s">
        <v>77</v>
      </c>
      <c r="C2922" t="s">
        <v>225</v>
      </c>
      <c r="D2922" s="14">
        <v>13.5</v>
      </c>
    </row>
    <row r="2923" spans="1:4" x14ac:dyDescent="0.35">
      <c r="A2923" s="13">
        <v>46382</v>
      </c>
      <c r="B2923" t="s">
        <v>77</v>
      </c>
      <c r="C2923" t="s">
        <v>226</v>
      </c>
      <c r="D2923" s="14">
        <v>22.6</v>
      </c>
    </row>
    <row r="2924" spans="1:4" x14ac:dyDescent="0.35">
      <c r="A2924" s="13">
        <v>46382</v>
      </c>
      <c r="B2924" t="s">
        <v>77</v>
      </c>
      <c r="C2924" t="s">
        <v>227</v>
      </c>
      <c r="D2924" s="14">
        <v>17.5</v>
      </c>
    </row>
    <row r="2925" spans="1:4" x14ac:dyDescent="0.35">
      <c r="A2925" s="13">
        <v>46382</v>
      </c>
      <c r="B2925" t="s">
        <v>77</v>
      </c>
      <c r="C2925" t="s">
        <v>228</v>
      </c>
      <c r="D2925" s="14">
        <v>27.1</v>
      </c>
    </row>
    <row r="2926" spans="1:4" x14ac:dyDescent="0.35">
      <c r="A2926" s="13">
        <v>46382</v>
      </c>
      <c r="B2926" t="s">
        <v>77</v>
      </c>
      <c r="C2926" t="s">
        <v>229</v>
      </c>
      <c r="D2926" s="14">
        <v>9</v>
      </c>
    </row>
    <row r="2927" spans="1:4" x14ac:dyDescent="0.35">
      <c r="A2927" s="13">
        <v>46382</v>
      </c>
      <c r="B2927" t="s">
        <v>77</v>
      </c>
      <c r="C2927" t="s">
        <v>230</v>
      </c>
      <c r="D2927" s="14">
        <v>10.4</v>
      </c>
    </row>
    <row r="2928" spans="1:4" x14ac:dyDescent="0.35">
      <c r="A2928" s="13">
        <v>46382</v>
      </c>
      <c r="B2928" t="s">
        <v>80</v>
      </c>
      <c r="C2928" t="s">
        <v>231</v>
      </c>
      <c r="D2928" s="14">
        <v>17.3</v>
      </c>
    </row>
    <row r="2929" spans="1:4" x14ac:dyDescent="0.35">
      <c r="A2929" s="13">
        <v>46382</v>
      </c>
      <c r="B2929" t="s">
        <v>80</v>
      </c>
      <c r="C2929" t="s">
        <v>232</v>
      </c>
      <c r="D2929" s="14">
        <v>26.3</v>
      </c>
    </row>
    <row r="2930" spans="1:4" x14ac:dyDescent="0.35">
      <c r="A2930" s="13">
        <v>46382</v>
      </c>
      <c r="B2930" t="s">
        <v>80</v>
      </c>
      <c r="C2930" t="s">
        <v>233</v>
      </c>
      <c r="D2930" s="14">
        <v>13.6</v>
      </c>
    </row>
    <row r="2931" spans="1:4" x14ac:dyDescent="0.35">
      <c r="A2931" s="13">
        <v>46382</v>
      </c>
      <c r="B2931" t="s">
        <v>80</v>
      </c>
      <c r="C2931" t="s">
        <v>234</v>
      </c>
      <c r="D2931" s="14">
        <v>9.1999999999999993</v>
      </c>
    </row>
    <row r="2932" spans="1:4" x14ac:dyDescent="0.35">
      <c r="A2932" s="13">
        <v>46382</v>
      </c>
      <c r="B2932" t="s">
        <v>80</v>
      </c>
      <c r="C2932" t="s">
        <v>235</v>
      </c>
      <c r="D2932" s="14">
        <v>20.6</v>
      </c>
    </row>
    <row r="2933" spans="1:4" x14ac:dyDescent="0.35">
      <c r="A2933" s="13">
        <v>46382</v>
      </c>
      <c r="B2933" t="s">
        <v>80</v>
      </c>
      <c r="C2933" t="s">
        <v>236</v>
      </c>
      <c r="D2933" s="14">
        <v>22.7</v>
      </c>
    </row>
    <row r="2934" spans="1:4" x14ac:dyDescent="0.35">
      <c r="A2934" s="13">
        <v>46382</v>
      </c>
      <c r="B2934" t="s">
        <v>80</v>
      </c>
      <c r="C2934" t="s">
        <v>237</v>
      </c>
      <c r="D2934" s="14">
        <v>15.6</v>
      </c>
    </row>
    <row r="2935" spans="1:4" x14ac:dyDescent="0.35">
      <c r="A2935" s="13">
        <v>46382</v>
      </c>
      <c r="B2935" t="s">
        <v>80</v>
      </c>
      <c r="C2935" t="s">
        <v>238</v>
      </c>
      <c r="D2935" s="14">
        <v>20.8</v>
      </c>
    </row>
    <row r="2936" spans="1:4" x14ac:dyDescent="0.35">
      <c r="A2936" s="13">
        <v>46382</v>
      </c>
      <c r="B2936" t="s">
        <v>80</v>
      </c>
      <c r="C2936" t="s">
        <v>239</v>
      </c>
      <c r="D2936" s="14">
        <v>10.5</v>
      </c>
    </row>
    <row r="2937" spans="1:4" x14ac:dyDescent="0.35">
      <c r="A2937" s="13">
        <v>46382</v>
      </c>
      <c r="B2937" t="s">
        <v>80</v>
      </c>
      <c r="C2937" t="s">
        <v>240</v>
      </c>
      <c r="D2937" s="14">
        <v>22.9</v>
      </c>
    </row>
    <row r="2938" spans="1:4" x14ac:dyDescent="0.35">
      <c r="A2938" s="13">
        <v>46382</v>
      </c>
      <c r="B2938" t="s">
        <v>80</v>
      </c>
      <c r="C2938" t="s">
        <v>241</v>
      </c>
      <c r="D2938" s="14">
        <v>14.5</v>
      </c>
    </row>
    <row r="2939" spans="1:4" x14ac:dyDescent="0.35">
      <c r="A2939" s="13">
        <v>46382</v>
      </c>
      <c r="B2939" t="s">
        <v>80</v>
      </c>
      <c r="C2939" t="s">
        <v>242</v>
      </c>
      <c r="D2939" s="14">
        <v>33.1</v>
      </c>
    </row>
    <row r="2940" spans="1:4" x14ac:dyDescent="0.35">
      <c r="A2940" s="13">
        <v>46382</v>
      </c>
      <c r="B2940" t="s">
        <v>80</v>
      </c>
      <c r="C2940" t="s">
        <v>243</v>
      </c>
      <c r="D2940" s="14">
        <v>26.3</v>
      </c>
    </row>
    <row r="2941" spans="1:4" x14ac:dyDescent="0.35">
      <c r="A2941" s="13">
        <v>46382</v>
      </c>
      <c r="B2941" t="s">
        <v>80</v>
      </c>
      <c r="C2941" t="s">
        <v>244</v>
      </c>
      <c r="D2941" s="14">
        <v>18.3</v>
      </c>
    </row>
    <row r="2942" spans="1:4" x14ac:dyDescent="0.35">
      <c r="A2942" s="13">
        <v>46382</v>
      </c>
      <c r="B2942" t="s">
        <v>80</v>
      </c>
      <c r="C2942" t="s">
        <v>245</v>
      </c>
      <c r="D2942" s="14">
        <v>17.399999999999999</v>
      </c>
    </row>
    <row r="2943" spans="1:4" x14ac:dyDescent="0.35">
      <c r="A2943" s="13">
        <v>46382</v>
      </c>
      <c r="B2943" t="s">
        <v>80</v>
      </c>
      <c r="C2943" t="s">
        <v>246</v>
      </c>
      <c r="D2943" s="14">
        <v>18.100000000000001</v>
      </c>
    </row>
    <row r="2944" spans="1:4" x14ac:dyDescent="0.35">
      <c r="A2944" s="13">
        <v>46382</v>
      </c>
      <c r="B2944" t="s">
        <v>80</v>
      </c>
      <c r="C2944" t="s">
        <v>247</v>
      </c>
      <c r="D2944" s="14">
        <v>31.8</v>
      </c>
    </row>
    <row r="2945" spans="1:4" x14ac:dyDescent="0.35">
      <c r="A2945" s="13">
        <v>46382</v>
      </c>
      <c r="B2945" t="s">
        <v>82</v>
      </c>
      <c r="C2945" t="s">
        <v>248</v>
      </c>
      <c r="D2945" s="14">
        <v>25.7</v>
      </c>
    </row>
    <row r="2946" spans="1:4" x14ac:dyDescent="0.35">
      <c r="A2946" s="13">
        <v>46382</v>
      </c>
      <c r="B2946" t="s">
        <v>82</v>
      </c>
      <c r="C2946" t="s">
        <v>249</v>
      </c>
      <c r="D2946" s="14">
        <v>11.4</v>
      </c>
    </row>
    <row r="2947" spans="1:4" x14ac:dyDescent="0.35">
      <c r="A2947" s="13">
        <v>46382</v>
      </c>
      <c r="B2947" t="s">
        <v>82</v>
      </c>
      <c r="C2947" t="s">
        <v>250</v>
      </c>
      <c r="D2947" s="14">
        <v>18.2</v>
      </c>
    </row>
    <row r="2948" spans="1:4" x14ac:dyDescent="0.35">
      <c r="A2948" s="13">
        <v>46382</v>
      </c>
      <c r="B2948" t="s">
        <v>82</v>
      </c>
      <c r="C2948" t="s">
        <v>251</v>
      </c>
      <c r="D2948" s="14">
        <v>12.7</v>
      </c>
    </row>
    <row r="2949" spans="1:4" x14ac:dyDescent="0.35">
      <c r="A2949" s="13">
        <v>46382</v>
      </c>
      <c r="B2949" t="s">
        <v>82</v>
      </c>
      <c r="C2949" t="s">
        <v>252</v>
      </c>
      <c r="D2949" s="14">
        <v>11.5</v>
      </c>
    </row>
    <row r="2950" spans="1:4" x14ac:dyDescent="0.35">
      <c r="A2950" s="13">
        <v>46382</v>
      </c>
      <c r="B2950" t="s">
        <v>82</v>
      </c>
      <c r="C2950" t="s">
        <v>253</v>
      </c>
      <c r="D2950" s="14">
        <v>19.2</v>
      </c>
    </row>
    <row r="2951" spans="1:4" x14ac:dyDescent="0.35">
      <c r="A2951" s="13">
        <v>46382</v>
      </c>
      <c r="B2951" t="s">
        <v>82</v>
      </c>
      <c r="C2951" t="s">
        <v>254</v>
      </c>
      <c r="D2951" s="14">
        <v>9.5</v>
      </c>
    </row>
    <row r="2952" spans="1:4" x14ac:dyDescent="0.35">
      <c r="A2952" s="13">
        <v>46382</v>
      </c>
      <c r="B2952" t="s">
        <v>82</v>
      </c>
      <c r="C2952" t="s">
        <v>255</v>
      </c>
      <c r="D2952" s="14">
        <v>11.7</v>
      </c>
    </row>
    <row r="2953" spans="1:4" x14ac:dyDescent="0.35">
      <c r="A2953" s="13">
        <v>46382</v>
      </c>
      <c r="B2953" t="s">
        <v>82</v>
      </c>
      <c r="C2953" t="s">
        <v>256</v>
      </c>
      <c r="D2953" s="14">
        <v>20.7</v>
      </c>
    </row>
    <row r="2954" spans="1:4" x14ac:dyDescent="0.35">
      <c r="A2954" s="13">
        <v>46382</v>
      </c>
      <c r="B2954" t="s">
        <v>82</v>
      </c>
      <c r="C2954" t="s">
        <v>257</v>
      </c>
      <c r="D2954" s="14">
        <v>18.600000000000001</v>
      </c>
    </row>
    <row r="2955" spans="1:4" x14ac:dyDescent="0.35">
      <c r="A2955" s="13">
        <v>46382</v>
      </c>
      <c r="B2955" t="s">
        <v>82</v>
      </c>
      <c r="C2955" t="s">
        <v>258</v>
      </c>
      <c r="D2955" s="14">
        <v>26.5</v>
      </c>
    </row>
    <row r="2956" spans="1:4" x14ac:dyDescent="0.35">
      <c r="A2956" s="13">
        <v>46382</v>
      </c>
      <c r="B2956" t="s">
        <v>82</v>
      </c>
      <c r="C2956" t="s">
        <v>259</v>
      </c>
      <c r="D2956" s="14">
        <v>12.6</v>
      </c>
    </row>
    <row r="2957" spans="1:4" x14ac:dyDescent="0.35">
      <c r="A2957" s="13">
        <v>46382</v>
      </c>
      <c r="B2957" t="s">
        <v>82</v>
      </c>
      <c r="C2957" t="s">
        <v>260</v>
      </c>
      <c r="D2957" s="14">
        <v>12.6</v>
      </c>
    </row>
    <row r="2958" spans="1:4" x14ac:dyDescent="0.35">
      <c r="A2958" s="13">
        <v>46382</v>
      </c>
      <c r="B2958" t="s">
        <v>82</v>
      </c>
      <c r="C2958" t="s">
        <v>261</v>
      </c>
      <c r="D2958" s="14">
        <v>18.399999999999999</v>
      </c>
    </row>
    <row r="2959" spans="1:4" x14ac:dyDescent="0.35">
      <c r="A2959" s="13">
        <v>46382</v>
      </c>
      <c r="B2959" t="s">
        <v>82</v>
      </c>
      <c r="C2959" t="s">
        <v>262</v>
      </c>
      <c r="D2959" s="14">
        <v>25.1</v>
      </c>
    </row>
    <row r="2960" spans="1:4" x14ac:dyDescent="0.35">
      <c r="A2960" s="13">
        <v>46382</v>
      </c>
      <c r="B2960" t="s">
        <v>82</v>
      </c>
      <c r="C2960" t="s">
        <v>263</v>
      </c>
      <c r="D2960" s="14">
        <v>11.1</v>
      </c>
    </row>
    <row r="2961" spans="1:4" x14ac:dyDescent="0.35">
      <c r="A2961" s="13">
        <v>46382</v>
      </c>
      <c r="B2961" t="s">
        <v>82</v>
      </c>
      <c r="C2961" t="s">
        <v>264</v>
      </c>
      <c r="D2961" s="14">
        <v>28</v>
      </c>
    </row>
    <row r="2962" spans="1:4" x14ac:dyDescent="0.35">
      <c r="A2962" s="13">
        <v>46382</v>
      </c>
      <c r="B2962" t="s">
        <v>82</v>
      </c>
      <c r="C2962" t="s">
        <v>265</v>
      </c>
      <c r="D2962" s="14">
        <v>19</v>
      </c>
    </row>
    <row r="2963" spans="1:4" x14ac:dyDescent="0.35">
      <c r="A2963" s="13">
        <v>46382</v>
      </c>
      <c r="B2963" t="s">
        <v>85</v>
      </c>
      <c r="C2963" t="s">
        <v>266</v>
      </c>
      <c r="D2963" s="14">
        <v>13.1</v>
      </c>
    </row>
    <row r="2964" spans="1:4" x14ac:dyDescent="0.35">
      <c r="A2964" s="13">
        <v>46382</v>
      </c>
      <c r="B2964" t="s">
        <v>85</v>
      </c>
      <c r="C2964" t="s">
        <v>267</v>
      </c>
      <c r="D2964" s="14">
        <v>8.1</v>
      </c>
    </row>
    <row r="2965" spans="1:4" x14ac:dyDescent="0.35">
      <c r="A2965" s="13">
        <v>46382</v>
      </c>
      <c r="B2965" t="s">
        <v>85</v>
      </c>
      <c r="C2965" t="s">
        <v>268</v>
      </c>
      <c r="D2965" s="14">
        <v>25.7</v>
      </c>
    </row>
    <row r="2966" spans="1:4" x14ac:dyDescent="0.35">
      <c r="A2966" s="13">
        <v>46382</v>
      </c>
      <c r="B2966" t="s">
        <v>85</v>
      </c>
      <c r="C2966" t="s">
        <v>269</v>
      </c>
      <c r="D2966" s="14">
        <v>26</v>
      </c>
    </row>
    <row r="2967" spans="1:4" x14ac:dyDescent="0.35">
      <c r="A2967" s="13">
        <v>46382</v>
      </c>
      <c r="B2967" t="s">
        <v>85</v>
      </c>
      <c r="C2967" t="s">
        <v>270</v>
      </c>
      <c r="D2967" s="14">
        <v>21.5</v>
      </c>
    </row>
    <row r="2968" spans="1:4" x14ac:dyDescent="0.35">
      <c r="A2968" s="13">
        <v>46382</v>
      </c>
      <c r="B2968" t="s">
        <v>85</v>
      </c>
      <c r="C2968" t="s">
        <v>271</v>
      </c>
      <c r="D2968" s="14">
        <v>15.8</v>
      </c>
    </row>
    <row r="2969" spans="1:4" x14ac:dyDescent="0.35">
      <c r="A2969" s="13">
        <v>46382</v>
      </c>
      <c r="B2969" t="s">
        <v>85</v>
      </c>
      <c r="C2969" t="s">
        <v>272</v>
      </c>
      <c r="D2969" s="14">
        <v>21.8</v>
      </c>
    </row>
    <row r="2970" spans="1:4" x14ac:dyDescent="0.35">
      <c r="A2970" s="13">
        <v>46382</v>
      </c>
      <c r="B2970" t="s">
        <v>85</v>
      </c>
      <c r="C2970" t="s">
        <v>273</v>
      </c>
      <c r="D2970" s="14">
        <v>10.8</v>
      </c>
    </row>
    <row r="2971" spans="1:4" x14ac:dyDescent="0.35">
      <c r="A2971" s="13">
        <v>46382</v>
      </c>
      <c r="B2971" t="s">
        <v>85</v>
      </c>
      <c r="C2971" t="s">
        <v>274</v>
      </c>
      <c r="D2971" s="14">
        <v>10.199999999999999</v>
      </c>
    </row>
    <row r="2972" spans="1:4" x14ac:dyDescent="0.35">
      <c r="A2972" s="13">
        <v>46382</v>
      </c>
      <c r="B2972" t="s">
        <v>85</v>
      </c>
      <c r="C2972" t="s">
        <v>275</v>
      </c>
      <c r="D2972" s="14">
        <v>19.899999999999999</v>
      </c>
    </row>
    <row r="2973" spans="1:4" x14ac:dyDescent="0.35">
      <c r="A2973" s="13">
        <v>46382</v>
      </c>
      <c r="B2973" t="s">
        <v>85</v>
      </c>
      <c r="C2973" t="s">
        <v>276</v>
      </c>
      <c r="D2973" s="14">
        <v>13.4</v>
      </c>
    </row>
    <row r="2974" spans="1:4" x14ac:dyDescent="0.35">
      <c r="A2974" s="13">
        <v>46382</v>
      </c>
      <c r="B2974" t="s">
        <v>85</v>
      </c>
      <c r="C2974" t="s">
        <v>277</v>
      </c>
      <c r="D2974" s="14">
        <v>16.5</v>
      </c>
    </row>
    <row r="2975" spans="1:4" x14ac:dyDescent="0.35">
      <c r="A2975" s="13">
        <v>46382</v>
      </c>
      <c r="B2975" t="s">
        <v>85</v>
      </c>
      <c r="C2975" t="s">
        <v>278</v>
      </c>
      <c r="D2975" s="14">
        <v>19.399999999999999</v>
      </c>
    </row>
    <row r="2976" spans="1:4" x14ac:dyDescent="0.35">
      <c r="A2976" s="13">
        <v>46382</v>
      </c>
      <c r="B2976" t="s">
        <v>85</v>
      </c>
      <c r="C2976" t="s">
        <v>279</v>
      </c>
      <c r="D2976" s="14">
        <v>13.1</v>
      </c>
    </row>
    <row r="2977" spans="1:4" x14ac:dyDescent="0.35">
      <c r="A2977" s="13">
        <v>46382</v>
      </c>
      <c r="B2977" t="s">
        <v>85</v>
      </c>
      <c r="C2977" t="s">
        <v>280</v>
      </c>
      <c r="D2977" s="14">
        <v>17.5</v>
      </c>
    </row>
    <row r="2978" spans="1:4" x14ac:dyDescent="0.35">
      <c r="A2978" s="13">
        <v>46382</v>
      </c>
      <c r="B2978" t="s">
        <v>85</v>
      </c>
      <c r="C2978" t="s">
        <v>281</v>
      </c>
      <c r="D2978" s="14">
        <v>14.2</v>
      </c>
    </row>
    <row r="2979" spans="1:4" x14ac:dyDescent="0.35">
      <c r="A2979" s="13">
        <v>46382</v>
      </c>
      <c r="B2979" t="s">
        <v>87</v>
      </c>
      <c r="C2979" t="s">
        <v>282</v>
      </c>
      <c r="D2979" s="14">
        <v>8.9</v>
      </c>
    </row>
    <row r="2980" spans="1:4" x14ac:dyDescent="0.35">
      <c r="A2980" s="13">
        <v>46382</v>
      </c>
      <c r="B2980" t="s">
        <v>87</v>
      </c>
      <c r="C2980" t="s">
        <v>283</v>
      </c>
      <c r="D2980" s="14">
        <v>16.899999999999999</v>
      </c>
    </row>
    <row r="2981" spans="1:4" x14ac:dyDescent="0.35">
      <c r="A2981" s="13">
        <v>46382</v>
      </c>
      <c r="B2981" t="s">
        <v>87</v>
      </c>
      <c r="C2981" t="s">
        <v>284</v>
      </c>
      <c r="D2981" s="14">
        <v>14.5</v>
      </c>
    </row>
    <row r="2982" spans="1:4" x14ac:dyDescent="0.35">
      <c r="A2982" s="13">
        <v>46382</v>
      </c>
      <c r="B2982" t="s">
        <v>87</v>
      </c>
      <c r="C2982" t="s">
        <v>285</v>
      </c>
      <c r="D2982" s="14">
        <v>20.9</v>
      </c>
    </row>
    <row r="2983" spans="1:4" x14ac:dyDescent="0.35">
      <c r="A2983" s="13">
        <v>46382</v>
      </c>
      <c r="B2983" t="s">
        <v>87</v>
      </c>
      <c r="C2983" t="s">
        <v>286</v>
      </c>
      <c r="D2983" s="14">
        <v>15</v>
      </c>
    </row>
    <row r="2984" spans="1:4" x14ac:dyDescent="0.35">
      <c r="A2984" s="13">
        <v>46382</v>
      </c>
      <c r="B2984" t="s">
        <v>87</v>
      </c>
      <c r="C2984" t="s">
        <v>287</v>
      </c>
      <c r="D2984" s="14">
        <v>19.399999999999999</v>
      </c>
    </row>
    <row r="2985" spans="1:4" x14ac:dyDescent="0.35">
      <c r="A2985" s="13">
        <v>46382</v>
      </c>
      <c r="B2985" t="s">
        <v>87</v>
      </c>
      <c r="C2985" t="s">
        <v>288</v>
      </c>
      <c r="D2985" s="14">
        <v>12.3</v>
      </c>
    </row>
    <row r="2986" spans="1:4" x14ac:dyDescent="0.35">
      <c r="A2986" s="13">
        <v>46382</v>
      </c>
      <c r="B2986" t="s">
        <v>87</v>
      </c>
      <c r="C2986" t="s">
        <v>289</v>
      </c>
      <c r="D2986" s="14">
        <v>13.3</v>
      </c>
    </row>
    <row r="2987" spans="1:4" x14ac:dyDescent="0.35">
      <c r="A2987" s="13">
        <v>46382</v>
      </c>
      <c r="B2987" t="s">
        <v>87</v>
      </c>
      <c r="C2987" t="s">
        <v>290</v>
      </c>
      <c r="D2987" s="14">
        <v>20</v>
      </c>
    </row>
    <row r="2988" spans="1:4" x14ac:dyDescent="0.35">
      <c r="A2988" s="13">
        <v>46382</v>
      </c>
      <c r="B2988" t="s">
        <v>87</v>
      </c>
      <c r="C2988" t="s">
        <v>291</v>
      </c>
      <c r="D2988" s="14">
        <v>15.4</v>
      </c>
    </row>
    <row r="2989" spans="1:4" x14ac:dyDescent="0.35">
      <c r="A2989" s="13">
        <v>46382</v>
      </c>
      <c r="B2989" t="s">
        <v>87</v>
      </c>
      <c r="C2989" t="s">
        <v>292</v>
      </c>
      <c r="D2989" s="14">
        <v>12.9</v>
      </c>
    </row>
    <row r="2990" spans="1:4" x14ac:dyDescent="0.35">
      <c r="A2990" s="13">
        <v>46382</v>
      </c>
      <c r="B2990" t="s">
        <v>87</v>
      </c>
      <c r="C2990" t="s">
        <v>293</v>
      </c>
      <c r="D2990" s="14">
        <v>12</v>
      </c>
    </row>
    <row r="2991" spans="1:4" x14ac:dyDescent="0.35">
      <c r="A2991" s="13">
        <v>46382</v>
      </c>
      <c r="B2991" t="s">
        <v>87</v>
      </c>
      <c r="C2991" t="s">
        <v>294</v>
      </c>
      <c r="D2991" s="14">
        <v>11.8</v>
      </c>
    </row>
    <row r="2992" spans="1:4" x14ac:dyDescent="0.35">
      <c r="A2992" s="13">
        <v>46382</v>
      </c>
      <c r="B2992" t="s">
        <v>87</v>
      </c>
      <c r="C2992" t="s">
        <v>295</v>
      </c>
      <c r="D2992" s="14">
        <v>14.7</v>
      </c>
    </row>
    <row r="2993" spans="1:4" x14ac:dyDescent="0.35">
      <c r="A2993" s="13">
        <v>46382</v>
      </c>
      <c r="B2993" t="s">
        <v>87</v>
      </c>
      <c r="C2993" t="s">
        <v>296</v>
      </c>
      <c r="D2993" s="14">
        <v>22.2</v>
      </c>
    </row>
    <row r="2994" spans="1:4" x14ac:dyDescent="0.35">
      <c r="A2994" s="13">
        <v>46382</v>
      </c>
      <c r="B2994" t="s">
        <v>87</v>
      </c>
      <c r="C2994" t="s">
        <v>297</v>
      </c>
      <c r="D2994" s="14">
        <v>16.100000000000001</v>
      </c>
    </row>
    <row r="2995" spans="1:4" x14ac:dyDescent="0.35">
      <c r="A2995" s="13">
        <v>46382</v>
      </c>
      <c r="B2995" t="s">
        <v>77</v>
      </c>
      <c r="C2995" t="s">
        <v>298</v>
      </c>
      <c r="D2995" s="14">
        <v>16.8</v>
      </c>
    </row>
    <row r="2996" spans="1:4" x14ac:dyDescent="0.35">
      <c r="A2996" s="13">
        <v>46382</v>
      </c>
      <c r="B2996" t="s">
        <v>85</v>
      </c>
      <c r="C2996" t="s">
        <v>299</v>
      </c>
      <c r="D2996" s="14">
        <v>17.399999999999999</v>
      </c>
    </row>
    <row r="2997" spans="1:4" x14ac:dyDescent="0.35">
      <c r="A2997" s="13">
        <v>46389</v>
      </c>
      <c r="B2997" t="s">
        <v>70</v>
      </c>
      <c r="C2997" t="s">
        <v>155</v>
      </c>
      <c r="D2997" s="14">
        <v>24.5</v>
      </c>
    </row>
    <row r="2998" spans="1:4" x14ac:dyDescent="0.35">
      <c r="A2998" s="13">
        <v>46389</v>
      </c>
      <c r="B2998" t="s">
        <v>70</v>
      </c>
      <c r="C2998" t="s">
        <v>158</v>
      </c>
      <c r="D2998" s="14">
        <v>21.2</v>
      </c>
    </row>
    <row r="2999" spans="1:4" x14ac:dyDescent="0.35">
      <c r="A2999" s="13">
        <v>46389</v>
      </c>
      <c r="B2999" t="s">
        <v>70</v>
      </c>
      <c r="C2999" t="s">
        <v>159</v>
      </c>
      <c r="D2999" s="14">
        <v>16.100000000000001</v>
      </c>
    </row>
    <row r="3000" spans="1:4" x14ac:dyDescent="0.35">
      <c r="A3000" s="13">
        <v>46389</v>
      </c>
      <c r="B3000" t="s">
        <v>70</v>
      </c>
      <c r="C3000" t="s">
        <v>162</v>
      </c>
      <c r="D3000" s="14">
        <v>23.2</v>
      </c>
    </row>
    <row r="3001" spans="1:4" x14ac:dyDescent="0.35">
      <c r="A3001" s="13">
        <v>46389</v>
      </c>
      <c r="B3001" t="s">
        <v>70</v>
      </c>
      <c r="C3001" t="s">
        <v>164</v>
      </c>
      <c r="D3001" s="14">
        <v>10.1</v>
      </c>
    </row>
    <row r="3002" spans="1:4" x14ac:dyDescent="0.35">
      <c r="A3002" s="13">
        <v>46389</v>
      </c>
      <c r="B3002" t="s">
        <v>70</v>
      </c>
      <c r="C3002" t="s">
        <v>167</v>
      </c>
      <c r="D3002" s="14">
        <v>13</v>
      </c>
    </row>
    <row r="3003" spans="1:4" x14ac:dyDescent="0.35">
      <c r="A3003" s="13">
        <v>46389</v>
      </c>
      <c r="B3003" t="s">
        <v>70</v>
      </c>
      <c r="C3003" t="s">
        <v>169</v>
      </c>
      <c r="D3003" s="14">
        <v>9.6999999999999993</v>
      </c>
    </row>
    <row r="3004" spans="1:4" x14ac:dyDescent="0.35">
      <c r="A3004" s="13">
        <v>46389</v>
      </c>
      <c r="B3004" t="s">
        <v>70</v>
      </c>
      <c r="C3004" t="s">
        <v>170</v>
      </c>
      <c r="D3004" s="14">
        <v>19.100000000000001</v>
      </c>
    </row>
    <row r="3005" spans="1:4" x14ac:dyDescent="0.35">
      <c r="A3005" s="13">
        <v>46389</v>
      </c>
      <c r="B3005" t="s">
        <v>70</v>
      </c>
      <c r="C3005" t="s">
        <v>171</v>
      </c>
      <c r="D3005" s="14">
        <v>15.2</v>
      </c>
    </row>
    <row r="3006" spans="1:4" x14ac:dyDescent="0.35">
      <c r="A3006" s="13">
        <v>46389</v>
      </c>
      <c r="B3006" t="s">
        <v>70</v>
      </c>
      <c r="C3006" t="s">
        <v>172</v>
      </c>
      <c r="D3006" s="14">
        <v>9.8000000000000007</v>
      </c>
    </row>
    <row r="3007" spans="1:4" x14ac:dyDescent="0.35">
      <c r="A3007" s="13">
        <v>46389</v>
      </c>
      <c r="B3007" t="s">
        <v>70</v>
      </c>
      <c r="C3007" t="s">
        <v>173</v>
      </c>
      <c r="D3007" s="14">
        <v>17.899999999999999</v>
      </c>
    </row>
    <row r="3008" spans="1:4" x14ac:dyDescent="0.35">
      <c r="A3008" s="13">
        <v>46389</v>
      </c>
      <c r="B3008" t="s">
        <v>70</v>
      </c>
      <c r="C3008" t="s">
        <v>174</v>
      </c>
      <c r="D3008" s="14">
        <v>21.8</v>
      </c>
    </row>
    <row r="3009" spans="1:4" x14ac:dyDescent="0.35">
      <c r="A3009" s="13">
        <v>46389</v>
      </c>
      <c r="B3009" t="s">
        <v>70</v>
      </c>
      <c r="C3009" t="s">
        <v>175</v>
      </c>
      <c r="D3009" s="14">
        <v>15</v>
      </c>
    </row>
    <row r="3010" spans="1:4" x14ac:dyDescent="0.35">
      <c r="A3010" s="13">
        <v>46389</v>
      </c>
      <c r="B3010" t="s">
        <v>70</v>
      </c>
      <c r="C3010" t="s">
        <v>176</v>
      </c>
      <c r="D3010" s="14">
        <v>11.7</v>
      </c>
    </row>
    <row r="3011" spans="1:4" x14ac:dyDescent="0.35">
      <c r="A3011" s="13">
        <v>46389</v>
      </c>
      <c r="B3011" t="s">
        <v>73</v>
      </c>
      <c r="C3011" t="s">
        <v>177</v>
      </c>
      <c r="D3011" s="14">
        <v>12.2</v>
      </c>
    </row>
    <row r="3012" spans="1:4" x14ac:dyDescent="0.35">
      <c r="A3012" s="13">
        <v>46389</v>
      </c>
      <c r="B3012" t="s">
        <v>73</v>
      </c>
      <c r="C3012" t="s">
        <v>178</v>
      </c>
      <c r="D3012" s="14">
        <v>10.6</v>
      </c>
    </row>
    <row r="3013" spans="1:4" x14ac:dyDescent="0.35">
      <c r="A3013" s="13">
        <v>46389</v>
      </c>
      <c r="B3013" t="s">
        <v>73</v>
      </c>
      <c r="C3013" t="s">
        <v>179</v>
      </c>
      <c r="D3013" s="14">
        <v>15.7</v>
      </c>
    </row>
    <row r="3014" spans="1:4" x14ac:dyDescent="0.35">
      <c r="A3014" s="13">
        <v>46389</v>
      </c>
      <c r="B3014" t="s">
        <v>73</v>
      </c>
      <c r="C3014" t="s">
        <v>180</v>
      </c>
      <c r="D3014" s="14">
        <v>8.8000000000000007</v>
      </c>
    </row>
    <row r="3015" spans="1:4" x14ac:dyDescent="0.35">
      <c r="A3015" s="13">
        <v>46389</v>
      </c>
      <c r="B3015" t="s">
        <v>73</v>
      </c>
      <c r="C3015" t="s">
        <v>181</v>
      </c>
      <c r="D3015" s="14">
        <v>10</v>
      </c>
    </row>
    <row r="3016" spans="1:4" x14ac:dyDescent="0.35">
      <c r="A3016" s="13">
        <v>46389</v>
      </c>
      <c r="B3016" t="s">
        <v>73</v>
      </c>
      <c r="C3016" t="s">
        <v>182</v>
      </c>
      <c r="D3016" s="14">
        <v>13.2</v>
      </c>
    </row>
    <row r="3017" spans="1:4" x14ac:dyDescent="0.35">
      <c r="A3017" s="13">
        <v>46389</v>
      </c>
      <c r="B3017" t="s">
        <v>73</v>
      </c>
      <c r="C3017" t="s">
        <v>183</v>
      </c>
      <c r="D3017" s="14">
        <v>19.7</v>
      </c>
    </row>
    <row r="3018" spans="1:4" x14ac:dyDescent="0.35">
      <c r="A3018" s="13">
        <v>46389</v>
      </c>
      <c r="B3018" t="s">
        <v>73</v>
      </c>
      <c r="C3018" t="s">
        <v>184</v>
      </c>
      <c r="D3018" s="14">
        <v>15.6</v>
      </c>
    </row>
    <row r="3019" spans="1:4" x14ac:dyDescent="0.35">
      <c r="A3019" s="13">
        <v>46389</v>
      </c>
      <c r="B3019" t="s">
        <v>73</v>
      </c>
      <c r="C3019" t="s">
        <v>185</v>
      </c>
      <c r="D3019" s="14">
        <v>9.9</v>
      </c>
    </row>
    <row r="3020" spans="1:4" x14ac:dyDescent="0.35">
      <c r="A3020" s="13">
        <v>46389</v>
      </c>
      <c r="B3020" t="s">
        <v>73</v>
      </c>
      <c r="C3020" t="s">
        <v>186</v>
      </c>
      <c r="D3020" s="14">
        <v>14.3</v>
      </c>
    </row>
    <row r="3021" spans="1:4" x14ac:dyDescent="0.35">
      <c r="A3021" s="13">
        <v>46389</v>
      </c>
      <c r="B3021" t="s">
        <v>73</v>
      </c>
      <c r="C3021" t="s">
        <v>187</v>
      </c>
      <c r="D3021" s="14">
        <v>7.7</v>
      </c>
    </row>
    <row r="3022" spans="1:4" x14ac:dyDescent="0.35">
      <c r="A3022" s="13">
        <v>46389</v>
      </c>
      <c r="B3022" t="s">
        <v>73</v>
      </c>
      <c r="C3022" t="s">
        <v>189</v>
      </c>
      <c r="D3022" s="14">
        <v>10.6</v>
      </c>
    </row>
    <row r="3023" spans="1:4" x14ac:dyDescent="0.35">
      <c r="A3023" s="13">
        <v>46389</v>
      </c>
      <c r="B3023" t="s">
        <v>73</v>
      </c>
      <c r="C3023" t="s">
        <v>190</v>
      </c>
      <c r="D3023" s="14">
        <v>12.3</v>
      </c>
    </row>
    <row r="3024" spans="1:4" x14ac:dyDescent="0.35">
      <c r="A3024" s="13">
        <v>46389</v>
      </c>
      <c r="B3024" t="s">
        <v>73</v>
      </c>
      <c r="C3024" t="s">
        <v>191</v>
      </c>
      <c r="D3024" s="14">
        <v>11.6</v>
      </c>
    </row>
    <row r="3025" spans="1:4" x14ac:dyDescent="0.35">
      <c r="A3025" s="13">
        <v>46389</v>
      </c>
      <c r="B3025" t="s">
        <v>73</v>
      </c>
      <c r="C3025" t="s">
        <v>192</v>
      </c>
      <c r="D3025" s="14">
        <v>7.4</v>
      </c>
    </row>
    <row r="3026" spans="1:4" x14ac:dyDescent="0.35">
      <c r="A3026" s="13">
        <v>46389</v>
      </c>
      <c r="B3026" t="s">
        <v>73</v>
      </c>
      <c r="C3026" t="s">
        <v>193</v>
      </c>
      <c r="D3026" s="14">
        <v>14.7</v>
      </c>
    </row>
    <row r="3027" spans="1:4" x14ac:dyDescent="0.35">
      <c r="A3027" s="13">
        <v>46389</v>
      </c>
      <c r="B3027" t="s">
        <v>73</v>
      </c>
      <c r="C3027" t="s">
        <v>194</v>
      </c>
      <c r="D3027" s="14">
        <v>9.4</v>
      </c>
    </row>
    <row r="3028" spans="1:4" x14ac:dyDescent="0.35">
      <c r="A3028" s="13">
        <v>46389</v>
      </c>
      <c r="B3028" t="s">
        <v>73</v>
      </c>
      <c r="C3028" t="s">
        <v>195</v>
      </c>
      <c r="D3028" s="14">
        <v>14.8</v>
      </c>
    </row>
    <row r="3029" spans="1:4" x14ac:dyDescent="0.35">
      <c r="A3029" s="13">
        <v>46389</v>
      </c>
      <c r="B3029" t="s">
        <v>73</v>
      </c>
      <c r="C3029" t="s">
        <v>196</v>
      </c>
      <c r="D3029" s="14">
        <v>8</v>
      </c>
    </row>
    <row r="3030" spans="1:4" x14ac:dyDescent="0.35">
      <c r="A3030" s="13">
        <v>46389</v>
      </c>
      <c r="B3030" t="s">
        <v>3</v>
      </c>
      <c r="C3030" t="s">
        <v>197</v>
      </c>
      <c r="D3030" s="14">
        <v>13.8</v>
      </c>
    </row>
    <row r="3031" spans="1:4" x14ac:dyDescent="0.35">
      <c r="A3031" s="13">
        <v>46389</v>
      </c>
      <c r="B3031" t="s">
        <v>3</v>
      </c>
      <c r="C3031" t="s">
        <v>198</v>
      </c>
      <c r="D3031" s="14">
        <v>12.2</v>
      </c>
    </row>
    <row r="3032" spans="1:4" x14ac:dyDescent="0.35">
      <c r="A3032" s="13">
        <v>46389</v>
      </c>
      <c r="B3032" t="s">
        <v>3</v>
      </c>
      <c r="C3032" t="s">
        <v>199</v>
      </c>
      <c r="D3032" s="14">
        <v>18.899999999999999</v>
      </c>
    </row>
    <row r="3033" spans="1:4" x14ac:dyDescent="0.35">
      <c r="A3033" s="13">
        <v>46389</v>
      </c>
      <c r="B3033" t="s">
        <v>3</v>
      </c>
      <c r="C3033" t="s">
        <v>200</v>
      </c>
      <c r="D3033" s="14">
        <v>13.6</v>
      </c>
    </row>
    <row r="3034" spans="1:4" x14ac:dyDescent="0.35">
      <c r="A3034" s="13">
        <v>46389</v>
      </c>
      <c r="B3034" t="s">
        <v>3</v>
      </c>
      <c r="C3034" t="s">
        <v>201</v>
      </c>
      <c r="D3034" s="14">
        <v>21.5</v>
      </c>
    </row>
    <row r="3035" spans="1:4" x14ac:dyDescent="0.35">
      <c r="A3035" s="13">
        <v>46389</v>
      </c>
      <c r="B3035" t="s">
        <v>3</v>
      </c>
      <c r="C3035" t="s">
        <v>202</v>
      </c>
      <c r="D3035" s="14">
        <v>8.8000000000000007</v>
      </c>
    </row>
    <row r="3036" spans="1:4" x14ac:dyDescent="0.35">
      <c r="A3036" s="13">
        <v>46389</v>
      </c>
      <c r="B3036" t="s">
        <v>3</v>
      </c>
      <c r="C3036" t="s">
        <v>203</v>
      </c>
      <c r="D3036" s="14">
        <v>14.8</v>
      </c>
    </row>
    <row r="3037" spans="1:4" x14ac:dyDescent="0.35">
      <c r="A3037" s="13">
        <v>46389</v>
      </c>
      <c r="B3037" t="s">
        <v>3</v>
      </c>
      <c r="C3037" t="s">
        <v>204</v>
      </c>
      <c r="D3037" s="14">
        <v>8.4</v>
      </c>
    </row>
    <row r="3038" spans="1:4" x14ac:dyDescent="0.35">
      <c r="A3038" s="13">
        <v>46389</v>
      </c>
      <c r="B3038" t="s">
        <v>3</v>
      </c>
      <c r="C3038" t="s">
        <v>205</v>
      </c>
      <c r="D3038" s="14">
        <v>24.1</v>
      </c>
    </row>
    <row r="3039" spans="1:4" x14ac:dyDescent="0.35">
      <c r="A3039" s="13">
        <v>46389</v>
      </c>
      <c r="B3039" t="s">
        <v>3</v>
      </c>
      <c r="C3039" t="s">
        <v>206</v>
      </c>
      <c r="D3039" s="14">
        <v>22.7</v>
      </c>
    </row>
    <row r="3040" spans="1:4" x14ac:dyDescent="0.35">
      <c r="A3040" s="13">
        <v>46389</v>
      </c>
      <c r="B3040" t="s">
        <v>3</v>
      </c>
      <c r="C3040" t="s">
        <v>207</v>
      </c>
      <c r="D3040" s="14">
        <v>23</v>
      </c>
    </row>
    <row r="3041" spans="1:4" x14ac:dyDescent="0.35">
      <c r="A3041" s="13">
        <v>46389</v>
      </c>
      <c r="B3041" t="s">
        <v>3</v>
      </c>
      <c r="C3041" t="s">
        <v>208</v>
      </c>
      <c r="D3041" s="14">
        <v>22.2</v>
      </c>
    </row>
    <row r="3042" spans="1:4" x14ac:dyDescent="0.35">
      <c r="A3042" s="13">
        <v>46389</v>
      </c>
      <c r="B3042" t="s">
        <v>3</v>
      </c>
      <c r="C3042" t="s">
        <v>209</v>
      </c>
      <c r="D3042" s="14">
        <v>21</v>
      </c>
    </row>
    <row r="3043" spans="1:4" x14ac:dyDescent="0.35">
      <c r="A3043" s="13">
        <v>46389</v>
      </c>
      <c r="B3043" t="s">
        <v>3</v>
      </c>
      <c r="C3043" t="s">
        <v>210</v>
      </c>
      <c r="D3043" s="14">
        <v>13.4</v>
      </c>
    </row>
    <row r="3044" spans="1:4" x14ac:dyDescent="0.35">
      <c r="A3044" s="13">
        <v>46389</v>
      </c>
      <c r="B3044" t="s">
        <v>3</v>
      </c>
      <c r="C3044" t="s">
        <v>211</v>
      </c>
      <c r="D3044" s="14">
        <v>14.8</v>
      </c>
    </row>
    <row r="3045" spans="1:4" x14ac:dyDescent="0.35">
      <c r="A3045" s="13">
        <v>46389</v>
      </c>
      <c r="B3045" t="s">
        <v>3</v>
      </c>
      <c r="C3045" t="s">
        <v>212</v>
      </c>
      <c r="D3045" s="14">
        <v>20.7</v>
      </c>
    </row>
    <row r="3046" spans="1:4" x14ac:dyDescent="0.35">
      <c r="A3046" s="13">
        <v>46389</v>
      </c>
      <c r="B3046" t="s">
        <v>3</v>
      </c>
      <c r="C3046" t="s">
        <v>213</v>
      </c>
      <c r="D3046" s="14">
        <v>12</v>
      </c>
    </row>
    <row r="3047" spans="1:4" x14ac:dyDescent="0.35">
      <c r="A3047" s="13">
        <v>46389</v>
      </c>
      <c r="B3047" t="s">
        <v>3</v>
      </c>
      <c r="C3047" t="s">
        <v>214</v>
      </c>
      <c r="D3047" s="14">
        <v>14.3</v>
      </c>
    </row>
    <row r="3048" spans="1:4" x14ac:dyDescent="0.35">
      <c r="A3048" s="13">
        <v>46389</v>
      </c>
      <c r="B3048" t="s">
        <v>3</v>
      </c>
      <c r="C3048" t="s">
        <v>215</v>
      </c>
      <c r="D3048" s="14">
        <v>10.3</v>
      </c>
    </row>
    <row r="3049" spans="1:4" x14ac:dyDescent="0.35">
      <c r="A3049" s="13">
        <v>46389</v>
      </c>
      <c r="B3049" t="s">
        <v>77</v>
      </c>
      <c r="C3049" t="s">
        <v>216</v>
      </c>
      <c r="D3049" s="14">
        <v>12.3</v>
      </c>
    </row>
    <row r="3050" spans="1:4" x14ac:dyDescent="0.35">
      <c r="A3050" s="13">
        <v>46389</v>
      </c>
      <c r="B3050" t="s">
        <v>77</v>
      </c>
      <c r="C3050" t="s">
        <v>217</v>
      </c>
      <c r="D3050" s="14">
        <v>14</v>
      </c>
    </row>
    <row r="3051" spans="1:4" x14ac:dyDescent="0.35">
      <c r="A3051" s="13">
        <v>46389</v>
      </c>
      <c r="B3051" t="s">
        <v>77</v>
      </c>
      <c r="C3051" t="s">
        <v>218</v>
      </c>
      <c r="D3051" s="14">
        <v>14.1</v>
      </c>
    </row>
    <row r="3052" spans="1:4" x14ac:dyDescent="0.35">
      <c r="A3052" s="13">
        <v>46389</v>
      </c>
      <c r="B3052" t="s">
        <v>77</v>
      </c>
      <c r="C3052" t="s">
        <v>219</v>
      </c>
      <c r="D3052" s="14">
        <v>8.1</v>
      </c>
    </row>
    <row r="3053" spans="1:4" x14ac:dyDescent="0.35">
      <c r="A3053" s="13">
        <v>46389</v>
      </c>
      <c r="B3053" t="s">
        <v>77</v>
      </c>
      <c r="C3053" t="s">
        <v>220</v>
      </c>
      <c r="D3053" s="14">
        <v>12.2</v>
      </c>
    </row>
    <row r="3054" spans="1:4" x14ac:dyDescent="0.35">
      <c r="A3054" s="13">
        <v>46389</v>
      </c>
      <c r="B3054" t="s">
        <v>77</v>
      </c>
      <c r="C3054" t="s">
        <v>221</v>
      </c>
      <c r="D3054" s="14">
        <v>29.3</v>
      </c>
    </row>
    <row r="3055" spans="1:4" x14ac:dyDescent="0.35">
      <c r="A3055" s="13">
        <v>46389</v>
      </c>
      <c r="B3055" t="s">
        <v>77</v>
      </c>
      <c r="C3055" t="s">
        <v>222</v>
      </c>
      <c r="D3055" s="14">
        <v>13.3</v>
      </c>
    </row>
    <row r="3056" spans="1:4" x14ac:dyDescent="0.35">
      <c r="A3056" s="13">
        <v>46389</v>
      </c>
      <c r="B3056" t="s">
        <v>77</v>
      </c>
      <c r="C3056" t="s">
        <v>223</v>
      </c>
      <c r="D3056" s="14">
        <v>19.3</v>
      </c>
    </row>
    <row r="3057" spans="1:4" x14ac:dyDescent="0.35">
      <c r="A3057" s="13">
        <v>46389</v>
      </c>
      <c r="B3057" t="s">
        <v>77</v>
      </c>
      <c r="C3057" t="s">
        <v>224</v>
      </c>
      <c r="D3057" s="14">
        <v>13.7</v>
      </c>
    </row>
    <row r="3058" spans="1:4" x14ac:dyDescent="0.35">
      <c r="A3058" s="13">
        <v>46389</v>
      </c>
      <c r="B3058" t="s">
        <v>77</v>
      </c>
      <c r="C3058" t="s">
        <v>225</v>
      </c>
      <c r="D3058" s="14">
        <v>11.4</v>
      </c>
    </row>
    <row r="3059" spans="1:4" x14ac:dyDescent="0.35">
      <c r="A3059" s="13">
        <v>46389</v>
      </c>
      <c r="B3059" t="s">
        <v>77</v>
      </c>
      <c r="C3059" t="s">
        <v>226</v>
      </c>
      <c r="D3059" s="14">
        <v>19.100000000000001</v>
      </c>
    </row>
    <row r="3060" spans="1:4" x14ac:dyDescent="0.35">
      <c r="A3060" s="13">
        <v>46389</v>
      </c>
      <c r="B3060" t="s">
        <v>77</v>
      </c>
      <c r="C3060" t="s">
        <v>227</v>
      </c>
      <c r="D3060" s="14">
        <v>14.8</v>
      </c>
    </row>
    <row r="3061" spans="1:4" x14ac:dyDescent="0.35">
      <c r="A3061" s="13">
        <v>46389</v>
      </c>
      <c r="B3061" t="s">
        <v>77</v>
      </c>
      <c r="C3061" t="s">
        <v>228</v>
      </c>
      <c r="D3061" s="14">
        <v>22.9</v>
      </c>
    </row>
    <row r="3062" spans="1:4" x14ac:dyDescent="0.35">
      <c r="A3062" s="13">
        <v>46389</v>
      </c>
      <c r="B3062" t="s">
        <v>77</v>
      </c>
      <c r="C3062" t="s">
        <v>229</v>
      </c>
      <c r="D3062" s="14">
        <v>7.6</v>
      </c>
    </row>
    <row r="3063" spans="1:4" x14ac:dyDescent="0.35">
      <c r="A3063" s="13">
        <v>46389</v>
      </c>
      <c r="B3063" t="s">
        <v>77</v>
      </c>
      <c r="C3063" t="s">
        <v>230</v>
      </c>
      <c r="D3063" s="14">
        <v>8.6999999999999993</v>
      </c>
    </row>
    <row r="3064" spans="1:4" x14ac:dyDescent="0.35">
      <c r="A3064" s="13">
        <v>46389</v>
      </c>
      <c r="B3064" t="s">
        <v>80</v>
      </c>
      <c r="C3064" t="s">
        <v>231</v>
      </c>
      <c r="D3064" s="14">
        <v>14.2</v>
      </c>
    </row>
    <row r="3065" spans="1:4" x14ac:dyDescent="0.35">
      <c r="A3065" s="13">
        <v>46389</v>
      </c>
      <c r="B3065" t="s">
        <v>80</v>
      </c>
      <c r="C3065" t="s">
        <v>232</v>
      </c>
      <c r="D3065" s="14">
        <v>21.6</v>
      </c>
    </row>
    <row r="3066" spans="1:4" x14ac:dyDescent="0.35">
      <c r="A3066" s="13">
        <v>46389</v>
      </c>
      <c r="B3066" t="s">
        <v>80</v>
      </c>
      <c r="C3066" t="s">
        <v>233</v>
      </c>
      <c r="D3066" s="14">
        <v>11.1</v>
      </c>
    </row>
    <row r="3067" spans="1:4" x14ac:dyDescent="0.35">
      <c r="A3067" s="13">
        <v>46389</v>
      </c>
      <c r="B3067" t="s">
        <v>80</v>
      </c>
      <c r="C3067" t="s">
        <v>234</v>
      </c>
      <c r="D3067" s="14">
        <v>7.5</v>
      </c>
    </row>
    <row r="3068" spans="1:4" x14ac:dyDescent="0.35">
      <c r="A3068" s="13">
        <v>46389</v>
      </c>
      <c r="B3068" t="s">
        <v>80</v>
      </c>
      <c r="C3068" t="s">
        <v>235</v>
      </c>
      <c r="D3068" s="14">
        <v>16.899999999999999</v>
      </c>
    </row>
    <row r="3069" spans="1:4" x14ac:dyDescent="0.35">
      <c r="A3069" s="13">
        <v>46389</v>
      </c>
      <c r="B3069" t="s">
        <v>80</v>
      </c>
      <c r="C3069" t="s">
        <v>236</v>
      </c>
      <c r="D3069" s="14">
        <v>18.600000000000001</v>
      </c>
    </row>
    <row r="3070" spans="1:4" x14ac:dyDescent="0.35">
      <c r="A3070" s="13">
        <v>46389</v>
      </c>
      <c r="B3070" t="s">
        <v>80</v>
      </c>
      <c r="C3070" t="s">
        <v>237</v>
      </c>
      <c r="D3070" s="14">
        <v>12.8</v>
      </c>
    </row>
    <row r="3071" spans="1:4" x14ac:dyDescent="0.35">
      <c r="A3071" s="13">
        <v>46389</v>
      </c>
      <c r="B3071" t="s">
        <v>80</v>
      </c>
      <c r="C3071" t="s">
        <v>238</v>
      </c>
      <c r="D3071" s="14">
        <v>17</v>
      </c>
    </row>
    <row r="3072" spans="1:4" x14ac:dyDescent="0.35">
      <c r="A3072" s="13">
        <v>46389</v>
      </c>
      <c r="B3072" t="s">
        <v>80</v>
      </c>
      <c r="C3072" t="s">
        <v>239</v>
      </c>
      <c r="D3072" s="14">
        <v>8.6</v>
      </c>
    </row>
    <row r="3073" spans="1:4" x14ac:dyDescent="0.35">
      <c r="A3073" s="13">
        <v>46389</v>
      </c>
      <c r="B3073" t="s">
        <v>80</v>
      </c>
      <c r="C3073" t="s">
        <v>240</v>
      </c>
      <c r="D3073" s="14">
        <v>18.8</v>
      </c>
    </row>
    <row r="3074" spans="1:4" x14ac:dyDescent="0.35">
      <c r="A3074" s="13">
        <v>46389</v>
      </c>
      <c r="B3074" t="s">
        <v>80</v>
      </c>
      <c r="C3074" t="s">
        <v>241</v>
      </c>
      <c r="D3074" s="14">
        <v>11.9</v>
      </c>
    </row>
    <row r="3075" spans="1:4" x14ac:dyDescent="0.35">
      <c r="A3075" s="13">
        <v>46389</v>
      </c>
      <c r="B3075" t="s">
        <v>80</v>
      </c>
      <c r="C3075" t="s">
        <v>242</v>
      </c>
      <c r="D3075" s="14">
        <v>27.1</v>
      </c>
    </row>
    <row r="3076" spans="1:4" x14ac:dyDescent="0.35">
      <c r="A3076" s="13">
        <v>46389</v>
      </c>
      <c r="B3076" t="s">
        <v>80</v>
      </c>
      <c r="C3076" t="s">
        <v>243</v>
      </c>
      <c r="D3076" s="14">
        <v>21.6</v>
      </c>
    </row>
    <row r="3077" spans="1:4" x14ac:dyDescent="0.35">
      <c r="A3077" s="13">
        <v>46389</v>
      </c>
      <c r="B3077" t="s">
        <v>80</v>
      </c>
      <c r="C3077" t="s">
        <v>244</v>
      </c>
      <c r="D3077" s="14">
        <v>15</v>
      </c>
    </row>
    <row r="3078" spans="1:4" x14ac:dyDescent="0.35">
      <c r="A3078" s="13">
        <v>46389</v>
      </c>
      <c r="B3078" t="s">
        <v>80</v>
      </c>
      <c r="C3078" t="s">
        <v>245</v>
      </c>
      <c r="D3078" s="14">
        <v>14.3</v>
      </c>
    </row>
    <row r="3079" spans="1:4" x14ac:dyDescent="0.35">
      <c r="A3079" s="13">
        <v>46389</v>
      </c>
      <c r="B3079" t="s">
        <v>80</v>
      </c>
      <c r="C3079" t="s">
        <v>246</v>
      </c>
      <c r="D3079" s="14">
        <v>14.8</v>
      </c>
    </row>
    <row r="3080" spans="1:4" x14ac:dyDescent="0.35">
      <c r="A3080" s="13">
        <v>46389</v>
      </c>
      <c r="B3080" t="s">
        <v>80</v>
      </c>
      <c r="C3080" t="s">
        <v>247</v>
      </c>
      <c r="D3080" s="14">
        <v>26.1</v>
      </c>
    </row>
    <row r="3081" spans="1:4" x14ac:dyDescent="0.35">
      <c r="A3081" s="13">
        <v>46389</v>
      </c>
      <c r="B3081" t="s">
        <v>82</v>
      </c>
      <c r="C3081" t="s">
        <v>248</v>
      </c>
      <c r="D3081" s="14">
        <v>21.8</v>
      </c>
    </row>
    <row r="3082" spans="1:4" x14ac:dyDescent="0.35">
      <c r="A3082" s="13">
        <v>46389</v>
      </c>
      <c r="B3082" t="s">
        <v>82</v>
      </c>
      <c r="C3082" t="s">
        <v>249</v>
      </c>
      <c r="D3082" s="14">
        <v>9.6999999999999993</v>
      </c>
    </row>
    <row r="3083" spans="1:4" x14ac:dyDescent="0.35">
      <c r="A3083" s="13">
        <v>46389</v>
      </c>
      <c r="B3083" t="s">
        <v>82</v>
      </c>
      <c r="C3083" t="s">
        <v>250</v>
      </c>
      <c r="D3083" s="14">
        <v>15.4</v>
      </c>
    </row>
    <row r="3084" spans="1:4" x14ac:dyDescent="0.35">
      <c r="A3084" s="13">
        <v>46389</v>
      </c>
      <c r="B3084" t="s">
        <v>82</v>
      </c>
      <c r="C3084" t="s">
        <v>251</v>
      </c>
      <c r="D3084" s="14">
        <v>10.8</v>
      </c>
    </row>
    <row r="3085" spans="1:4" x14ac:dyDescent="0.35">
      <c r="A3085" s="13">
        <v>46389</v>
      </c>
      <c r="B3085" t="s">
        <v>82</v>
      </c>
      <c r="C3085" t="s">
        <v>252</v>
      </c>
      <c r="D3085" s="14">
        <v>9.8000000000000007</v>
      </c>
    </row>
    <row r="3086" spans="1:4" x14ac:dyDescent="0.35">
      <c r="A3086" s="13">
        <v>46389</v>
      </c>
      <c r="B3086" t="s">
        <v>82</v>
      </c>
      <c r="C3086" t="s">
        <v>253</v>
      </c>
      <c r="D3086" s="14">
        <v>16.3</v>
      </c>
    </row>
    <row r="3087" spans="1:4" x14ac:dyDescent="0.35">
      <c r="A3087" s="13">
        <v>46389</v>
      </c>
      <c r="B3087" t="s">
        <v>82</v>
      </c>
      <c r="C3087" t="s">
        <v>254</v>
      </c>
      <c r="D3087" s="14">
        <v>8.1</v>
      </c>
    </row>
    <row r="3088" spans="1:4" x14ac:dyDescent="0.35">
      <c r="A3088" s="13">
        <v>46389</v>
      </c>
      <c r="B3088" t="s">
        <v>82</v>
      </c>
      <c r="C3088" t="s">
        <v>255</v>
      </c>
      <c r="D3088" s="14">
        <v>9.9</v>
      </c>
    </row>
    <row r="3089" spans="1:4" x14ac:dyDescent="0.35">
      <c r="A3089" s="13">
        <v>46389</v>
      </c>
      <c r="B3089" t="s">
        <v>82</v>
      </c>
      <c r="C3089" t="s">
        <v>256</v>
      </c>
      <c r="D3089" s="14">
        <v>17.5</v>
      </c>
    </row>
    <row r="3090" spans="1:4" x14ac:dyDescent="0.35">
      <c r="A3090" s="13">
        <v>46389</v>
      </c>
      <c r="B3090" t="s">
        <v>82</v>
      </c>
      <c r="C3090" t="s">
        <v>257</v>
      </c>
      <c r="D3090" s="14">
        <v>15.8</v>
      </c>
    </row>
    <row r="3091" spans="1:4" x14ac:dyDescent="0.35">
      <c r="A3091" s="13">
        <v>46389</v>
      </c>
      <c r="B3091" t="s">
        <v>82</v>
      </c>
      <c r="C3091" t="s">
        <v>258</v>
      </c>
      <c r="D3091" s="14">
        <v>22.5</v>
      </c>
    </row>
    <row r="3092" spans="1:4" x14ac:dyDescent="0.35">
      <c r="A3092" s="13">
        <v>46389</v>
      </c>
      <c r="B3092" t="s">
        <v>82</v>
      </c>
      <c r="C3092" t="s">
        <v>259</v>
      </c>
      <c r="D3092" s="14">
        <v>10.6</v>
      </c>
    </row>
    <row r="3093" spans="1:4" x14ac:dyDescent="0.35">
      <c r="A3093" s="13">
        <v>46389</v>
      </c>
      <c r="B3093" t="s">
        <v>82</v>
      </c>
      <c r="C3093" t="s">
        <v>260</v>
      </c>
      <c r="D3093" s="14">
        <v>10.7</v>
      </c>
    </row>
    <row r="3094" spans="1:4" x14ac:dyDescent="0.35">
      <c r="A3094" s="13">
        <v>46389</v>
      </c>
      <c r="B3094" t="s">
        <v>82</v>
      </c>
      <c r="C3094" t="s">
        <v>261</v>
      </c>
      <c r="D3094" s="14">
        <v>15.6</v>
      </c>
    </row>
    <row r="3095" spans="1:4" x14ac:dyDescent="0.35">
      <c r="A3095" s="13">
        <v>46389</v>
      </c>
      <c r="B3095" t="s">
        <v>82</v>
      </c>
      <c r="C3095" t="s">
        <v>262</v>
      </c>
      <c r="D3095" s="14">
        <v>21.3</v>
      </c>
    </row>
    <row r="3096" spans="1:4" x14ac:dyDescent="0.35">
      <c r="A3096" s="13">
        <v>46389</v>
      </c>
      <c r="B3096" t="s">
        <v>82</v>
      </c>
      <c r="C3096" t="s">
        <v>263</v>
      </c>
      <c r="D3096" s="14">
        <v>9.4</v>
      </c>
    </row>
    <row r="3097" spans="1:4" x14ac:dyDescent="0.35">
      <c r="A3097" s="13">
        <v>46389</v>
      </c>
      <c r="B3097" t="s">
        <v>82</v>
      </c>
      <c r="C3097" t="s">
        <v>264</v>
      </c>
      <c r="D3097" s="14">
        <v>23.7</v>
      </c>
    </row>
    <row r="3098" spans="1:4" x14ac:dyDescent="0.35">
      <c r="A3098" s="13">
        <v>46389</v>
      </c>
      <c r="B3098" t="s">
        <v>82</v>
      </c>
      <c r="C3098" t="s">
        <v>265</v>
      </c>
      <c r="D3098" s="14">
        <v>16.100000000000001</v>
      </c>
    </row>
    <row r="3099" spans="1:4" x14ac:dyDescent="0.35">
      <c r="A3099" s="13">
        <v>46389</v>
      </c>
      <c r="B3099" t="s">
        <v>85</v>
      </c>
      <c r="C3099" t="s">
        <v>266</v>
      </c>
      <c r="D3099" s="14">
        <v>10.6</v>
      </c>
    </row>
    <row r="3100" spans="1:4" x14ac:dyDescent="0.35">
      <c r="A3100" s="13">
        <v>46389</v>
      </c>
      <c r="B3100" t="s">
        <v>85</v>
      </c>
      <c r="C3100" t="s">
        <v>267</v>
      </c>
      <c r="D3100" s="14">
        <v>6.6</v>
      </c>
    </row>
    <row r="3101" spans="1:4" x14ac:dyDescent="0.35">
      <c r="A3101" s="13">
        <v>46389</v>
      </c>
      <c r="B3101" t="s">
        <v>85</v>
      </c>
      <c r="C3101" t="s">
        <v>268</v>
      </c>
      <c r="D3101" s="14">
        <v>20.9</v>
      </c>
    </row>
    <row r="3102" spans="1:4" x14ac:dyDescent="0.35">
      <c r="A3102" s="13">
        <v>46389</v>
      </c>
      <c r="B3102" t="s">
        <v>85</v>
      </c>
      <c r="C3102" t="s">
        <v>269</v>
      </c>
      <c r="D3102" s="14">
        <v>21.2</v>
      </c>
    </row>
    <row r="3103" spans="1:4" x14ac:dyDescent="0.35">
      <c r="A3103" s="13">
        <v>46389</v>
      </c>
      <c r="B3103" t="s">
        <v>85</v>
      </c>
      <c r="C3103" t="s">
        <v>270</v>
      </c>
      <c r="D3103" s="14">
        <v>17.5</v>
      </c>
    </row>
    <row r="3104" spans="1:4" x14ac:dyDescent="0.35">
      <c r="A3104" s="13">
        <v>46389</v>
      </c>
      <c r="B3104" t="s">
        <v>85</v>
      </c>
      <c r="C3104" t="s">
        <v>271</v>
      </c>
      <c r="D3104" s="14">
        <v>12.8</v>
      </c>
    </row>
    <row r="3105" spans="1:4" x14ac:dyDescent="0.35">
      <c r="A3105" s="13">
        <v>46389</v>
      </c>
      <c r="B3105" t="s">
        <v>85</v>
      </c>
      <c r="C3105" t="s">
        <v>272</v>
      </c>
      <c r="D3105" s="14">
        <v>17.7</v>
      </c>
    </row>
    <row r="3106" spans="1:4" x14ac:dyDescent="0.35">
      <c r="A3106" s="13">
        <v>46389</v>
      </c>
      <c r="B3106" t="s">
        <v>85</v>
      </c>
      <c r="C3106" t="s">
        <v>273</v>
      </c>
      <c r="D3106" s="14">
        <v>8.8000000000000007</v>
      </c>
    </row>
    <row r="3107" spans="1:4" x14ac:dyDescent="0.35">
      <c r="A3107" s="13">
        <v>46389</v>
      </c>
      <c r="B3107" t="s">
        <v>85</v>
      </c>
      <c r="C3107" t="s">
        <v>274</v>
      </c>
      <c r="D3107" s="14">
        <v>8.3000000000000007</v>
      </c>
    </row>
    <row r="3108" spans="1:4" x14ac:dyDescent="0.35">
      <c r="A3108" s="13">
        <v>46389</v>
      </c>
      <c r="B3108" t="s">
        <v>85</v>
      </c>
      <c r="C3108" t="s">
        <v>275</v>
      </c>
      <c r="D3108" s="14">
        <v>16.2</v>
      </c>
    </row>
    <row r="3109" spans="1:4" x14ac:dyDescent="0.35">
      <c r="A3109" s="13">
        <v>46389</v>
      </c>
      <c r="B3109" t="s">
        <v>85</v>
      </c>
      <c r="C3109" t="s">
        <v>276</v>
      </c>
      <c r="D3109" s="14">
        <v>10.9</v>
      </c>
    </row>
    <row r="3110" spans="1:4" x14ac:dyDescent="0.35">
      <c r="A3110" s="13">
        <v>46389</v>
      </c>
      <c r="B3110" t="s">
        <v>85</v>
      </c>
      <c r="C3110" t="s">
        <v>277</v>
      </c>
      <c r="D3110" s="14">
        <v>13.4</v>
      </c>
    </row>
    <row r="3111" spans="1:4" x14ac:dyDescent="0.35">
      <c r="A3111" s="13">
        <v>46389</v>
      </c>
      <c r="B3111" t="s">
        <v>85</v>
      </c>
      <c r="C3111" t="s">
        <v>278</v>
      </c>
      <c r="D3111" s="14">
        <v>15.8</v>
      </c>
    </row>
    <row r="3112" spans="1:4" x14ac:dyDescent="0.35">
      <c r="A3112" s="13">
        <v>46389</v>
      </c>
      <c r="B3112" t="s">
        <v>85</v>
      </c>
      <c r="C3112" t="s">
        <v>279</v>
      </c>
      <c r="D3112" s="14">
        <v>10.7</v>
      </c>
    </row>
    <row r="3113" spans="1:4" x14ac:dyDescent="0.35">
      <c r="A3113" s="13">
        <v>46389</v>
      </c>
      <c r="B3113" t="s">
        <v>85</v>
      </c>
      <c r="C3113" t="s">
        <v>280</v>
      </c>
      <c r="D3113" s="14">
        <v>14.2</v>
      </c>
    </row>
    <row r="3114" spans="1:4" x14ac:dyDescent="0.35">
      <c r="A3114" s="13">
        <v>46389</v>
      </c>
      <c r="B3114" t="s">
        <v>85</v>
      </c>
      <c r="C3114" t="s">
        <v>281</v>
      </c>
      <c r="D3114" s="14">
        <v>11.6</v>
      </c>
    </row>
    <row r="3115" spans="1:4" x14ac:dyDescent="0.35">
      <c r="A3115" s="13">
        <v>46389</v>
      </c>
      <c r="B3115" t="s">
        <v>87</v>
      </c>
      <c r="C3115" t="s">
        <v>282</v>
      </c>
      <c r="D3115" s="14">
        <v>7.4</v>
      </c>
    </row>
    <row r="3116" spans="1:4" x14ac:dyDescent="0.35">
      <c r="A3116" s="13">
        <v>46389</v>
      </c>
      <c r="B3116" t="s">
        <v>87</v>
      </c>
      <c r="C3116" t="s">
        <v>283</v>
      </c>
      <c r="D3116" s="14">
        <v>14</v>
      </c>
    </row>
    <row r="3117" spans="1:4" x14ac:dyDescent="0.35">
      <c r="A3117" s="13">
        <v>46389</v>
      </c>
      <c r="B3117" t="s">
        <v>87</v>
      </c>
      <c r="C3117" t="s">
        <v>284</v>
      </c>
      <c r="D3117" s="14">
        <v>12</v>
      </c>
    </row>
    <row r="3118" spans="1:4" x14ac:dyDescent="0.35">
      <c r="A3118" s="13">
        <v>46389</v>
      </c>
      <c r="B3118" t="s">
        <v>87</v>
      </c>
      <c r="C3118" t="s">
        <v>285</v>
      </c>
      <c r="D3118" s="14">
        <v>17.399999999999999</v>
      </c>
    </row>
    <row r="3119" spans="1:4" x14ac:dyDescent="0.35">
      <c r="A3119" s="13">
        <v>46389</v>
      </c>
      <c r="B3119" t="s">
        <v>87</v>
      </c>
      <c r="C3119" t="s">
        <v>286</v>
      </c>
      <c r="D3119" s="14">
        <v>12.4</v>
      </c>
    </row>
    <row r="3120" spans="1:4" x14ac:dyDescent="0.35">
      <c r="A3120" s="13">
        <v>46389</v>
      </c>
      <c r="B3120" t="s">
        <v>87</v>
      </c>
      <c r="C3120" t="s">
        <v>287</v>
      </c>
      <c r="D3120" s="14">
        <v>16.100000000000001</v>
      </c>
    </row>
    <row r="3121" spans="1:4" x14ac:dyDescent="0.35">
      <c r="A3121" s="13">
        <v>46389</v>
      </c>
      <c r="B3121" t="s">
        <v>87</v>
      </c>
      <c r="C3121" t="s">
        <v>288</v>
      </c>
      <c r="D3121" s="14">
        <v>10.199999999999999</v>
      </c>
    </row>
    <row r="3122" spans="1:4" x14ac:dyDescent="0.35">
      <c r="A3122" s="13">
        <v>46389</v>
      </c>
      <c r="B3122" t="s">
        <v>87</v>
      </c>
      <c r="C3122" t="s">
        <v>289</v>
      </c>
      <c r="D3122" s="14">
        <v>11</v>
      </c>
    </row>
    <row r="3123" spans="1:4" x14ac:dyDescent="0.35">
      <c r="A3123" s="13">
        <v>46389</v>
      </c>
      <c r="B3123" t="s">
        <v>87</v>
      </c>
      <c r="C3123" t="s">
        <v>290</v>
      </c>
      <c r="D3123" s="14">
        <v>16.600000000000001</v>
      </c>
    </row>
    <row r="3124" spans="1:4" x14ac:dyDescent="0.35">
      <c r="A3124" s="13">
        <v>46389</v>
      </c>
      <c r="B3124" t="s">
        <v>87</v>
      </c>
      <c r="C3124" t="s">
        <v>291</v>
      </c>
      <c r="D3124" s="14">
        <v>12.8</v>
      </c>
    </row>
    <row r="3125" spans="1:4" x14ac:dyDescent="0.35">
      <c r="A3125" s="13">
        <v>46389</v>
      </c>
      <c r="B3125" t="s">
        <v>87</v>
      </c>
      <c r="C3125" t="s">
        <v>292</v>
      </c>
      <c r="D3125" s="14">
        <v>10.7</v>
      </c>
    </row>
    <row r="3126" spans="1:4" x14ac:dyDescent="0.35">
      <c r="A3126" s="13">
        <v>46389</v>
      </c>
      <c r="B3126" t="s">
        <v>87</v>
      </c>
      <c r="C3126" t="s">
        <v>293</v>
      </c>
      <c r="D3126" s="14">
        <v>10</v>
      </c>
    </row>
    <row r="3127" spans="1:4" x14ac:dyDescent="0.35">
      <c r="A3127" s="13">
        <v>46389</v>
      </c>
      <c r="B3127" t="s">
        <v>87</v>
      </c>
      <c r="C3127" t="s">
        <v>294</v>
      </c>
      <c r="D3127" s="14">
        <v>9.8000000000000007</v>
      </c>
    </row>
    <row r="3128" spans="1:4" x14ac:dyDescent="0.35">
      <c r="A3128" s="13">
        <v>46389</v>
      </c>
      <c r="B3128" t="s">
        <v>87</v>
      </c>
      <c r="C3128" t="s">
        <v>295</v>
      </c>
      <c r="D3128" s="14">
        <v>12.2</v>
      </c>
    </row>
    <row r="3129" spans="1:4" x14ac:dyDescent="0.35">
      <c r="A3129" s="13">
        <v>46389</v>
      </c>
      <c r="B3129" t="s">
        <v>87</v>
      </c>
      <c r="C3129" t="s">
        <v>296</v>
      </c>
      <c r="D3129" s="14">
        <v>18.399999999999999</v>
      </c>
    </row>
    <row r="3130" spans="1:4" x14ac:dyDescent="0.35">
      <c r="A3130" s="13">
        <v>46389</v>
      </c>
      <c r="B3130" t="s">
        <v>87</v>
      </c>
      <c r="C3130" t="s">
        <v>297</v>
      </c>
      <c r="D3130" s="14">
        <v>13.4</v>
      </c>
    </row>
    <row r="3131" spans="1:4" x14ac:dyDescent="0.35">
      <c r="A3131" s="13">
        <v>46389</v>
      </c>
      <c r="B3131" t="s">
        <v>77</v>
      </c>
      <c r="C3131" t="s">
        <v>298</v>
      </c>
      <c r="D3131" s="14">
        <v>14.1</v>
      </c>
    </row>
    <row r="3132" spans="1:4" x14ac:dyDescent="0.35">
      <c r="A3132" s="13">
        <v>46389</v>
      </c>
      <c r="B3132" t="s">
        <v>85</v>
      </c>
      <c r="C3132" t="s">
        <v>299</v>
      </c>
      <c r="D3132" s="14">
        <v>13.9</v>
      </c>
    </row>
    <row r="3133" spans="1:4" x14ac:dyDescent="0.35">
      <c r="A3133" s="13">
        <v>46396</v>
      </c>
      <c r="B3133" t="s">
        <v>70</v>
      </c>
      <c r="C3133" t="s">
        <v>155</v>
      </c>
      <c r="D3133" s="14">
        <v>20.8</v>
      </c>
    </row>
    <row r="3134" spans="1:4" x14ac:dyDescent="0.35">
      <c r="A3134" s="13">
        <v>46396</v>
      </c>
      <c r="B3134" t="s">
        <v>70</v>
      </c>
      <c r="C3134" t="s">
        <v>158</v>
      </c>
      <c r="D3134" s="14">
        <v>18</v>
      </c>
    </row>
    <row r="3135" spans="1:4" x14ac:dyDescent="0.35">
      <c r="A3135" s="13">
        <v>46396</v>
      </c>
      <c r="B3135" t="s">
        <v>70</v>
      </c>
      <c r="C3135" t="s">
        <v>159</v>
      </c>
      <c r="D3135" s="14">
        <v>13.7</v>
      </c>
    </row>
    <row r="3136" spans="1:4" x14ac:dyDescent="0.35">
      <c r="A3136" s="13">
        <v>46396</v>
      </c>
      <c r="B3136" t="s">
        <v>70</v>
      </c>
      <c r="C3136" t="s">
        <v>162</v>
      </c>
      <c r="D3136" s="14">
        <v>19.7</v>
      </c>
    </row>
    <row r="3137" spans="1:4" x14ac:dyDescent="0.35">
      <c r="A3137" s="13">
        <v>46396</v>
      </c>
      <c r="B3137" t="s">
        <v>70</v>
      </c>
      <c r="C3137" t="s">
        <v>164</v>
      </c>
      <c r="D3137" s="14">
        <v>8.6</v>
      </c>
    </row>
    <row r="3138" spans="1:4" x14ac:dyDescent="0.35">
      <c r="A3138" s="13">
        <v>46396</v>
      </c>
      <c r="B3138" t="s">
        <v>70</v>
      </c>
      <c r="C3138" t="s">
        <v>167</v>
      </c>
      <c r="D3138" s="14">
        <v>11</v>
      </c>
    </row>
    <row r="3139" spans="1:4" x14ac:dyDescent="0.35">
      <c r="A3139" s="13">
        <v>46396</v>
      </c>
      <c r="B3139" t="s">
        <v>70</v>
      </c>
      <c r="C3139" t="s">
        <v>169</v>
      </c>
      <c r="D3139" s="14">
        <v>8.3000000000000007</v>
      </c>
    </row>
    <row r="3140" spans="1:4" x14ac:dyDescent="0.35">
      <c r="A3140" s="13">
        <v>46396</v>
      </c>
      <c r="B3140" t="s">
        <v>70</v>
      </c>
      <c r="C3140" t="s">
        <v>170</v>
      </c>
      <c r="D3140" s="14">
        <v>16.3</v>
      </c>
    </row>
    <row r="3141" spans="1:4" x14ac:dyDescent="0.35">
      <c r="A3141" s="13">
        <v>46396</v>
      </c>
      <c r="B3141" t="s">
        <v>70</v>
      </c>
      <c r="C3141" t="s">
        <v>171</v>
      </c>
      <c r="D3141" s="14">
        <v>12.9</v>
      </c>
    </row>
    <row r="3142" spans="1:4" x14ac:dyDescent="0.35">
      <c r="A3142" s="13">
        <v>46396</v>
      </c>
      <c r="B3142" t="s">
        <v>70</v>
      </c>
      <c r="C3142" t="s">
        <v>172</v>
      </c>
      <c r="D3142" s="14">
        <v>8.3000000000000007</v>
      </c>
    </row>
    <row r="3143" spans="1:4" x14ac:dyDescent="0.35">
      <c r="A3143" s="13">
        <v>46396</v>
      </c>
      <c r="B3143" t="s">
        <v>70</v>
      </c>
      <c r="C3143" t="s">
        <v>173</v>
      </c>
      <c r="D3143" s="14">
        <v>15.2</v>
      </c>
    </row>
    <row r="3144" spans="1:4" x14ac:dyDescent="0.35">
      <c r="A3144" s="13">
        <v>46396</v>
      </c>
      <c r="B3144" t="s">
        <v>70</v>
      </c>
      <c r="C3144" t="s">
        <v>174</v>
      </c>
      <c r="D3144" s="14">
        <v>18.5</v>
      </c>
    </row>
    <row r="3145" spans="1:4" x14ac:dyDescent="0.35">
      <c r="A3145" s="13">
        <v>46396</v>
      </c>
      <c r="B3145" t="s">
        <v>70</v>
      </c>
      <c r="C3145" t="s">
        <v>175</v>
      </c>
      <c r="D3145" s="14">
        <v>12.8</v>
      </c>
    </row>
    <row r="3146" spans="1:4" x14ac:dyDescent="0.35">
      <c r="A3146" s="13">
        <v>46396</v>
      </c>
      <c r="B3146" t="s">
        <v>70</v>
      </c>
      <c r="C3146" t="s">
        <v>176</v>
      </c>
      <c r="D3146" s="14">
        <v>10</v>
      </c>
    </row>
    <row r="3147" spans="1:4" x14ac:dyDescent="0.35">
      <c r="A3147" s="13">
        <v>46396</v>
      </c>
      <c r="B3147" t="s">
        <v>73</v>
      </c>
      <c r="C3147" t="s">
        <v>177</v>
      </c>
      <c r="D3147" s="14">
        <v>9.8000000000000007</v>
      </c>
    </row>
    <row r="3148" spans="1:4" x14ac:dyDescent="0.35">
      <c r="A3148" s="13">
        <v>46396</v>
      </c>
      <c r="B3148" t="s">
        <v>73</v>
      </c>
      <c r="C3148" t="s">
        <v>178</v>
      </c>
      <c r="D3148" s="14">
        <v>8.5</v>
      </c>
    </row>
    <row r="3149" spans="1:4" x14ac:dyDescent="0.35">
      <c r="A3149" s="13">
        <v>46396</v>
      </c>
      <c r="B3149" t="s">
        <v>73</v>
      </c>
      <c r="C3149" t="s">
        <v>179</v>
      </c>
      <c r="D3149" s="14">
        <v>12.6</v>
      </c>
    </row>
    <row r="3150" spans="1:4" x14ac:dyDescent="0.35">
      <c r="A3150" s="13">
        <v>46396</v>
      </c>
      <c r="B3150" t="s">
        <v>73</v>
      </c>
      <c r="C3150" t="s">
        <v>180</v>
      </c>
      <c r="D3150" s="14">
        <v>7.1</v>
      </c>
    </row>
    <row r="3151" spans="1:4" x14ac:dyDescent="0.35">
      <c r="A3151" s="13">
        <v>46396</v>
      </c>
      <c r="B3151" t="s">
        <v>73</v>
      </c>
      <c r="C3151" t="s">
        <v>181</v>
      </c>
      <c r="D3151" s="14">
        <v>8.1</v>
      </c>
    </row>
    <row r="3152" spans="1:4" x14ac:dyDescent="0.35">
      <c r="A3152" s="13">
        <v>46396</v>
      </c>
      <c r="B3152" t="s">
        <v>73</v>
      </c>
      <c r="C3152" t="s">
        <v>182</v>
      </c>
      <c r="D3152" s="14">
        <v>10.6</v>
      </c>
    </row>
    <row r="3153" spans="1:4" x14ac:dyDescent="0.35">
      <c r="A3153" s="13">
        <v>46396</v>
      </c>
      <c r="B3153" t="s">
        <v>73</v>
      </c>
      <c r="C3153" t="s">
        <v>183</v>
      </c>
      <c r="D3153" s="14">
        <v>15.8</v>
      </c>
    </row>
    <row r="3154" spans="1:4" x14ac:dyDescent="0.35">
      <c r="A3154" s="13">
        <v>46396</v>
      </c>
      <c r="B3154" t="s">
        <v>73</v>
      </c>
      <c r="C3154" t="s">
        <v>184</v>
      </c>
      <c r="D3154" s="14">
        <v>12.6</v>
      </c>
    </row>
    <row r="3155" spans="1:4" x14ac:dyDescent="0.35">
      <c r="A3155" s="13">
        <v>46396</v>
      </c>
      <c r="B3155" t="s">
        <v>73</v>
      </c>
      <c r="C3155" t="s">
        <v>185</v>
      </c>
      <c r="D3155" s="14">
        <v>7.9</v>
      </c>
    </row>
    <row r="3156" spans="1:4" x14ac:dyDescent="0.35">
      <c r="A3156" s="13">
        <v>46396</v>
      </c>
      <c r="B3156" t="s">
        <v>73</v>
      </c>
      <c r="C3156" t="s">
        <v>186</v>
      </c>
      <c r="D3156" s="14">
        <v>11.5</v>
      </c>
    </row>
    <row r="3157" spans="1:4" x14ac:dyDescent="0.35">
      <c r="A3157" s="13">
        <v>46396</v>
      </c>
      <c r="B3157" t="s">
        <v>73</v>
      </c>
      <c r="C3157" t="s">
        <v>187</v>
      </c>
      <c r="D3157" s="14">
        <v>6.2</v>
      </c>
    </row>
    <row r="3158" spans="1:4" x14ac:dyDescent="0.35">
      <c r="A3158" s="13">
        <v>46396</v>
      </c>
      <c r="B3158" t="s">
        <v>73</v>
      </c>
      <c r="C3158" t="s">
        <v>189</v>
      </c>
      <c r="D3158" s="14">
        <v>8.5</v>
      </c>
    </row>
    <row r="3159" spans="1:4" x14ac:dyDescent="0.35">
      <c r="A3159" s="13">
        <v>46396</v>
      </c>
      <c r="B3159" t="s">
        <v>73</v>
      </c>
      <c r="C3159" t="s">
        <v>190</v>
      </c>
      <c r="D3159" s="14">
        <v>9.9</v>
      </c>
    </row>
    <row r="3160" spans="1:4" x14ac:dyDescent="0.35">
      <c r="A3160" s="13">
        <v>46396</v>
      </c>
      <c r="B3160" t="s">
        <v>73</v>
      </c>
      <c r="C3160" t="s">
        <v>191</v>
      </c>
      <c r="D3160" s="14">
        <v>9.3000000000000007</v>
      </c>
    </row>
    <row r="3161" spans="1:4" x14ac:dyDescent="0.35">
      <c r="A3161" s="13">
        <v>46396</v>
      </c>
      <c r="B3161" t="s">
        <v>73</v>
      </c>
      <c r="C3161" t="s">
        <v>192</v>
      </c>
      <c r="D3161" s="14">
        <v>5.9</v>
      </c>
    </row>
    <row r="3162" spans="1:4" x14ac:dyDescent="0.35">
      <c r="A3162" s="13">
        <v>46396</v>
      </c>
      <c r="B3162" t="s">
        <v>73</v>
      </c>
      <c r="C3162" t="s">
        <v>193</v>
      </c>
      <c r="D3162" s="14">
        <v>11.8</v>
      </c>
    </row>
    <row r="3163" spans="1:4" x14ac:dyDescent="0.35">
      <c r="A3163" s="13">
        <v>46396</v>
      </c>
      <c r="B3163" t="s">
        <v>73</v>
      </c>
      <c r="C3163" t="s">
        <v>194</v>
      </c>
      <c r="D3163" s="14">
        <v>7.6</v>
      </c>
    </row>
    <row r="3164" spans="1:4" x14ac:dyDescent="0.35">
      <c r="A3164" s="13">
        <v>46396</v>
      </c>
      <c r="B3164" t="s">
        <v>73</v>
      </c>
      <c r="C3164" t="s">
        <v>195</v>
      </c>
      <c r="D3164" s="14">
        <v>11.9</v>
      </c>
    </row>
    <row r="3165" spans="1:4" x14ac:dyDescent="0.35">
      <c r="A3165" s="13">
        <v>46396</v>
      </c>
      <c r="B3165" t="s">
        <v>73</v>
      </c>
      <c r="C3165" t="s">
        <v>196</v>
      </c>
      <c r="D3165" s="14">
        <v>6.5</v>
      </c>
    </row>
    <row r="3166" spans="1:4" x14ac:dyDescent="0.35">
      <c r="A3166" s="13">
        <v>46396</v>
      </c>
      <c r="B3166" t="s">
        <v>3</v>
      </c>
      <c r="C3166" t="s">
        <v>197</v>
      </c>
      <c r="D3166" s="14">
        <v>11.1</v>
      </c>
    </row>
    <row r="3167" spans="1:4" x14ac:dyDescent="0.35">
      <c r="A3167" s="13">
        <v>46396</v>
      </c>
      <c r="B3167" t="s">
        <v>3</v>
      </c>
      <c r="C3167" t="s">
        <v>198</v>
      </c>
      <c r="D3167" s="14">
        <v>9.8000000000000007</v>
      </c>
    </row>
    <row r="3168" spans="1:4" x14ac:dyDescent="0.35">
      <c r="A3168" s="13">
        <v>46396</v>
      </c>
      <c r="B3168" t="s">
        <v>3</v>
      </c>
      <c r="C3168" t="s">
        <v>199</v>
      </c>
      <c r="D3168" s="14">
        <v>15.2</v>
      </c>
    </row>
    <row r="3169" spans="1:4" x14ac:dyDescent="0.35">
      <c r="A3169" s="13">
        <v>46396</v>
      </c>
      <c r="B3169" t="s">
        <v>3</v>
      </c>
      <c r="C3169" t="s">
        <v>200</v>
      </c>
      <c r="D3169" s="14">
        <v>11</v>
      </c>
    </row>
    <row r="3170" spans="1:4" x14ac:dyDescent="0.35">
      <c r="A3170" s="13">
        <v>46396</v>
      </c>
      <c r="B3170" t="s">
        <v>3</v>
      </c>
      <c r="C3170" t="s">
        <v>201</v>
      </c>
      <c r="D3170" s="14">
        <v>17.399999999999999</v>
      </c>
    </row>
    <row r="3171" spans="1:4" x14ac:dyDescent="0.35">
      <c r="A3171" s="13">
        <v>46396</v>
      </c>
      <c r="B3171" t="s">
        <v>3</v>
      </c>
      <c r="C3171" t="s">
        <v>202</v>
      </c>
      <c r="D3171" s="14">
        <v>7.1</v>
      </c>
    </row>
    <row r="3172" spans="1:4" x14ac:dyDescent="0.35">
      <c r="A3172" s="13">
        <v>46396</v>
      </c>
      <c r="B3172" t="s">
        <v>3</v>
      </c>
      <c r="C3172" t="s">
        <v>203</v>
      </c>
      <c r="D3172" s="14">
        <v>12</v>
      </c>
    </row>
    <row r="3173" spans="1:4" x14ac:dyDescent="0.35">
      <c r="A3173" s="13">
        <v>46396</v>
      </c>
      <c r="B3173" t="s">
        <v>3</v>
      </c>
      <c r="C3173" t="s">
        <v>204</v>
      </c>
      <c r="D3173" s="14">
        <v>6.8</v>
      </c>
    </row>
    <row r="3174" spans="1:4" x14ac:dyDescent="0.35">
      <c r="A3174" s="13">
        <v>46396</v>
      </c>
      <c r="B3174" t="s">
        <v>3</v>
      </c>
      <c r="C3174" t="s">
        <v>205</v>
      </c>
      <c r="D3174" s="14">
        <v>19.399999999999999</v>
      </c>
    </row>
    <row r="3175" spans="1:4" x14ac:dyDescent="0.35">
      <c r="A3175" s="13">
        <v>46396</v>
      </c>
      <c r="B3175" t="s">
        <v>3</v>
      </c>
      <c r="C3175" t="s">
        <v>206</v>
      </c>
      <c r="D3175" s="14">
        <v>18.3</v>
      </c>
    </row>
    <row r="3176" spans="1:4" x14ac:dyDescent="0.35">
      <c r="A3176" s="13">
        <v>46396</v>
      </c>
      <c r="B3176" t="s">
        <v>3</v>
      </c>
      <c r="C3176" t="s">
        <v>207</v>
      </c>
      <c r="D3176" s="14">
        <v>18.600000000000001</v>
      </c>
    </row>
    <row r="3177" spans="1:4" x14ac:dyDescent="0.35">
      <c r="A3177" s="13">
        <v>46396</v>
      </c>
      <c r="B3177" t="s">
        <v>3</v>
      </c>
      <c r="C3177" t="s">
        <v>208</v>
      </c>
      <c r="D3177" s="14">
        <v>17.899999999999999</v>
      </c>
    </row>
    <row r="3178" spans="1:4" x14ac:dyDescent="0.35">
      <c r="A3178" s="13">
        <v>46396</v>
      </c>
      <c r="B3178" t="s">
        <v>3</v>
      </c>
      <c r="C3178" t="s">
        <v>209</v>
      </c>
      <c r="D3178" s="14">
        <v>17</v>
      </c>
    </row>
    <row r="3179" spans="1:4" x14ac:dyDescent="0.35">
      <c r="A3179" s="13">
        <v>46396</v>
      </c>
      <c r="B3179" t="s">
        <v>3</v>
      </c>
      <c r="C3179" t="s">
        <v>210</v>
      </c>
      <c r="D3179" s="14">
        <v>10.8</v>
      </c>
    </row>
    <row r="3180" spans="1:4" x14ac:dyDescent="0.35">
      <c r="A3180" s="13">
        <v>46396</v>
      </c>
      <c r="B3180" t="s">
        <v>3</v>
      </c>
      <c r="C3180" t="s">
        <v>211</v>
      </c>
      <c r="D3180" s="14">
        <v>11.9</v>
      </c>
    </row>
    <row r="3181" spans="1:4" x14ac:dyDescent="0.35">
      <c r="A3181" s="13">
        <v>46396</v>
      </c>
      <c r="B3181" t="s">
        <v>3</v>
      </c>
      <c r="C3181" t="s">
        <v>212</v>
      </c>
      <c r="D3181" s="14">
        <v>16.7</v>
      </c>
    </row>
    <row r="3182" spans="1:4" x14ac:dyDescent="0.35">
      <c r="A3182" s="13">
        <v>46396</v>
      </c>
      <c r="B3182" t="s">
        <v>3</v>
      </c>
      <c r="C3182" t="s">
        <v>213</v>
      </c>
      <c r="D3182" s="14">
        <v>9.6999999999999993</v>
      </c>
    </row>
    <row r="3183" spans="1:4" x14ac:dyDescent="0.35">
      <c r="A3183" s="13">
        <v>46396</v>
      </c>
      <c r="B3183" t="s">
        <v>3</v>
      </c>
      <c r="C3183" t="s">
        <v>214</v>
      </c>
      <c r="D3183" s="14">
        <v>11.5</v>
      </c>
    </row>
    <row r="3184" spans="1:4" x14ac:dyDescent="0.35">
      <c r="A3184" s="13">
        <v>46396</v>
      </c>
      <c r="B3184" t="s">
        <v>3</v>
      </c>
      <c r="C3184" t="s">
        <v>215</v>
      </c>
      <c r="D3184" s="14">
        <v>8.3000000000000007</v>
      </c>
    </row>
    <row r="3185" spans="1:4" x14ac:dyDescent="0.35">
      <c r="A3185" s="13">
        <v>46396</v>
      </c>
      <c r="B3185" t="s">
        <v>77</v>
      </c>
      <c r="C3185" t="s">
        <v>216</v>
      </c>
      <c r="D3185" s="14">
        <v>10.4</v>
      </c>
    </row>
    <row r="3186" spans="1:4" x14ac:dyDescent="0.35">
      <c r="A3186" s="13">
        <v>46396</v>
      </c>
      <c r="B3186" t="s">
        <v>77</v>
      </c>
      <c r="C3186" t="s">
        <v>217</v>
      </c>
      <c r="D3186" s="14">
        <v>11.8</v>
      </c>
    </row>
    <row r="3187" spans="1:4" x14ac:dyDescent="0.35">
      <c r="A3187" s="13">
        <v>46396</v>
      </c>
      <c r="B3187" t="s">
        <v>77</v>
      </c>
      <c r="C3187" t="s">
        <v>218</v>
      </c>
      <c r="D3187" s="14">
        <v>11.9</v>
      </c>
    </row>
    <row r="3188" spans="1:4" x14ac:dyDescent="0.35">
      <c r="A3188" s="13">
        <v>46396</v>
      </c>
      <c r="B3188" t="s">
        <v>77</v>
      </c>
      <c r="C3188" t="s">
        <v>219</v>
      </c>
      <c r="D3188" s="14">
        <v>6.8</v>
      </c>
    </row>
    <row r="3189" spans="1:4" x14ac:dyDescent="0.35">
      <c r="A3189" s="13">
        <v>46396</v>
      </c>
      <c r="B3189" t="s">
        <v>77</v>
      </c>
      <c r="C3189" t="s">
        <v>220</v>
      </c>
      <c r="D3189" s="14">
        <v>10.3</v>
      </c>
    </row>
    <row r="3190" spans="1:4" x14ac:dyDescent="0.35">
      <c r="A3190" s="13">
        <v>46396</v>
      </c>
      <c r="B3190" t="s">
        <v>77</v>
      </c>
      <c r="C3190" t="s">
        <v>221</v>
      </c>
      <c r="D3190" s="14">
        <v>24.7</v>
      </c>
    </row>
    <row r="3191" spans="1:4" x14ac:dyDescent="0.35">
      <c r="A3191" s="13">
        <v>46396</v>
      </c>
      <c r="B3191" t="s">
        <v>77</v>
      </c>
      <c r="C3191" t="s">
        <v>222</v>
      </c>
      <c r="D3191" s="14">
        <v>11.2</v>
      </c>
    </row>
    <row r="3192" spans="1:4" x14ac:dyDescent="0.35">
      <c r="A3192" s="13">
        <v>46396</v>
      </c>
      <c r="B3192" t="s">
        <v>77</v>
      </c>
      <c r="C3192" t="s">
        <v>223</v>
      </c>
      <c r="D3192" s="14">
        <v>16.2</v>
      </c>
    </row>
    <row r="3193" spans="1:4" x14ac:dyDescent="0.35">
      <c r="A3193" s="13">
        <v>46396</v>
      </c>
      <c r="B3193" t="s">
        <v>77</v>
      </c>
      <c r="C3193" t="s">
        <v>224</v>
      </c>
      <c r="D3193" s="14">
        <v>11.6</v>
      </c>
    </row>
    <row r="3194" spans="1:4" x14ac:dyDescent="0.35">
      <c r="A3194" s="13">
        <v>46396</v>
      </c>
      <c r="B3194" t="s">
        <v>77</v>
      </c>
      <c r="C3194" t="s">
        <v>225</v>
      </c>
      <c r="D3194" s="14">
        <v>9.6</v>
      </c>
    </row>
    <row r="3195" spans="1:4" x14ac:dyDescent="0.35">
      <c r="A3195" s="13">
        <v>46396</v>
      </c>
      <c r="B3195" t="s">
        <v>77</v>
      </c>
      <c r="C3195" t="s">
        <v>226</v>
      </c>
      <c r="D3195" s="14">
        <v>16.100000000000001</v>
      </c>
    </row>
    <row r="3196" spans="1:4" x14ac:dyDescent="0.35">
      <c r="A3196" s="13">
        <v>46396</v>
      </c>
      <c r="B3196" t="s">
        <v>77</v>
      </c>
      <c r="C3196" t="s">
        <v>227</v>
      </c>
      <c r="D3196" s="14">
        <v>12.4</v>
      </c>
    </row>
    <row r="3197" spans="1:4" x14ac:dyDescent="0.35">
      <c r="A3197" s="13">
        <v>46396</v>
      </c>
      <c r="B3197" t="s">
        <v>77</v>
      </c>
      <c r="C3197" t="s">
        <v>228</v>
      </c>
      <c r="D3197" s="14">
        <v>19.3</v>
      </c>
    </row>
    <row r="3198" spans="1:4" x14ac:dyDescent="0.35">
      <c r="A3198" s="13">
        <v>46396</v>
      </c>
      <c r="B3198" t="s">
        <v>77</v>
      </c>
      <c r="C3198" t="s">
        <v>229</v>
      </c>
      <c r="D3198" s="14">
        <v>6.4</v>
      </c>
    </row>
    <row r="3199" spans="1:4" x14ac:dyDescent="0.35">
      <c r="A3199" s="13">
        <v>46396</v>
      </c>
      <c r="B3199" t="s">
        <v>77</v>
      </c>
      <c r="C3199" t="s">
        <v>230</v>
      </c>
      <c r="D3199" s="14">
        <v>7.4</v>
      </c>
    </row>
    <row r="3200" spans="1:4" x14ac:dyDescent="0.35">
      <c r="A3200" s="13">
        <v>46396</v>
      </c>
      <c r="B3200" t="s">
        <v>80</v>
      </c>
      <c r="C3200" t="s">
        <v>231</v>
      </c>
      <c r="D3200" s="14">
        <v>12</v>
      </c>
    </row>
    <row r="3201" spans="1:4" x14ac:dyDescent="0.35">
      <c r="A3201" s="13">
        <v>46396</v>
      </c>
      <c r="B3201" t="s">
        <v>80</v>
      </c>
      <c r="C3201" t="s">
        <v>232</v>
      </c>
      <c r="D3201" s="14">
        <v>18.2</v>
      </c>
    </row>
    <row r="3202" spans="1:4" x14ac:dyDescent="0.35">
      <c r="A3202" s="13">
        <v>46396</v>
      </c>
      <c r="B3202" t="s">
        <v>80</v>
      </c>
      <c r="C3202" t="s">
        <v>233</v>
      </c>
      <c r="D3202" s="14">
        <v>9.4</v>
      </c>
    </row>
    <row r="3203" spans="1:4" x14ac:dyDescent="0.35">
      <c r="A3203" s="13">
        <v>46396</v>
      </c>
      <c r="B3203" t="s">
        <v>80</v>
      </c>
      <c r="C3203" t="s">
        <v>234</v>
      </c>
      <c r="D3203" s="14">
        <v>6.3</v>
      </c>
    </row>
    <row r="3204" spans="1:4" x14ac:dyDescent="0.35">
      <c r="A3204" s="13">
        <v>46396</v>
      </c>
      <c r="B3204" t="s">
        <v>80</v>
      </c>
      <c r="C3204" t="s">
        <v>235</v>
      </c>
      <c r="D3204" s="14">
        <v>14.3</v>
      </c>
    </row>
    <row r="3205" spans="1:4" x14ac:dyDescent="0.35">
      <c r="A3205" s="13">
        <v>46396</v>
      </c>
      <c r="B3205" t="s">
        <v>80</v>
      </c>
      <c r="C3205" t="s">
        <v>236</v>
      </c>
      <c r="D3205" s="14">
        <v>15.7</v>
      </c>
    </row>
    <row r="3206" spans="1:4" x14ac:dyDescent="0.35">
      <c r="A3206" s="13">
        <v>46396</v>
      </c>
      <c r="B3206" t="s">
        <v>80</v>
      </c>
      <c r="C3206" t="s">
        <v>237</v>
      </c>
      <c r="D3206" s="14">
        <v>10.8</v>
      </c>
    </row>
    <row r="3207" spans="1:4" x14ac:dyDescent="0.35">
      <c r="A3207" s="13">
        <v>46396</v>
      </c>
      <c r="B3207" t="s">
        <v>80</v>
      </c>
      <c r="C3207" t="s">
        <v>238</v>
      </c>
      <c r="D3207" s="14">
        <v>14.4</v>
      </c>
    </row>
    <row r="3208" spans="1:4" x14ac:dyDescent="0.35">
      <c r="A3208" s="13">
        <v>46396</v>
      </c>
      <c r="B3208" t="s">
        <v>80</v>
      </c>
      <c r="C3208" t="s">
        <v>239</v>
      </c>
      <c r="D3208" s="14">
        <v>7.2</v>
      </c>
    </row>
    <row r="3209" spans="1:4" x14ac:dyDescent="0.35">
      <c r="A3209" s="13">
        <v>46396</v>
      </c>
      <c r="B3209" t="s">
        <v>80</v>
      </c>
      <c r="C3209" t="s">
        <v>240</v>
      </c>
      <c r="D3209" s="14">
        <v>15.9</v>
      </c>
    </row>
    <row r="3210" spans="1:4" x14ac:dyDescent="0.35">
      <c r="A3210" s="13">
        <v>46396</v>
      </c>
      <c r="B3210" t="s">
        <v>80</v>
      </c>
      <c r="C3210" t="s">
        <v>241</v>
      </c>
      <c r="D3210" s="14">
        <v>10.1</v>
      </c>
    </row>
    <row r="3211" spans="1:4" x14ac:dyDescent="0.35">
      <c r="A3211" s="13">
        <v>46396</v>
      </c>
      <c r="B3211" t="s">
        <v>80</v>
      </c>
      <c r="C3211" t="s">
        <v>242</v>
      </c>
      <c r="D3211" s="14">
        <v>22.9</v>
      </c>
    </row>
    <row r="3212" spans="1:4" x14ac:dyDescent="0.35">
      <c r="A3212" s="13">
        <v>46396</v>
      </c>
      <c r="B3212" t="s">
        <v>80</v>
      </c>
      <c r="C3212" t="s">
        <v>243</v>
      </c>
      <c r="D3212" s="14">
        <v>18.2</v>
      </c>
    </row>
    <row r="3213" spans="1:4" x14ac:dyDescent="0.35">
      <c r="A3213" s="13">
        <v>46396</v>
      </c>
      <c r="B3213" t="s">
        <v>80</v>
      </c>
      <c r="C3213" t="s">
        <v>244</v>
      </c>
      <c r="D3213" s="14">
        <v>12.6</v>
      </c>
    </row>
    <row r="3214" spans="1:4" x14ac:dyDescent="0.35">
      <c r="A3214" s="13">
        <v>46396</v>
      </c>
      <c r="B3214" t="s">
        <v>80</v>
      </c>
      <c r="C3214" t="s">
        <v>245</v>
      </c>
      <c r="D3214" s="14">
        <v>12</v>
      </c>
    </row>
    <row r="3215" spans="1:4" x14ac:dyDescent="0.35">
      <c r="A3215" s="13">
        <v>46396</v>
      </c>
      <c r="B3215" t="s">
        <v>80</v>
      </c>
      <c r="C3215" t="s">
        <v>246</v>
      </c>
      <c r="D3215" s="14">
        <v>12.5</v>
      </c>
    </row>
    <row r="3216" spans="1:4" x14ac:dyDescent="0.35">
      <c r="A3216" s="13">
        <v>46396</v>
      </c>
      <c r="B3216" t="s">
        <v>80</v>
      </c>
      <c r="C3216" t="s">
        <v>247</v>
      </c>
      <c r="D3216" s="14">
        <v>22</v>
      </c>
    </row>
    <row r="3217" spans="1:4" x14ac:dyDescent="0.35">
      <c r="A3217" s="13">
        <v>46396</v>
      </c>
      <c r="B3217" t="s">
        <v>82</v>
      </c>
      <c r="C3217" t="s">
        <v>248</v>
      </c>
      <c r="D3217" s="14">
        <v>17.600000000000001</v>
      </c>
    </row>
    <row r="3218" spans="1:4" x14ac:dyDescent="0.35">
      <c r="A3218" s="13">
        <v>46396</v>
      </c>
      <c r="B3218" t="s">
        <v>82</v>
      </c>
      <c r="C3218" t="s">
        <v>249</v>
      </c>
      <c r="D3218" s="14">
        <v>7.8</v>
      </c>
    </row>
    <row r="3219" spans="1:4" x14ac:dyDescent="0.35">
      <c r="A3219" s="13">
        <v>46396</v>
      </c>
      <c r="B3219" t="s">
        <v>82</v>
      </c>
      <c r="C3219" t="s">
        <v>250</v>
      </c>
      <c r="D3219" s="14">
        <v>12.5</v>
      </c>
    </row>
    <row r="3220" spans="1:4" x14ac:dyDescent="0.35">
      <c r="A3220" s="13">
        <v>46396</v>
      </c>
      <c r="B3220" t="s">
        <v>82</v>
      </c>
      <c r="C3220" t="s">
        <v>251</v>
      </c>
      <c r="D3220" s="14">
        <v>8.6999999999999993</v>
      </c>
    </row>
    <row r="3221" spans="1:4" x14ac:dyDescent="0.35">
      <c r="A3221" s="13">
        <v>46396</v>
      </c>
      <c r="B3221" t="s">
        <v>82</v>
      </c>
      <c r="C3221" t="s">
        <v>252</v>
      </c>
      <c r="D3221" s="14">
        <v>7.9</v>
      </c>
    </row>
    <row r="3222" spans="1:4" x14ac:dyDescent="0.35">
      <c r="A3222" s="13">
        <v>46396</v>
      </c>
      <c r="B3222" t="s">
        <v>82</v>
      </c>
      <c r="C3222" t="s">
        <v>253</v>
      </c>
      <c r="D3222" s="14">
        <v>13.2</v>
      </c>
    </row>
    <row r="3223" spans="1:4" x14ac:dyDescent="0.35">
      <c r="A3223" s="13">
        <v>46396</v>
      </c>
      <c r="B3223" t="s">
        <v>82</v>
      </c>
      <c r="C3223" t="s">
        <v>254</v>
      </c>
      <c r="D3223" s="14">
        <v>6.5</v>
      </c>
    </row>
    <row r="3224" spans="1:4" x14ac:dyDescent="0.35">
      <c r="A3224" s="13">
        <v>46396</v>
      </c>
      <c r="B3224" t="s">
        <v>82</v>
      </c>
      <c r="C3224" t="s">
        <v>255</v>
      </c>
      <c r="D3224" s="14">
        <v>8</v>
      </c>
    </row>
    <row r="3225" spans="1:4" x14ac:dyDescent="0.35">
      <c r="A3225" s="13">
        <v>46396</v>
      </c>
      <c r="B3225" t="s">
        <v>82</v>
      </c>
      <c r="C3225" t="s">
        <v>256</v>
      </c>
      <c r="D3225" s="14">
        <v>14.2</v>
      </c>
    </row>
    <row r="3226" spans="1:4" x14ac:dyDescent="0.35">
      <c r="A3226" s="13">
        <v>46396</v>
      </c>
      <c r="B3226" t="s">
        <v>82</v>
      </c>
      <c r="C3226" t="s">
        <v>257</v>
      </c>
      <c r="D3226" s="14">
        <v>12.8</v>
      </c>
    </row>
    <row r="3227" spans="1:4" x14ac:dyDescent="0.35">
      <c r="A3227" s="13">
        <v>46396</v>
      </c>
      <c r="B3227" t="s">
        <v>82</v>
      </c>
      <c r="C3227" t="s">
        <v>258</v>
      </c>
      <c r="D3227" s="14">
        <v>18.2</v>
      </c>
    </row>
    <row r="3228" spans="1:4" x14ac:dyDescent="0.35">
      <c r="A3228" s="13">
        <v>46396</v>
      </c>
      <c r="B3228" t="s">
        <v>82</v>
      </c>
      <c r="C3228" t="s">
        <v>259</v>
      </c>
      <c r="D3228" s="14">
        <v>8.6</v>
      </c>
    </row>
    <row r="3229" spans="1:4" x14ac:dyDescent="0.35">
      <c r="A3229" s="13">
        <v>46396</v>
      </c>
      <c r="B3229" t="s">
        <v>82</v>
      </c>
      <c r="C3229" t="s">
        <v>260</v>
      </c>
      <c r="D3229" s="14">
        <v>8.6999999999999993</v>
      </c>
    </row>
    <row r="3230" spans="1:4" x14ac:dyDescent="0.35">
      <c r="A3230" s="13">
        <v>46396</v>
      </c>
      <c r="B3230" t="s">
        <v>82</v>
      </c>
      <c r="C3230" t="s">
        <v>261</v>
      </c>
      <c r="D3230" s="14">
        <v>12.6</v>
      </c>
    </row>
    <row r="3231" spans="1:4" x14ac:dyDescent="0.35">
      <c r="A3231" s="13">
        <v>46396</v>
      </c>
      <c r="B3231" t="s">
        <v>82</v>
      </c>
      <c r="C3231" t="s">
        <v>262</v>
      </c>
      <c r="D3231" s="14">
        <v>17.2</v>
      </c>
    </row>
    <row r="3232" spans="1:4" x14ac:dyDescent="0.35">
      <c r="A3232" s="13">
        <v>46396</v>
      </c>
      <c r="B3232" t="s">
        <v>82</v>
      </c>
      <c r="C3232" t="s">
        <v>263</v>
      </c>
      <c r="D3232" s="14">
        <v>7.6</v>
      </c>
    </row>
    <row r="3233" spans="1:4" x14ac:dyDescent="0.35">
      <c r="A3233" s="13">
        <v>46396</v>
      </c>
      <c r="B3233" t="s">
        <v>82</v>
      </c>
      <c r="C3233" t="s">
        <v>264</v>
      </c>
      <c r="D3233" s="14">
        <v>19.2</v>
      </c>
    </row>
    <row r="3234" spans="1:4" x14ac:dyDescent="0.35">
      <c r="A3234" s="13">
        <v>46396</v>
      </c>
      <c r="B3234" t="s">
        <v>82</v>
      </c>
      <c r="C3234" t="s">
        <v>265</v>
      </c>
      <c r="D3234" s="14">
        <v>13.1</v>
      </c>
    </row>
    <row r="3235" spans="1:4" x14ac:dyDescent="0.35">
      <c r="A3235" s="13">
        <v>46396</v>
      </c>
      <c r="B3235" t="s">
        <v>85</v>
      </c>
      <c r="C3235" t="s">
        <v>266</v>
      </c>
      <c r="D3235" s="14">
        <v>8.6999999999999993</v>
      </c>
    </row>
    <row r="3236" spans="1:4" x14ac:dyDescent="0.35">
      <c r="A3236" s="13">
        <v>46396</v>
      </c>
      <c r="B3236" t="s">
        <v>85</v>
      </c>
      <c r="C3236" t="s">
        <v>267</v>
      </c>
      <c r="D3236" s="14">
        <v>5.4</v>
      </c>
    </row>
    <row r="3237" spans="1:4" x14ac:dyDescent="0.35">
      <c r="A3237" s="13">
        <v>46396</v>
      </c>
      <c r="B3237" t="s">
        <v>85</v>
      </c>
      <c r="C3237" t="s">
        <v>268</v>
      </c>
      <c r="D3237" s="14">
        <v>17.100000000000001</v>
      </c>
    </row>
    <row r="3238" spans="1:4" x14ac:dyDescent="0.35">
      <c r="A3238" s="13">
        <v>46396</v>
      </c>
      <c r="B3238" t="s">
        <v>85</v>
      </c>
      <c r="C3238" t="s">
        <v>269</v>
      </c>
      <c r="D3238" s="14">
        <v>17.3</v>
      </c>
    </row>
    <row r="3239" spans="1:4" x14ac:dyDescent="0.35">
      <c r="A3239" s="13">
        <v>46396</v>
      </c>
      <c r="B3239" t="s">
        <v>85</v>
      </c>
      <c r="C3239" t="s">
        <v>270</v>
      </c>
      <c r="D3239" s="14">
        <v>14.3</v>
      </c>
    </row>
    <row r="3240" spans="1:4" x14ac:dyDescent="0.35">
      <c r="A3240" s="13">
        <v>46396</v>
      </c>
      <c r="B3240" t="s">
        <v>85</v>
      </c>
      <c r="C3240" t="s">
        <v>271</v>
      </c>
      <c r="D3240" s="14">
        <v>10.5</v>
      </c>
    </row>
    <row r="3241" spans="1:4" x14ac:dyDescent="0.35">
      <c r="A3241" s="13">
        <v>46396</v>
      </c>
      <c r="B3241" t="s">
        <v>85</v>
      </c>
      <c r="C3241" t="s">
        <v>272</v>
      </c>
      <c r="D3241" s="14">
        <v>14.5</v>
      </c>
    </row>
    <row r="3242" spans="1:4" x14ac:dyDescent="0.35">
      <c r="A3242" s="13">
        <v>46396</v>
      </c>
      <c r="B3242" t="s">
        <v>85</v>
      </c>
      <c r="C3242" t="s">
        <v>273</v>
      </c>
      <c r="D3242" s="14">
        <v>7.2</v>
      </c>
    </row>
    <row r="3243" spans="1:4" x14ac:dyDescent="0.35">
      <c r="A3243" s="13">
        <v>46396</v>
      </c>
      <c r="B3243" t="s">
        <v>85</v>
      </c>
      <c r="C3243" t="s">
        <v>274</v>
      </c>
      <c r="D3243" s="14">
        <v>6.8</v>
      </c>
    </row>
    <row r="3244" spans="1:4" x14ac:dyDescent="0.35">
      <c r="A3244" s="13">
        <v>46396</v>
      </c>
      <c r="B3244" t="s">
        <v>85</v>
      </c>
      <c r="C3244" t="s">
        <v>275</v>
      </c>
      <c r="D3244" s="14">
        <v>13.2</v>
      </c>
    </row>
    <row r="3245" spans="1:4" x14ac:dyDescent="0.35">
      <c r="A3245" s="13">
        <v>46396</v>
      </c>
      <c r="B3245" t="s">
        <v>85</v>
      </c>
      <c r="C3245" t="s">
        <v>276</v>
      </c>
      <c r="D3245" s="14">
        <v>8.9</v>
      </c>
    </row>
    <row r="3246" spans="1:4" x14ac:dyDescent="0.35">
      <c r="A3246" s="13">
        <v>46396</v>
      </c>
      <c r="B3246" t="s">
        <v>85</v>
      </c>
      <c r="C3246" t="s">
        <v>277</v>
      </c>
      <c r="D3246" s="14">
        <v>10.9</v>
      </c>
    </row>
    <row r="3247" spans="1:4" x14ac:dyDescent="0.35">
      <c r="A3247" s="13">
        <v>46396</v>
      </c>
      <c r="B3247" t="s">
        <v>85</v>
      </c>
      <c r="C3247" t="s">
        <v>278</v>
      </c>
      <c r="D3247" s="14">
        <v>12.9</v>
      </c>
    </row>
    <row r="3248" spans="1:4" x14ac:dyDescent="0.35">
      <c r="A3248" s="13">
        <v>46396</v>
      </c>
      <c r="B3248" t="s">
        <v>85</v>
      </c>
      <c r="C3248" t="s">
        <v>279</v>
      </c>
      <c r="D3248" s="14">
        <v>8.6999999999999993</v>
      </c>
    </row>
    <row r="3249" spans="1:4" x14ac:dyDescent="0.35">
      <c r="A3249" s="13">
        <v>46396</v>
      </c>
      <c r="B3249" t="s">
        <v>85</v>
      </c>
      <c r="C3249" t="s">
        <v>280</v>
      </c>
      <c r="D3249" s="14">
        <v>11.6</v>
      </c>
    </row>
    <row r="3250" spans="1:4" x14ac:dyDescent="0.35">
      <c r="A3250" s="13">
        <v>46396</v>
      </c>
      <c r="B3250" t="s">
        <v>85</v>
      </c>
      <c r="C3250" t="s">
        <v>281</v>
      </c>
      <c r="D3250" s="14">
        <v>9.5</v>
      </c>
    </row>
    <row r="3251" spans="1:4" x14ac:dyDescent="0.35">
      <c r="A3251" s="13">
        <v>46396</v>
      </c>
      <c r="B3251" t="s">
        <v>87</v>
      </c>
      <c r="C3251" t="s">
        <v>282</v>
      </c>
      <c r="D3251" s="14">
        <v>6.2</v>
      </c>
    </row>
    <row r="3252" spans="1:4" x14ac:dyDescent="0.35">
      <c r="A3252" s="13">
        <v>46396</v>
      </c>
      <c r="B3252" t="s">
        <v>87</v>
      </c>
      <c r="C3252" t="s">
        <v>283</v>
      </c>
      <c r="D3252" s="14">
        <v>11.8</v>
      </c>
    </row>
    <row r="3253" spans="1:4" x14ac:dyDescent="0.35">
      <c r="A3253" s="13">
        <v>46396</v>
      </c>
      <c r="B3253" t="s">
        <v>87</v>
      </c>
      <c r="C3253" t="s">
        <v>284</v>
      </c>
      <c r="D3253" s="14">
        <v>10.1</v>
      </c>
    </row>
    <row r="3254" spans="1:4" x14ac:dyDescent="0.35">
      <c r="A3254" s="13">
        <v>46396</v>
      </c>
      <c r="B3254" t="s">
        <v>87</v>
      </c>
      <c r="C3254" t="s">
        <v>285</v>
      </c>
      <c r="D3254" s="14">
        <v>14.6</v>
      </c>
    </row>
    <row r="3255" spans="1:4" x14ac:dyDescent="0.35">
      <c r="A3255" s="13">
        <v>46396</v>
      </c>
      <c r="B3255" t="s">
        <v>87</v>
      </c>
      <c r="C3255" t="s">
        <v>286</v>
      </c>
      <c r="D3255" s="14">
        <v>10.5</v>
      </c>
    </row>
    <row r="3256" spans="1:4" x14ac:dyDescent="0.35">
      <c r="A3256" s="13">
        <v>46396</v>
      </c>
      <c r="B3256" t="s">
        <v>87</v>
      </c>
      <c r="C3256" t="s">
        <v>287</v>
      </c>
      <c r="D3256" s="14">
        <v>13.5</v>
      </c>
    </row>
    <row r="3257" spans="1:4" x14ac:dyDescent="0.35">
      <c r="A3257" s="13">
        <v>46396</v>
      </c>
      <c r="B3257" t="s">
        <v>87</v>
      </c>
      <c r="C3257" t="s">
        <v>288</v>
      </c>
      <c r="D3257" s="14">
        <v>8.6</v>
      </c>
    </row>
    <row r="3258" spans="1:4" x14ac:dyDescent="0.35">
      <c r="A3258" s="13">
        <v>46396</v>
      </c>
      <c r="B3258" t="s">
        <v>87</v>
      </c>
      <c r="C3258" t="s">
        <v>289</v>
      </c>
      <c r="D3258" s="14">
        <v>9.3000000000000007</v>
      </c>
    </row>
    <row r="3259" spans="1:4" x14ac:dyDescent="0.35">
      <c r="A3259" s="13">
        <v>46396</v>
      </c>
      <c r="B3259" t="s">
        <v>87</v>
      </c>
      <c r="C3259" t="s">
        <v>290</v>
      </c>
      <c r="D3259" s="14">
        <v>14</v>
      </c>
    </row>
    <row r="3260" spans="1:4" x14ac:dyDescent="0.35">
      <c r="A3260" s="13">
        <v>46396</v>
      </c>
      <c r="B3260" t="s">
        <v>87</v>
      </c>
      <c r="C3260" t="s">
        <v>291</v>
      </c>
      <c r="D3260" s="14">
        <v>10.8</v>
      </c>
    </row>
    <row r="3261" spans="1:4" x14ac:dyDescent="0.35">
      <c r="A3261" s="13">
        <v>46396</v>
      </c>
      <c r="B3261" t="s">
        <v>87</v>
      </c>
      <c r="C3261" t="s">
        <v>292</v>
      </c>
      <c r="D3261" s="14">
        <v>9</v>
      </c>
    </row>
    <row r="3262" spans="1:4" x14ac:dyDescent="0.35">
      <c r="A3262" s="13">
        <v>46396</v>
      </c>
      <c r="B3262" t="s">
        <v>87</v>
      </c>
      <c r="C3262" t="s">
        <v>293</v>
      </c>
      <c r="D3262" s="14">
        <v>8.4</v>
      </c>
    </row>
    <row r="3263" spans="1:4" x14ac:dyDescent="0.35">
      <c r="A3263" s="13">
        <v>46396</v>
      </c>
      <c r="B3263" t="s">
        <v>87</v>
      </c>
      <c r="C3263" t="s">
        <v>294</v>
      </c>
      <c r="D3263" s="14">
        <v>8.3000000000000007</v>
      </c>
    </row>
    <row r="3264" spans="1:4" x14ac:dyDescent="0.35">
      <c r="A3264" s="13">
        <v>46396</v>
      </c>
      <c r="B3264" t="s">
        <v>87</v>
      </c>
      <c r="C3264" t="s">
        <v>295</v>
      </c>
      <c r="D3264" s="14">
        <v>10.3</v>
      </c>
    </row>
    <row r="3265" spans="1:4" x14ac:dyDescent="0.35">
      <c r="A3265" s="13">
        <v>46396</v>
      </c>
      <c r="B3265" t="s">
        <v>87</v>
      </c>
      <c r="C3265" t="s">
        <v>296</v>
      </c>
      <c r="D3265" s="14">
        <v>15.5</v>
      </c>
    </row>
    <row r="3266" spans="1:4" x14ac:dyDescent="0.35">
      <c r="A3266" s="13">
        <v>46396</v>
      </c>
      <c r="B3266" t="s">
        <v>87</v>
      </c>
      <c r="C3266" t="s">
        <v>297</v>
      </c>
      <c r="D3266" s="14">
        <v>11.3</v>
      </c>
    </row>
    <row r="3267" spans="1:4" x14ac:dyDescent="0.35">
      <c r="A3267" s="13">
        <v>46396</v>
      </c>
      <c r="B3267" t="s">
        <v>77</v>
      </c>
      <c r="C3267" t="s">
        <v>298</v>
      </c>
      <c r="D3267" s="14">
        <v>11.6</v>
      </c>
    </row>
    <row r="3268" spans="1:4" x14ac:dyDescent="0.35">
      <c r="A3268" s="13">
        <v>46396</v>
      </c>
      <c r="B3268" t="s">
        <v>85</v>
      </c>
      <c r="C3268" t="s">
        <v>299</v>
      </c>
      <c r="D3268" s="14">
        <v>11.3</v>
      </c>
    </row>
    <row r="3269" spans="1:4" x14ac:dyDescent="0.35">
      <c r="A3269" s="13">
        <v>46403</v>
      </c>
      <c r="B3269" t="s">
        <v>70</v>
      </c>
      <c r="C3269" t="s">
        <v>155</v>
      </c>
      <c r="D3269" s="14">
        <v>20.100000000000001</v>
      </c>
    </row>
    <row r="3270" spans="1:4" x14ac:dyDescent="0.35">
      <c r="A3270" s="13">
        <v>46403</v>
      </c>
      <c r="B3270" t="s">
        <v>70</v>
      </c>
      <c r="C3270" t="s">
        <v>158</v>
      </c>
      <c r="D3270" s="14">
        <v>17.399999999999999</v>
      </c>
    </row>
    <row r="3271" spans="1:4" x14ac:dyDescent="0.35">
      <c r="A3271" s="13">
        <v>46403</v>
      </c>
      <c r="B3271" t="s">
        <v>70</v>
      </c>
      <c r="C3271" t="s">
        <v>159</v>
      </c>
      <c r="D3271" s="14">
        <v>13.2</v>
      </c>
    </row>
    <row r="3272" spans="1:4" x14ac:dyDescent="0.35">
      <c r="A3272" s="13">
        <v>46403</v>
      </c>
      <c r="B3272" t="s">
        <v>70</v>
      </c>
      <c r="C3272" t="s">
        <v>162</v>
      </c>
      <c r="D3272" s="14">
        <v>19</v>
      </c>
    </row>
    <row r="3273" spans="1:4" x14ac:dyDescent="0.35">
      <c r="A3273" s="13">
        <v>46403</v>
      </c>
      <c r="B3273" t="s">
        <v>70</v>
      </c>
      <c r="C3273" t="s">
        <v>164</v>
      </c>
      <c r="D3273" s="14">
        <v>8.3000000000000007</v>
      </c>
    </row>
    <row r="3274" spans="1:4" x14ac:dyDescent="0.35">
      <c r="A3274" s="13">
        <v>46403</v>
      </c>
      <c r="B3274" t="s">
        <v>70</v>
      </c>
      <c r="C3274" t="s">
        <v>167</v>
      </c>
      <c r="D3274" s="14">
        <v>10.7</v>
      </c>
    </row>
    <row r="3275" spans="1:4" x14ac:dyDescent="0.35">
      <c r="A3275" s="13">
        <v>46403</v>
      </c>
      <c r="B3275" t="s">
        <v>70</v>
      </c>
      <c r="C3275" t="s">
        <v>169</v>
      </c>
      <c r="D3275" s="14">
        <v>8</v>
      </c>
    </row>
    <row r="3276" spans="1:4" x14ac:dyDescent="0.35">
      <c r="A3276" s="13">
        <v>46403</v>
      </c>
      <c r="B3276" t="s">
        <v>70</v>
      </c>
      <c r="C3276" t="s">
        <v>170</v>
      </c>
      <c r="D3276" s="14">
        <v>15.7</v>
      </c>
    </row>
    <row r="3277" spans="1:4" x14ac:dyDescent="0.35">
      <c r="A3277" s="13">
        <v>46403</v>
      </c>
      <c r="B3277" t="s">
        <v>70</v>
      </c>
      <c r="C3277" t="s">
        <v>171</v>
      </c>
      <c r="D3277" s="14">
        <v>12.5</v>
      </c>
    </row>
    <row r="3278" spans="1:4" x14ac:dyDescent="0.35">
      <c r="A3278" s="13">
        <v>46403</v>
      </c>
      <c r="B3278" t="s">
        <v>70</v>
      </c>
      <c r="C3278" t="s">
        <v>172</v>
      </c>
      <c r="D3278" s="14">
        <v>8.1</v>
      </c>
    </row>
    <row r="3279" spans="1:4" x14ac:dyDescent="0.35">
      <c r="A3279" s="13">
        <v>46403</v>
      </c>
      <c r="B3279" t="s">
        <v>70</v>
      </c>
      <c r="C3279" t="s">
        <v>173</v>
      </c>
      <c r="D3279" s="14">
        <v>14.7</v>
      </c>
    </row>
    <row r="3280" spans="1:4" x14ac:dyDescent="0.35">
      <c r="A3280" s="13">
        <v>46403</v>
      </c>
      <c r="B3280" t="s">
        <v>70</v>
      </c>
      <c r="C3280" t="s">
        <v>174</v>
      </c>
      <c r="D3280" s="14">
        <v>17.899999999999999</v>
      </c>
    </row>
    <row r="3281" spans="1:4" x14ac:dyDescent="0.35">
      <c r="A3281" s="13">
        <v>46403</v>
      </c>
      <c r="B3281" t="s">
        <v>70</v>
      </c>
      <c r="C3281" t="s">
        <v>175</v>
      </c>
      <c r="D3281" s="14">
        <v>12.3</v>
      </c>
    </row>
    <row r="3282" spans="1:4" x14ac:dyDescent="0.35">
      <c r="A3282" s="13">
        <v>46403</v>
      </c>
      <c r="B3282" t="s">
        <v>70</v>
      </c>
      <c r="C3282" t="s">
        <v>176</v>
      </c>
      <c r="D3282" s="14">
        <v>9.6</v>
      </c>
    </row>
    <row r="3283" spans="1:4" x14ac:dyDescent="0.35">
      <c r="A3283" s="13">
        <v>46403</v>
      </c>
      <c r="B3283" t="s">
        <v>73</v>
      </c>
      <c r="C3283" t="s">
        <v>177</v>
      </c>
      <c r="D3283" s="14">
        <v>10</v>
      </c>
    </row>
    <row r="3284" spans="1:4" x14ac:dyDescent="0.35">
      <c r="A3284" s="13">
        <v>46403</v>
      </c>
      <c r="B3284" t="s">
        <v>73</v>
      </c>
      <c r="C3284" t="s">
        <v>178</v>
      </c>
      <c r="D3284" s="14">
        <v>8.6</v>
      </c>
    </row>
    <row r="3285" spans="1:4" x14ac:dyDescent="0.35">
      <c r="A3285" s="13">
        <v>46403</v>
      </c>
      <c r="B3285" t="s">
        <v>73</v>
      </c>
      <c r="C3285" t="s">
        <v>179</v>
      </c>
      <c r="D3285" s="14">
        <v>12.8</v>
      </c>
    </row>
    <row r="3286" spans="1:4" x14ac:dyDescent="0.35">
      <c r="A3286" s="13">
        <v>46403</v>
      </c>
      <c r="B3286" t="s">
        <v>73</v>
      </c>
      <c r="C3286" t="s">
        <v>180</v>
      </c>
      <c r="D3286" s="14">
        <v>7.2</v>
      </c>
    </row>
    <row r="3287" spans="1:4" x14ac:dyDescent="0.35">
      <c r="A3287" s="13">
        <v>46403</v>
      </c>
      <c r="B3287" t="s">
        <v>73</v>
      </c>
      <c r="C3287" t="s">
        <v>181</v>
      </c>
      <c r="D3287" s="14">
        <v>8.1999999999999993</v>
      </c>
    </row>
    <row r="3288" spans="1:4" x14ac:dyDescent="0.35">
      <c r="A3288" s="13">
        <v>46403</v>
      </c>
      <c r="B3288" t="s">
        <v>73</v>
      </c>
      <c r="C3288" t="s">
        <v>182</v>
      </c>
      <c r="D3288" s="14">
        <v>10.7</v>
      </c>
    </row>
    <row r="3289" spans="1:4" x14ac:dyDescent="0.35">
      <c r="A3289" s="13">
        <v>46403</v>
      </c>
      <c r="B3289" t="s">
        <v>73</v>
      </c>
      <c r="C3289" t="s">
        <v>183</v>
      </c>
      <c r="D3289" s="14">
        <v>16</v>
      </c>
    </row>
    <row r="3290" spans="1:4" x14ac:dyDescent="0.35">
      <c r="A3290" s="13">
        <v>46403</v>
      </c>
      <c r="B3290" t="s">
        <v>73</v>
      </c>
      <c r="C3290" t="s">
        <v>184</v>
      </c>
      <c r="D3290" s="14">
        <v>12.8</v>
      </c>
    </row>
    <row r="3291" spans="1:4" x14ac:dyDescent="0.35">
      <c r="A3291" s="13">
        <v>46403</v>
      </c>
      <c r="B3291" t="s">
        <v>73</v>
      </c>
      <c r="C3291" t="s">
        <v>185</v>
      </c>
      <c r="D3291" s="14">
        <v>8</v>
      </c>
    </row>
    <row r="3292" spans="1:4" x14ac:dyDescent="0.35">
      <c r="A3292" s="13">
        <v>46403</v>
      </c>
      <c r="B3292" t="s">
        <v>73</v>
      </c>
      <c r="C3292" t="s">
        <v>186</v>
      </c>
      <c r="D3292" s="14">
        <v>11.6</v>
      </c>
    </row>
    <row r="3293" spans="1:4" x14ac:dyDescent="0.35">
      <c r="A3293" s="13">
        <v>46403</v>
      </c>
      <c r="B3293" t="s">
        <v>73</v>
      </c>
      <c r="C3293" t="s">
        <v>187</v>
      </c>
      <c r="D3293" s="14">
        <v>6.3</v>
      </c>
    </row>
    <row r="3294" spans="1:4" x14ac:dyDescent="0.35">
      <c r="A3294" s="13">
        <v>46403</v>
      </c>
      <c r="B3294" t="s">
        <v>73</v>
      </c>
      <c r="C3294" t="s">
        <v>189</v>
      </c>
      <c r="D3294" s="14">
        <v>8.6</v>
      </c>
    </row>
    <row r="3295" spans="1:4" x14ac:dyDescent="0.35">
      <c r="A3295" s="13">
        <v>46403</v>
      </c>
      <c r="B3295" t="s">
        <v>73</v>
      </c>
      <c r="C3295" t="s">
        <v>190</v>
      </c>
      <c r="D3295" s="14">
        <v>10</v>
      </c>
    </row>
    <row r="3296" spans="1:4" x14ac:dyDescent="0.35">
      <c r="A3296" s="13">
        <v>46403</v>
      </c>
      <c r="B3296" t="s">
        <v>73</v>
      </c>
      <c r="C3296" t="s">
        <v>191</v>
      </c>
      <c r="D3296" s="14">
        <v>9.5</v>
      </c>
    </row>
    <row r="3297" spans="1:4" x14ac:dyDescent="0.35">
      <c r="A3297" s="13">
        <v>46403</v>
      </c>
      <c r="B3297" t="s">
        <v>73</v>
      </c>
      <c r="C3297" t="s">
        <v>192</v>
      </c>
      <c r="D3297" s="14">
        <v>6</v>
      </c>
    </row>
    <row r="3298" spans="1:4" x14ac:dyDescent="0.35">
      <c r="A3298" s="13">
        <v>46403</v>
      </c>
      <c r="B3298" t="s">
        <v>73</v>
      </c>
      <c r="C3298" t="s">
        <v>193</v>
      </c>
      <c r="D3298" s="14">
        <v>12</v>
      </c>
    </row>
    <row r="3299" spans="1:4" x14ac:dyDescent="0.35">
      <c r="A3299" s="13">
        <v>46403</v>
      </c>
      <c r="B3299" t="s">
        <v>73</v>
      </c>
      <c r="C3299" t="s">
        <v>194</v>
      </c>
      <c r="D3299" s="14">
        <v>7.7</v>
      </c>
    </row>
    <row r="3300" spans="1:4" x14ac:dyDescent="0.35">
      <c r="A3300" s="13">
        <v>46403</v>
      </c>
      <c r="B3300" t="s">
        <v>73</v>
      </c>
      <c r="C3300" t="s">
        <v>195</v>
      </c>
      <c r="D3300" s="14">
        <v>12.1</v>
      </c>
    </row>
    <row r="3301" spans="1:4" x14ac:dyDescent="0.35">
      <c r="A3301" s="13">
        <v>46403</v>
      </c>
      <c r="B3301" t="s">
        <v>73</v>
      </c>
      <c r="C3301" t="s">
        <v>196</v>
      </c>
      <c r="D3301" s="14">
        <v>6.6</v>
      </c>
    </row>
    <row r="3302" spans="1:4" x14ac:dyDescent="0.35">
      <c r="A3302" s="13">
        <v>46403</v>
      </c>
      <c r="B3302" t="s">
        <v>3</v>
      </c>
      <c r="C3302" t="s">
        <v>197</v>
      </c>
      <c r="D3302" s="14">
        <v>11.1</v>
      </c>
    </row>
    <row r="3303" spans="1:4" x14ac:dyDescent="0.35">
      <c r="A3303" s="13">
        <v>46403</v>
      </c>
      <c r="B3303" t="s">
        <v>3</v>
      </c>
      <c r="C3303" t="s">
        <v>198</v>
      </c>
      <c r="D3303" s="14">
        <v>9.8000000000000007</v>
      </c>
    </row>
    <row r="3304" spans="1:4" x14ac:dyDescent="0.35">
      <c r="A3304" s="13">
        <v>46403</v>
      </c>
      <c r="B3304" t="s">
        <v>3</v>
      </c>
      <c r="C3304" t="s">
        <v>199</v>
      </c>
      <c r="D3304" s="14">
        <v>15.2</v>
      </c>
    </row>
    <row r="3305" spans="1:4" x14ac:dyDescent="0.35">
      <c r="A3305" s="13">
        <v>46403</v>
      </c>
      <c r="B3305" t="s">
        <v>3</v>
      </c>
      <c r="C3305" t="s">
        <v>200</v>
      </c>
      <c r="D3305" s="14">
        <v>11</v>
      </c>
    </row>
    <row r="3306" spans="1:4" x14ac:dyDescent="0.35">
      <c r="A3306" s="13">
        <v>46403</v>
      </c>
      <c r="B3306" t="s">
        <v>3</v>
      </c>
      <c r="C3306" t="s">
        <v>201</v>
      </c>
      <c r="D3306" s="14">
        <v>17.399999999999999</v>
      </c>
    </row>
    <row r="3307" spans="1:4" x14ac:dyDescent="0.35">
      <c r="A3307" s="13">
        <v>46403</v>
      </c>
      <c r="B3307" t="s">
        <v>3</v>
      </c>
      <c r="C3307" t="s">
        <v>202</v>
      </c>
      <c r="D3307" s="14">
        <v>7.1</v>
      </c>
    </row>
    <row r="3308" spans="1:4" x14ac:dyDescent="0.35">
      <c r="A3308" s="13">
        <v>46403</v>
      </c>
      <c r="B3308" t="s">
        <v>3</v>
      </c>
      <c r="C3308" t="s">
        <v>203</v>
      </c>
      <c r="D3308" s="14">
        <v>12</v>
      </c>
    </row>
    <row r="3309" spans="1:4" x14ac:dyDescent="0.35">
      <c r="A3309" s="13">
        <v>46403</v>
      </c>
      <c r="B3309" t="s">
        <v>3</v>
      </c>
      <c r="C3309" t="s">
        <v>204</v>
      </c>
      <c r="D3309" s="14">
        <v>6.8</v>
      </c>
    </row>
    <row r="3310" spans="1:4" x14ac:dyDescent="0.35">
      <c r="A3310" s="13">
        <v>46403</v>
      </c>
      <c r="B3310" t="s">
        <v>3</v>
      </c>
      <c r="C3310" t="s">
        <v>205</v>
      </c>
      <c r="D3310" s="14">
        <v>19.399999999999999</v>
      </c>
    </row>
    <row r="3311" spans="1:4" x14ac:dyDescent="0.35">
      <c r="A3311" s="13">
        <v>46403</v>
      </c>
      <c r="B3311" t="s">
        <v>3</v>
      </c>
      <c r="C3311" t="s">
        <v>206</v>
      </c>
      <c r="D3311" s="14">
        <v>18.3</v>
      </c>
    </row>
    <row r="3312" spans="1:4" x14ac:dyDescent="0.35">
      <c r="A3312" s="13">
        <v>46403</v>
      </c>
      <c r="B3312" t="s">
        <v>3</v>
      </c>
      <c r="C3312" t="s">
        <v>207</v>
      </c>
      <c r="D3312" s="14">
        <v>18.600000000000001</v>
      </c>
    </row>
    <row r="3313" spans="1:4" x14ac:dyDescent="0.35">
      <c r="A3313" s="13">
        <v>46403</v>
      </c>
      <c r="B3313" t="s">
        <v>3</v>
      </c>
      <c r="C3313" t="s">
        <v>208</v>
      </c>
      <c r="D3313" s="14">
        <v>17.899999999999999</v>
      </c>
    </row>
    <row r="3314" spans="1:4" x14ac:dyDescent="0.35">
      <c r="A3314" s="13">
        <v>46403</v>
      </c>
      <c r="B3314" t="s">
        <v>3</v>
      </c>
      <c r="C3314" t="s">
        <v>209</v>
      </c>
      <c r="D3314" s="14">
        <v>17</v>
      </c>
    </row>
    <row r="3315" spans="1:4" x14ac:dyDescent="0.35">
      <c r="A3315" s="13">
        <v>46403</v>
      </c>
      <c r="B3315" t="s">
        <v>3</v>
      </c>
      <c r="C3315" t="s">
        <v>210</v>
      </c>
      <c r="D3315" s="14">
        <v>10.8</v>
      </c>
    </row>
    <row r="3316" spans="1:4" x14ac:dyDescent="0.35">
      <c r="A3316" s="13">
        <v>46403</v>
      </c>
      <c r="B3316" t="s">
        <v>3</v>
      </c>
      <c r="C3316" t="s">
        <v>211</v>
      </c>
      <c r="D3316" s="14">
        <v>11.9</v>
      </c>
    </row>
    <row r="3317" spans="1:4" x14ac:dyDescent="0.35">
      <c r="A3317" s="13">
        <v>46403</v>
      </c>
      <c r="B3317" t="s">
        <v>3</v>
      </c>
      <c r="C3317" t="s">
        <v>212</v>
      </c>
      <c r="D3317" s="14">
        <v>16.7</v>
      </c>
    </row>
    <row r="3318" spans="1:4" x14ac:dyDescent="0.35">
      <c r="A3318" s="13">
        <v>46403</v>
      </c>
      <c r="B3318" t="s">
        <v>3</v>
      </c>
      <c r="C3318" t="s">
        <v>213</v>
      </c>
      <c r="D3318" s="14">
        <v>9.6999999999999993</v>
      </c>
    </row>
    <row r="3319" spans="1:4" x14ac:dyDescent="0.35">
      <c r="A3319" s="13">
        <v>46403</v>
      </c>
      <c r="B3319" t="s">
        <v>3</v>
      </c>
      <c r="C3319" t="s">
        <v>214</v>
      </c>
      <c r="D3319" s="14">
        <v>11.5</v>
      </c>
    </row>
    <row r="3320" spans="1:4" x14ac:dyDescent="0.35">
      <c r="A3320" s="13">
        <v>46403</v>
      </c>
      <c r="B3320" t="s">
        <v>3</v>
      </c>
      <c r="C3320" t="s">
        <v>215</v>
      </c>
      <c r="D3320" s="14">
        <v>8.3000000000000007</v>
      </c>
    </row>
    <row r="3321" spans="1:4" x14ac:dyDescent="0.35">
      <c r="A3321" s="13">
        <v>46403</v>
      </c>
      <c r="B3321" t="s">
        <v>77</v>
      </c>
      <c r="C3321" t="s">
        <v>216</v>
      </c>
      <c r="D3321" s="14">
        <v>10.1</v>
      </c>
    </row>
    <row r="3322" spans="1:4" x14ac:dyDescent="0.35">
      <c r="A3322" s="13">
        <v>46403</v>
      </c>
      <c r="B3322" t="s">
        <v>77</v>
      </c>
      <c r="C3322" t="s">
        <v>217</v>
      </c>
      <c r="D3322" s="14">
        <v>11.5</v>
      </c>
    </row>
    <row r="3323" spans="1:4" x14ac:dyDescent="0.35">
      <c r="A3323" s="13">
        <v>46403</v>
      </c>
      <c r="B3323" t="s">
        <v>77</v>
      </c>
      <c r="C3323" t="s">
        <v>218</v>
      </c>
      <c r="D3323" s="14">
        <v>11.6</v>
      </c>
    </row>
    <row r="3324" spans="1:4" x14ac:dyDescent="0.35">
      <c r="A3324" s="13">
        <v>46403</v>
      </c>
      <c r="B3324" t="s">
        <v>77</v>
      </c>
      <c r="C3324" t="s">
        <v>219</v>
      </c>
      <c r="D3324" s="14">
        <v>6.6</v>
      </c>
    </row>
    <row r="3325" spans="1:4" x14ac:dyDescent="0.35">
      <c r="A3325" s="13">
        <v>46403</v>
      </c>
      <c r="B3325" t="s">
        <v>77</v>
      </c>
      <c r="C3325" t="s">
        <v>220</v>
      </c>
      <c r="D3325" s="14">
        <v>10</v>
      </c>
    </row>
    <row r="3326" spans="1:4" x14ac:dyDescent="0.35">
      <c r="A3326" s="13">
        <v>46403</v>
      </c>
      <c r="B3326" t="s">
        <v>77</v>
      </c>
      <c r="C3326" t="s">
        <v>221</v>
      </c>
      <c r="D3326" s="14">
        <v>24.1</v>
      </c>
    </row>
    <row r="3327" spans="1:4" x14ac:dyDescent="0.35">
      <c r="A3327" s="13">
        <v>46403</v>
      </c>
      <c r="B3327" t="s">
        <v>77</v>
      </c>
      <c r="C3327" t="s">
        <v>222</v>
      </c>
      <c r="D3327" s="14">
        <v>10.9</v>
      </c>
    </row>
    <row r="3328" spans="1:4" x14ac:dyDescent="0.35">
      <c r="A3328" s="13">
        <v>46403</v>
      </c>
      <c r="B3328" t="s">
        <v>77</v>
      </c>
      <c r="C3328" t="s">
        <v>223</v>
      </c>
      <c r="D3328" s="14">
        <v>15.8</v>
      </c>
    </row>
    <row r="3329" spans="1:4" x14ac:dyDescent="0.35">
      <c r="A3329" s="13">
        <v>46403</v>
      </c>
      <c r="B3329" t="s">
        <v>77</v>
      </c>
      <c r="C3329" t="s">
        <v>224</v>
      </c>
      <c r="D3329" s="14">
        <v>11.3</v>
      </c>
    </row>
    <row r="3330" spans="1:4" x14ac:dyDescent="0.35">
      <c r="A3330" s="13">
        <v>46403</v>
      </c>
      <c r="B3330" t="s">
        <v>77</v>
      </c>
      <c r="C3330" t="s">
        <v>225</v>
      </c>
      <c r="D3330" s="14">
        <v>9.3000000000000007</v>
      </c>
    </row>
    <row r="3331" spans="1:4" x14ac:dyDescent="0.35">
      <c r="A3331" s="13">
        <v>46403</v>
      </c>
      <c r="B3331" t="s">
        <v>77</v>
      </c>
      <c r="C3331" t="s">
        <v>226</v>
      </c>
      <c r="D3331" s="14">
        <v>15.7</v>
      </c>
    </row>
    <row r="3332" spans="1:4" x14ac:dyDescent="0.35">
      <c r="A3332" s="13">
        <v>46403</v>
      </c>
      <c r="B3332" t="s">
        <v>77</v>
      </c>
      <c r="C3332" t="s">
        <v>227</v>
      </c>
      <c r="D3332" s="14">
        <v>12.1</v>
      </c>
    </row>
    <row r="3333" spans="1:4" x14ac:dyDescent="0.35">
      <c r="A3333" s="13">
        <v>46403</v>
      </c>
      <c r="B3333" t="s">
        <v>77</v>
      </c>
      <c r="C3333" t="s">
        <v>228</v>
      </c>
      <c r="D3333" s="14">
        <v>18.8</v>
      </c>
    </row>
    <row r="3334" spans="1:4" x14ac:dyDescent="0.35">
      <c r="A3334" s="13">
        <v>46403</v>
      </c>
      <c r="B3334" t="s">
        <v>77</v>
      </c>
      <c r="C3334" t="s">
        <v>229</v>
      </c>
      <c r="D3334" s="14">
        <v>6.2</v>
      </c>
    </row>
    <row r="3335" spans="1:4" x14ac:dyDescent="0.35">
      <c r="A3335" s="13">
        <v>46403</v>
      </c>
      <c r="B3335" t="s">
        <v>77</v>
      </c>
      <c r="C3335" t="s">
        <v>230</v>
      </c>
      <c r="D3335" s="14">
        <v>7.2</v>
      </c>
    </row>
    <row r="3336" spans="1:4" x14ac:dyDescent="0.35">
      <c r="A3336" s="13">
        <v>46403</v>
      </c>
      <c r="B3336" t="s">
        <v>80</v>
      </c>
      <c r="C3336" t="s">
        <v>231</v>
      </c>
      <c r="D3336" s="14">
        <v>12.1</v>
      </c>
    </row>
    <row r="3337" spans="1:4" x14ac:dyDescent="0.35">
      <c r="A3337" s="13">
        <v>46403</v>
      </c>
      <c r="B3337" t="s">
        <v>80</v>
      </c>
      <c r="C3337" t="s">
        <v>232</v>
      </c>
      <c r="D3337" s="14">
        <v>18.5</v>
      </c>
    </row>
    <row r="3338" spans="1:4" x14ac:dyDescent="0.35">
      <c r="A3338" s="13">
        <v>46403</v>
      </c>
      <c r="B3338" t="s">
        <v>80</v>
      </c>
      <c r="C3338" t="s">
        <v>233</v>
      </c>
      <c r="D3338" s="14">
        <v>9.5</v>
      </c>
    </row>
    <row r="3339" spans="1:4" x14ac:dyDescent="0.35">
      <c r="A3339" s="13">
        <v>46403</v>
      </c>
      <c r="B3339" t="s">
        <v>80</v>
      </c>
      <c r="C3339" t="s">
        <v>234</v>
      </c>
      <c r="D3339" s="14">
        <v>6.4</v>
      </c>
    </row>
    <row r="3340" spans="1:4" x14ac:dyDescent="0.35">
      <c r="A3340" s="13">
        <v>46403</v>
      </c>
      <c r="B3340" t="s">
        <v>80</v>
      </c>
      <c r="C3340" t="s">
        <v>235</v>
      </c>
      <c r="D3340" s="14">
        <v>14.4</v>
      </c>
    </row>
    <row r="3341" spans="1:4" x14ac:dyDescent="0.35">
      <c r="A3341" s="13">
        <v>46403</v>
      </c>
      <c r="B3341" t="s">
        <v>80</v>
      </c>
      <c r="C3341" t="s">
        <v>236</v>
      </c>
      <c r="D3341" s="14">
        <v>15.9</v>
      </c>
    </row>
    <row r="3342" spans="1:4" x14ac:dyDescent="0.35">
      <c r="A3342" s="13">
        <v>46403</v>
      </c>
      <c r="B3342" t="s">
        <v>80</v>
      </c>
      <c r="C3342" t="s">
        <v>237</v>
      </c>
      <c r="D3342" s="14">
        <v>10.9</v>
      </c>
    </row>
    <row r="3343" spans="1:4" x14ac:dyDescent="0.35">
      <c r="A3343" s="13">
        <v>46403</v>
      </c>
      <c r="B3343" t="s">
        <v>80</v>
      </c>
      <c r="C3343" t="s">
        <v>238</v>
      </c>
      <c r="D3343" s="14">
        <v>14.6</v>
      </c>
    </row>
    <row r="3344" spans="1:4" x14ac:dyDescent="0.35">
      <c r="A3344" s="13">
        <v>46403</v>
      </c>
      <c r="B3344" t="s">
        <v>80</v>
      </c>
      <c r="C3344" t="s">
        <v>239</v>
      </c>
      <c r="D3344" s="14">
        <v>7.3</v>
      </c>
    </row>
    <row r="3345" spans="1:4" x14ac:dyDescent="0.35">
      <c r="A3345" s="13">
        <v>46403</v>
      </c>
      <c r="B3345" t="s">
        <v>80</v>
      </c>
      <c r="C3345" t="s">
        <v>240</v>
      </c>
      <c r="D3345" s="14">
        <v>16.100000000000001</v>
      </c>
    </row>
    <row r="3346" spans="1:4" x14ac:dyDescent="0.35">
      <c r="A3346" s="13">
        <v>46403</v>
      </c>
      <c r="B3346" t="s">
        <v>80</v>
      </c>
      <c r="C3346" t="s">
        <v>241</v>
      </c>
      <c r="D3346" s="14">
        <v>10.199999999999999</v>
      </c>
    </row>
    <row r="3347" spans="1:4" x14ac:dyDescent="0.35">
      <c r="A3347" s="13">
        <v>46403</v>
      </c>
      <c r="B3347" t="s">
        <v>80</v>
      </c>
      <c r="C3347" t="s">
        <v>242</v>
      </c>
      <c r="D3347" s="14">
        <v>23.2</v>
      </c>
    </row>
    <row r="3348" spans="1:4" x14ac:dyDescent="0.35">
      <c r="A3348" s="13">
        <v>46403</v>
      </c>
      <c r="B3348" t="s">
        <v>80</v>
      </c>
      <c r="C3348" t="s">
        <v>243</v>
      </c>
      <c r="D3348" s="14">
        <v>18.5</v>
      </c>
    </row>
    <row r="3349" spans="1:4" x14ac:dyDescent="0.35">
      <c r="A3349" s="13">
        <v>46403</v>
      </c>
      <c r="B3349" t="s">
        <v>80</v>
      </c>
      <c r="C3349" t="s">
        <v>244</v>
      </c>
      <c r="D3349" s="14">
        <v>12.8</v>
      </c>
    </row>
    <row r="3350" spans="1:4" x14ac:dyDescent="0.35">
      <c r="A3350" s="13">
        <v>46403</v>
      </c>
      <c r="B3350" t="s">
        <v>80</v>
      </c>
      <c r="C3350" t="s">
        <v>245</v>
      </c>
      <c r="D3350" s="14">
        <v>12.2</v>
      </c>
    </row>
    <row r="3351" spans="1:4" x14ac:dyDescent="0.35">
      <c r="A3351" s="13">
        <v>46403</v>
      </c>
      <c r="B3351" t="s">
        <v>80</v>
      </c>
      <c r="C3351" t="s">
        <v>246</v>
      </c>
      <c r="D3351" s="14">
        <v>12.7</v>
      </c>
    </row>
    <row r="3352" spans="1:4" x14ac:dyDescent="0.35">
      <c r="A3352" s="13">
        <v>46403</v>
      </c>
      <c r="B3352" t="s">
        <v>80</v>
      </c>
      <c r="C3352" t="s">
        <v>247</v>
      </c>
      <c r="D3352" s="14">
        <v>22.3</v>
      </c>
    </row>
    <row r="3353" spans="1:4" x14ac:dyDescent="0.35">
      <c r="A3353" s="13">
        <v>46403</v>
      </c>
      <c r="B3353" t="s">
        <v>82</v>
      </c>
      <c r="C3353" t="s">
        <v>248</v>
      </c>
      <c r="D3353" s="14">
        <v>18.100000000000001</v>
      </c>
    </row>
    <row r="3354" spans="1:4" x14ac:dyDescent="0.35">
      <c r="A3354" s="13">
        <v>46403</v>
      </c>
      <c r="B3354" t="s">
        <v>82</v>
      </c>
      <c r="C3354" t="s">
        <v>249</v>
      </c>
      <c r="D3354" s="14">
        <v>8.1</v>
      </c>
    </row>
    <row r="3355" spans="1:4" x14ac:dyDescent="0.35">
      <c r="A3355" s="13">
        <v>46403</v>
      </c>
      <c r="B3355" t="s">
        <v>82</v>
      </c>
      <c r="C3355" t="s">
        <v>250</v>
      </c>
      <c r="D3355" s="14">
        <v>12.8</v>
      </c>
    </row>
    <row r="3356" spans="1:4" x14ac:dyDescent="0.35">
      <c r="A3356" s="13">
        <v>46403</v>
      </c>
      <c r="B3356" t="s">
        <v>82</v>
      </c>
      <c r="C3356" t="s">
        <v>251</v>
      </c>
      <c r="D3356" s="14">
        <v>9</v>
      </c>
    </row>
    <row r="3357" spans="1:4" x14ac:dyDescent="0.35">
      <c r="A3357" s="13">
        <v>46403</v>
      </c>
      <c r="B3357" t="s">
        <v>82</v>
      </c>
      <c r="C3357" t="s">
        <v>252</v>
      </c>
      <c r="D3357" s="14">
        <v>8.1</v>
      </c>
    </row>
    <row r="3358" spans="1:4" x14ac:dyDescent="0.35">
      <c r="A3358" s="13">
        <v>46403</v>
      </c>
      <c r="B3358" t="s">
        <v>82</v>
      </c>
      <c r="C3358" t="s">
        <v>253</v>
      </c>
      <c r="D3358" s="14">
        <v>13.5</v>
      </c>
    </row>
    <row r="3359" spans="1:4" x14ac:dyDescent="0.35">
      <c r="A3359" s="13">
        <v>46403</v>
      </c>
      <c r="B3359" t="s">
        <v>82</v>
      </c>
      <c r="C3359" t="s">
        <v>254</v>
      </c>
      <c r="D3359" s="14">
        <v>6.7</v>
      </c>
    </row>
    <row r="3360" spans="1:4" x14ac:dyDescent="0.35">
      <c r="A3360" s="13">
        <v>46403</v>
      </c>
      <c r="B3360" t="s">
        <v>82</v>
      </c>
      <c r="C3360" t="s">
        <v>255</v>
      </c>
      <c r="D3360" s="14">
        <v>8.1999999999999993</v>
      </c>
    </row>
    <row r="3361" spans="1:4" x14ac:dyDescent="0.35">
      <c r="A3361" s="13">
        <v>46403</v>
      </c>
      <c r="B3361" t="s">
        <v>82</v>
      </c>
      <c r="C3361" t="s">
        <v>256</v>
      </c>
      <c r="D3361" s="14">
        <v>14.6</v>
      </c>
    </row>
    <row r="3362" spans="1:4" x14ac:dyDescent="0.35">
      <c r="A3362" s="13">
        <v>46403</v>
      </c>
      <c r="B3362" t="s">
        <v>82</v>
      </c>
      <c r="C3362" t="s">
        <v>257</v>
      </c>
      <c r="D3362" s="14">
        <v>13.1</v>
      </c>
    </row>
    <row r="3363" spans="1:4" x14ac:dyDescent="0.35">
      <c r="A3363" s="13">
        <v>46403</v>
      </c>
      <c r="B3363" t="s">
        <v>82</v>
      </c>
      <c r="C3363" t="s">
        <v>258</v>
      </c>
      <c r="D3363" s="14">
        <v>18.7</v>
      </c>
    </row>
    <row r="3364" spans="1:4" x14ac:dyDescent="0.35">
      <c r="A3364" s="13">
        <v>46403</v>
      </c>
      <c r="B3364" t="s">
        <v>82</v>
      </c>
      <c r="C3364" t="s">
        <v>259</v>
      </c>
      <c r="D3364" s="14">
        <v>8.8000000000000007</v>
      </c>
    </row>
    <row r="3365" spans="1:4" x14ac:dyDescent="0.35">
      <c r="A3365" s="13">
        <v>46403</v>
      </c>
      <c r="B3365" t="s">
        <v>82</v>
      </c>
      <c r="C3365" t="s">
        <v>260</v>
      </c>
      <c r="D3365" s="14">
        <v>8.9</v>
      </c>
    </row>
    <row r="3366" spans="1:4" x14ac:dyDescent="0.35">
      <c r="A3366" s="13">
        <v>46403</v>
      </c>
      <c r="B3366" t="s">
        <v>82</v>
      </c>
      <c r="C3366" t="s">
        <v>261</v>
      </c>
      <c r="D3366" s="14">
        <v>13</v>
      </c>
    </row>
    <row r="3367" spans="1:4" x14ac:dyDescent="0.35">
      <c r="A3367" s="13">
        <v>46403</v>
      </c>
      <c r="B3367" t="s">
        <v>82</v>
      </c>
      <c r="C3367" t="s">
        <v>262</v>
      </c>
      <c r="D3367" s="14">
        <v>17.7</v>
      </c>
    </row>
    <row r="3368" spans="1:4" x14ac:dyDescent="0.35">
      <c r="A3368" s="13">
        <v>46403</v>
      </c>
      <c r="B3368" t="s">
        <v>82</v>
      </c>
      <c r="C3368" t="s">
        <v>263</v>
      </c>
      <c r="D3368" s="14">
        <v>7.8</v>
      </c>
    </row>
    <row r="3369" spans="1:4" x14ac:dyDescent="0.35">
      <c r="A3369" s="13">
        <v>46403</v>
      </c>
      <c r="B3369" t="s">
        <v>82</v>
      </c>
      <c r="C3369" t="s">
        <v>264</v>
      </c>
      <c r="D3369" s="14">
        <v>19.7</v>
      </c>
    </row>
    <row r="3370" spans="1:4" x14ac:dyDescent="0.35">
      <c r="A3370" s="13">
        <v>46403</v>
      </c>
      <c r="B3370" t="s">
        <v>82</v>
      </c>
      <c r="C3370" t="s">
        <v>265</v>
      </c>
      <c r="D3370" s="14">
        <v>13.4</v>
      </c>
    </row>
    <row r="3371" spans="1:4" x14ac:dyDescent="0.35">
      <c r="A3371" s="13">
        <v>46403</v>
      </c>
      <c r="B3371" t="s">
        <v>85</v>
      </c>
      <c r="C3371" t="s">
        <v>266</v>
      </c>
      <c r="D3371" s="14">
        <v>9</v>
      </c>
    </row>
    <row r="3372" spans="1:4" x14ac:dyDescent="0.35">
      <c r="A3372" s="13">
        <v>46403</v>
      </c>
      <c r="B3372" t="s">
        <v>85</v>
      </c>
      <c r="C3372" t="s">
        <v>267</v>
      </c>
      <c r="D3372" s="14">
        <v>5.6</v>
      </c>
    </row>
    <row r="3373" spans="1:4" x14ac:dyDescent="0.35">
      <c r="A3373" s="13">
        <v>46403</v>
      </c>
      <c r="B3373" t="s">
        <v>85</v>
      </c>
      <c r="C3373" t="s">
        <v>268</v>
      </c>
      <c r="D3373" s="14">
        <v>17.7</v>
      </c>
    </row>
    <row r="3374" spans="1:4" x14ac:dyDescent="0.35">
      <c r="A3374" s="13">
        <v>46403</v>
      </c>
      <c r="B3374" t="s">
        <v>85</v>
      </c>
      <c r="C3374" t="s">
        <v>269</v>
      </c>
      <c r="D3374" s="14">
        <v>17.899999999999999</v>
      </c>
    </row>
    <row r="3375" spans="1:4" x14ac:dyDescent="0.35">
      <c r="A3375" s="13">
        <v>46403</v>
      </c>
      <c r="B3375" t="s">
        <v>85</v>
      </c>
      <c r="C3375" t="s">
        <v>270</v>
      </c>
      <c r="D3375" s="14">
        <v>14.8</v>
      </c>
    </row>
    <row r="3376" spans="1:4" x14ac:dyDescent="0.35">
      <c r="A3376" s="13">
        <v>46403</v>
      </c>
      <c r="B3376" t="s">
        <v>85</v>
      </c>
      <c r="C3376" t="s">
        <v>271</v>
      </c>
      <c r="D3376" s="14">
        <v>10.8</v>
      </c>
    </row>
    <row r="3377" spans="1:4" x14ac:dyDescent="0.35">
      <c r="A3377" s="13">
        <v>46403</v>
      </c>
      <c r="B3377" t="s">
        <v>85</v>
      </c>
      <c r="C3377" t="s">
        <v>272</v>
      </c>
      <c r="D3377" s="14">
        <v>15</v>
      </c>
    </row>
    <row r="3378" spans="1:4" x14ac:dyDescent="0.35">
      <c r="A3378" s="13">
        <v>46403</v>
      </c>
      <c r="B3378" t="s">
        <v>85</v>
      </c>
      <c r="C3378" t="s">
        <v>273</v>
      </c>
      <c r="D3378" s="14">
        <v>7.4</v>
      </c>
    </row>
    <row r="3379" spans="1:4" x14ac:dyDescent="0.35">
      <c r="A3379" s="13">
        <v>46403</v>
      </c>
      <c r="B3379" t="s">
        <v>85</v>
      </c>
      <c r="C3379" t="s">
        <v>274</v>
      </c>
      <c r="D3379" s="14">
        <v>7</v>
      </c>
    </row>
    <row r="3380" spans="1:4" x14ac:dyDescent="0.35">
      <c r="A3380" s="13">
        <v>46403</v>
      </c>
      <c r="B3380" t="s">
        <v>85</v>
      </c>
      <c r="C3380" t="s">
        <v>275</v>
      </c>
      <c r="D3380" s="14">
        <v>13.7</v>
      </c>
    </row>
    <row r="3381" spans="1:4" x14ac:dyDescent="0.35">
      <c r="A3381" s="13">
        <v>46403</v>
      </c>
      <c r="B3381" t="s">
        <v>85</v>
      </c>
      <c r="C3381" t="s">
        <v>276</v>
      </c>
      <c r="D3381" s="14">
        <v>9.1999999999999993</v>
      </c>
    </row>
    <row r="3382" spans="1:4" x14ac:dyDescent="0.35">
      <c r="A3382" s="13">
        <v>46403</v>
      </c>
      <c r="B3382" t="s">
        <v>85</v>
      </c>
      <c r="C3382" t="s">
        <v>277</v>
      </c>
      <c r="D3382" s="14">
        <v>11.3</v>
      </c>
    </row>
    <row r="3383" spans="1:4" x14ac:dyDescent="0.35">
      <c r="A3383" s="13">
        <v>46403</v>
      </c>
      <c r="B3383" t="s">
        <v>85</v>
      </c>
      <c r="C3383" t="s">
        <v>278</v>
      </c>
      <c r="D3383" s="14">
        <v>13.4</v>
      </c>
    </row>
    <row r="3384" spans="1:4" x14ac:dyDescent="0.35">
      <c r="A3384" s="13">
        <v>46403</v>
      </c>
      <c r="B3384" t="s">
        <v>85</v>
      </c>
      <c r="C3384" t="s">
        <v>279</v>
      </c>
      <c r="D3384" s="14">
        <v>9.1</v>
      </c>
    </row>
    <row r="3385" spans="1:4" x14ac:dyDescent="0.35">
      <c r="A3385" s="13">
        <v>46403</v>
      </c>
      <c r="B3385" t="s">
        <v>85</v>
      </c>
      <c r="C3385" t="s">
        <v>280</v>
      </c>
      <c r="D3385" s="14">
        <v>12</v>
      </c>
    </row>
    <row r="3386" spans="1:4" x14ac:dyDescent="0.35">
      <c r="A3386" s="13">
        <v>46403</v>
      </c>
      <c r="B3386" t="s">
        <v>85</v>
      </c>
      <c r="C3386" t="s">
        <v>281</v>
      </c>
      <c r="D3386" s="14">
        <v>9.8000000000000007</v>
      </c>
    </row>
    <row r="3387" spans="1:4" x14ac:dyDescent="0.35">
      <c r="A3387" s="13">
        <v>46403</v>
      </c>
      <c r="B3387" t="s">
        <v>87</v>
      </c>
      <c r="C3387" t="s">
        <v>282</v>
      </c>
      <c r="D3387" s="14">
        <v>6.4</v>
      </c>
    </row>
    <row r="3388" spans="1:4" x14ac:dyDescent="0.35">
      <c r="A3388" s="13">
        <v>46403</v>
      </c>
      <c r="B3388" t="s">
        <v>87</v>
      </c>
      <c r="C3388" t="s">
        <v>283</v>
      </c>
      <c r="D3388" s="14">
        <v>12.1</v>
      </c>
    </row>
    <row r="3389" spans="1:4" x14ac:dyDescent="0.35">
      <c r="A3389" s="13">
        <v>46403</v>
      </c>
      <c r="B3389" t="s">
        <v>87</v>
      </c>
      <c r="C3389" t="s">
        <v>284</v>
      </c>
      <c r="D3389" s="14">
        <v>10.4</v>
      </c>
    </row>
    <row r="3390" spans="1:4" x14ac:dyDescent="0.35">
      <c r="A3390" s="13">
        <v>46403</v>
      </c>
      <c r="B3390" t="s">
        <v>87</v>
      </c>
      <c r="C3390" t="s">
        <v>285</v>
      </c>
      <c r="D3390" s="14">
        <v>15</v>
      </c>
    </row>
    <row r="3391" spans="1:4" x14ac:dyDescent="0.35">
      <c r="A3391" s="13">
        <v>46403</v>
      </c>
      <c r="B3391" t="s">
        <v>87</v>
      </c>
      <c r="C3391" t="s">
        <v>286</v>
      </c>
      <c r="D3391" s="14">
        <v>10.8</v>
      </c>
    </row>
    <row r="3392" spans="1:4" x14ac:dyDescent="0.35">
      <c r="A3392" s="13">
        <v>46403</v>
      </c>
      <c r="B3392" t="s">
        <v>87</v>
      </c>
      <c r="C3392" t="s">
        <v>287</v>
      </c>
      <c r="D3392" s="14">
        <v>13.9</v>
      </c>
    </row>
    <row r="3393" spans="1:4" x14ac:dyDescent="0.35">
      <c r="A3393" s="13">
        <v>46403</v>
      </c>
      <c r="B3393" t="s">
        <v>87</v>
      </c>
      <c r="C3393" t="s">
        <v>288</v>
      </c>
      <c r="D3393" s="14">
        <v>8.8000000000000007</v>
      </c>
    </row>
    <row r="3394" spans="1:4" x14ac:dyDescent="0.35">
      <c r="A3394" s="13">
        <v>46403</v>
      </c>
      <c r="B3394" t="s">
        <v>87</v>
      </c>
      <c r="C3394" t="s">
        <v>289</v>
      </c>
      <c r="D3394" s="14">
        <v>9.5</v>
      </c>
    </row>
    <row r="3395" spans="1:4" x14ac:dyDescent="0.35">
      <c r="A3395" s="13">
        <v>46403</v>
      </c>
      <c r="B3395" t="s">
        <v>87</v>
      </c>
      <c r="C3395" t="s">
        <v>290</v>
      </c>
      <c r="D3395" s="14">
        <v>14.3</v>
      </c>
    </row>
    <row r="3396" spans="1:4" x14ac:dyDescent="0.35">
      <c r="A3396" s="13">
        <v>46403</v>
      </c>
      <c r="B3396" t="s">
        <v>87</v>
      </c>
      <c r="C3396" t="s">
        <v>291</v>
      </c>
      <c r="D3396" s="14">
        <v>11.1</v>
      </c>
    </row>
    <row r="3397" spans="1:4" x14ac:dyDescent="0.35">
      <c r="A3397" s="13">
        <v>46403</v>
      </c>
      <c r="B3397" t="s">
        <v>87</v>
      </c>
      <c r="C3397" t="s">
        <v>292</v>
      </c>
      <c r="D3397" s="14">
        <v>9.3000000000000007</v>
      </c>
    </row>
    <row r="3398" spans="1:4" x14ac:dyDescent="0.35">
      <c r="A3398" s="13">
        <v>46403</v>
      </c>
      <c r="B3398" t="s">
        <v>87</v>
      </c>
      <c r="C3398" t="s">
        <v>293</v>
      </c>
      <c r="D3398" s="14">
        <v>8.6</v>
      </c>
    </row>
    <row r="3399" spans="1:4" x14ac:dyDescent="0.35">
      <c r="A3399" s="13">
        <v>46403</v>
      </c>
      <c r="B3399" t="s">
        <v>87</v>
      </c>
      <c r="C3399" t="s">
        <v>294</v>
      </c>
      <c r="D3399" s="14">
        <v>8.5</v>
      </c>
    </row>
    <row r="3400" spans="1:4" x14ac:dyDescent="0.35">
      <c r="A3400" s="13">
        <v>46403</v>
      </c>
      <c r="B3400" t="s">
        <v>87</v>
      </c>
      <c r="C3400" t="s">
        <v>295</v>
      </c>
      <c r="D3400" s="14">
        <v>10.6</v>
      </c>
    </row>
    <row r="3401" spans="1:4" x14ac:dyDescent="0.35">
      <c r="A3401" s="13">
        <v>46403</v>
      </c>
      <c r="B3401" t="s">
        <v>87</v>
      </c>
      <c r="C3401" t="s">
        <v>296</v>
      </c>
      <c r="D3401" s="14">
        <v>15.9</v>
      </c>
    </row>
    <row r="3402" spans="1:4" x14ac:dyDescent="0.35">
      <c r="A3402" s="13">
        <v>46403</v>
      </c>
      <c r="B3402" t="s">
        <v>87</v>
      </c>
      <c r="C3402" t="s">
        <v>297</v>
      </c>
      <c r="D3402" s="14">
        <v>11.6</v>
      </c>
    </row>
    <row r="3403" spans="1:4" x14ac:dyDescent="0.35">
      <c r="A3403" s="13">
        <v>46403</v>
      </c>
      <c r="B3403" t="s">
        <v>77</v>
      </c>
      <c r="C3403" t="s">
        <v>298</v>
      </c>
      <c r="D3403" s="14">
        <v>11.4</v>
      </c>
    </row>
    <row r="3404" spans="1:4" x14ac:dyDescent="0.35">
      <c r="A3404" s="13">
        <v>46403</v>
      </c>
      <c r="B3404" t="s">
        <v>85</v>
      </c>
      <c r="C3404" t="s">
        <v>299</v>
      </c>
      <c r="D3404" s="14">
        <v>11.5</v>
      </c>
    </row>
    <row r="3405" spans="1:4" x14ac:dyDescent="0.35">
      <c r="A3405" s="13">
        <v>46410</v>
      </c>
      <c r="B3405" t="s">
        <v>70</v>
      </c>
      <c r="C3405" t="s">
        <v>155</v>
      </c>
      <c r="D3405" s="14">
        <v>21.1</v>
      </c>
    </row>
    <row r="3406" spans="1:4" x14ac:dyDescent="0.35">
      <c r="A3406" s="13">
        <v>46410</v>
      </c>
      <c r="B3406" t="s">
        <v>70</v>
      </c>
      <c r="C3406" t="s">
        <v>158</v>
      </c>
      <c r="D3406" s="14">
        <v>18.3</v>
      </c>
    </row>
    <row r="3407" spans="1:4" x14ac:dyDescent="0.35">
      <c r="A3407" s="13">
        <v>46410</v>
      </c>
      <c r="B3407" t="s">
        <v>70</v>
      </c>
      <c r="C3407" t="s">
        <v>159</v>
      </c>
      <c r="D3407" s="14">
        <v>13.9</v>
      </c>
    </row>
    <row r="3408" spans="1:4" x14ac:dyDescent="0.35">
      <c r="A3408" s="13">
        <v>46410</v>
      </c>
      <c r="B3408" t="s">
        <v>70</v>
      </c>
      <c r="C3408" t="s">
        <v>162</v>
      </c>
      <c r="D3408" s="14">
        <v>20</v>
      </c>
    </row>
    <row r="3409" spans="1:4" x14ac:dyDescent="0.35">
      <c r="A3409" s="13">
        <v>46410</v>
      </c>
      <c r="B3409" t="s">
        <v>70</v>
      </c>
      <c r="C3409" t="s">
        <v>164</v>
      </c>
      <c r="D3409" s="14">
        <v>8.6999999999999993</v>
      </c>
    </row>
    <row r="3410" spans="1:4" x14ac:dyDescent="0.35">
      <c r="A3410" s="13">
        <v>46410</v>
      </c>
      <c r="B3410" t="s">
        <v>70</v>
      </c>
      <c r="C3410" t="s">
        <v>167</v>
      </c>
      <c r="D3410" s="14">
        <v>11.2</v>
      </c>
    </row>
    <row r="3411" spans="1:4" x14ac:dyDescent="0.35">
      <c r="A3411" s="13">
        <v>46410</v>
      </c>
      <c r="B3411" t="s">
        <v>70</v>
      </c>
      <c r="C3411" t="s">
        <v>169</v>
      </c>
      <c r="D3411" s="14">
        <v>8.4</v>
      </c>
    </row>
    <row r="3412" spans="1:4" x14ac:dyDescent="0.35">
      <c r="A3412" s="13">
        <v>46410</v>
      </c>
      <c r="B3412" t="s">
        <v>70</v>
      </c>
      <c r="C3412" t="s">
        <v>170</v>
      </c>
      <c r="D3412" s="14">
        <v>16.5</v>
      </c>
    </row>
    <row r="3413" spans="1:4" x14ac:dyDescent="0.35">
      <c r="A3413" s="13">
        <v>46410</v>
      </c>
      <c r="B3413" t="s">
        <v>70</v>
      </c>
      <c r="C3413" t="s">
        <v>171</v>
      </c>
      <c r="D3413" s="14">
        <v>13.1</v>
      </c>
    </row>
    <row r="3414" spans="1:4" x14ac:dyDescent="0.35">
      <c r="A3414" s="13">
        <v>46410</v>
      </c>
      <c r="B3414" t="s">
        <v>70</v>
      </c>
      <c r="C3414" t="s">
        <v>172</v>
      </c>
      <c r="D3414" s="14">
        <v>8.5</v>
      </c>
    </row>
    <row r="3415" spans="1:4" x14ac:dyDescent="0.35">
      <c r="A3415" s="13">
        <v>46410</v>
      </c>
      <c r="B3415" t="s">
        <v>70</v>
      </c>
      <c r="C3415" t="s">
        <v>173</v>
      </c>
      <c r="D3415" s="14">
        <v>15.4</v>
      </c>
    </row>
    <row r="3416" spans="1:4" x14ac:dyDescent="0.35">
      <c r="A3416" s="13">
        <v>46410</v>
      </c>
      <c r="B3416" t="s">
        <v>70</v>
      </c>
      <c r="C3416" t="s">
        <v>174</v>
      </c>
      <c r="D3416" s="14">
        <v>18.8</v>
      </c>
    </row>
    <row r="3417" spans="1:4" x14ac:dyDescent="0.35">
      <c r="A3417" s="13">
        <v>46410</v>
      </c>
      <c r="B3417" t="s">
        <v>70</v>
      </c>
      <c r="C3417" t="s">
        <v>175</v>
      </c>
      <c r="D3417" s="14">
        <v>13</v>
      </c>
    </row>
    <row r="3418" spans="1:4" x14ac:dyDescent="0.35">
      <c r="A3418" s="13">
        <v>46410</v>
      </c>
      <c r="B3418" t="s">
        <v>70</v>
      </c>
      <c r="C3418" t="s">
        <v>176</v>
      </c>
      <c r="D3418" s="14">
        <v>10.1</v>
      </c>
    </row>
    <row r="3419" spans="1:4" x14ac:dyDescent="0.35">
      <c r="A3419" s="13">
        <v>46410</v>
      </c>
      <c r="B3419" t="s">
        <v>73</v>
      </c>
      <c r="C3419" t="s">
        <v>177</v>
      </c>
      <c r="D3419" s="14">
        <v>10.6</v>
      </c>
    </row>
    <row r="3420" spans="1:4" x14ac:dyDescent="0.35">
      <c r="A3420" s="13">
        <v>46410</v>
      </c>
      <c r="B3420" t="s">
        <v>73</v>
      </c>
      <c r="C3420" t="s">
        <v>178</v>
      </c>
      <c r="D3420" s="14">
        <v>9.1999999999999993</v>
      </c>
    </row>
    <row r="3421" spans="1:4" x14ac:dyDescent="0.35">
      <c r="A3421" s="13">
        <v>46410</v>
      </c>
      <c r="B3421" t="s">
        <v>73</v>
      </c>
      <c r="C3421" t="s">
        <v>179</v>
      </c>
      <c r="D3421" s="14">
        <v>13.6</v>
      </c>
    </row>
    <row r="3422" spans="1:4" x14ac:dyDescent="0.35">
      <c r="A3422" s="13">
        <v>46410</v>
      </c>
      <c r="B3422" t="s">
        <v>73</v>
      </c>
      <c r="C3422" t="s">
        <v>180</v>
      </c>
      <c r="D3422" s="14">
        <v>7.7</v>
      </c>
    </row>
    <row r="3423" spans="1:4" x14ac:dyDescent="0.35">
      <c r="A3423" s="13">
        <v>46410</v>
      </c>
      <c r="B3423" t="s">
        <v>73</v>
      </c>
      <c r="C3423" t="s">
        <v>181</v>
      </c>
      <c r="D3423" s="14">
        <v>8.6999999999999993</v>
      </c>
    </row>
    <row r="3424" spans="1:4" x14ac:dyDescent="0.35">
      <c r="A3424" s="13">
        <v>46410</v>
      </c>
      <c r="B3424" t="s">
        <v>73</v>
      </c>
      <c r="C3424" t="s">
        <v>182</v>
      </c>
      <c r="D3424" s="14">
        <v>11.4</v>
      </c>
    </row>
    <row r="3425" spans="1:4" x14ac:dyDescent="0.35">
      <c r="A3425" s="13">
        <v>46410</v>
      </c>
      <c r="B3425" t="s">
        <v>73</v>
      </c>
      <c r="C3425" t="s">
        <v>183</v>
      </c>
      <c r="D3425" s="14">
        <v>17.100000000000001</v>
      </c>
    </row>
    <row r="3426" spans="1:4" x14ac:dyDescent="0.35">
      <c r="A3426" s="13">
        <v>46410</v>
      </c>
      <c r="B3426" t="s">
        <v>73</v>
      </c>
      <c r="C3426" t="s">
        <v>184</v>
      </c>
      <c r="D3426" s="14">
        <v>13.6</v>
      </c>
    </row>
    <row r="3427" spans="1:4" x14ac:dyDescent="0.35">
      <c r="A3427" s="13">
        <v>46410</v>
      </c>
      <c r="B3427" t="s">
        <v>73</v>
      </c>
      <c r="C3427" t="s">
        <v>185</v>
      </c>
      <c r="D3427" s="14">
        <v>8.6</v>
      </c>
    </row>
    <row r="3428" spans="1:4" x14ac:dyDescent="0.35">
      <c r="A3428" s="13">
        <v>46410</v>
      </c>
      <c r="B3428" t="s">
        <v>73</v>
      </c>
      <c r="C3428" t="s">
        <v>186</v>
      </c>
      <c r="D3428" s="14">
        <v>12.4</v>
      </c>
    </row>
    <row r="3429" spans="1:4" x14ac:dyDescent="0.35">
      <c r="A3429" s="13">
        <v>46410</v>
      </c>
      <c r="B3429" t="s">
        <v>73</v>
      </c>
      <c r="C3429" t="s">
        <v>187</v>
      </c>
      <c r="D3429" s="14">
        <v>6.7</v>
      </c>
    </row>
    <row r="3430" spans="1:4" x14ac:dyDescent="0.35">
      <c r="A3430" s="13">
        <v>46410</v>
      </c>
      <c r="B3430" t="s">
        <v>73</v>
      </c>
      <c r="C3430" t="s">
        <v>189</v>
      </c>
      <c r="D3430" s="14">
        <v>9.1999999999999993</v>
      </c>
    </row>
    <row r="3431" spans="1:4" x14ac:dyDescent="0.35">
      <c r="A3431" s="13">
        <v>46410</v>
      </c>
      <c r="B3431" t="s">
        <v>73</v>
      </c>
      <c r="C3431" t="s">
        <v>190</v>
      </c>
      <c r="D3431" s="14">
        <v>10.7</v>
      </c>
    </row>
    <row r="3432" spans="1:4" x14ac:dyDescent="0.35">
      <c r="A3432" s="13">
        <v>46410</v>
      </c>
      <c r="B3432" t="s">
        <v>73</v>
      </c>
      <c r="C3432" t="s">
        <v>191</v>
      </c>
      <c r="D3432" s="14">
        <v>10.1</v>
      </c>
    </row>
    <row r="3433" spans="1:4" x14ac:dyDescent="0.35">
      <c r="A3433" s="13">
        <v>46410</v>
      </c>
      <c r="B3433" t="s">
        <v>73</v>
      </c>
      <c r="C3433" t="s">
        <v>192</v>
      </c>
      <c r="D3433" s="14">
        <v>6.4</v>
      </c>
    </row>
    <row r="3434" spans="1:4" x14ac:dyDescent="0.35">
      <c r="A3434" s="13">
        <v>46410</v>
      </c>
      <c r="B3434" t="s">
        <v>73</v>
      </c>
      <c r="C3434" t="s">
        <v>193</v>
      </c>
      <c r="D3434" s="14">
        <v>12.8</v>
      </c>
    </row>
    <row r="3435" spans="1:4" x14ac:dyDescent="0.35">
      <c r="A3435" s="13">
        <v>46410</v>
      </c>
      <c r="B3435" t="s">
        <v>73</v>
      </c>
      <c r="C3435" t="s">
        <v>194</v>
      </c>
      <c r="D3435" s="14">
        <v>8.1999999999999993</v>
      </c>
    </row>
    <row r="3436" spans="1:4" x14ac:dyDescent="0.35">
      <c r="A3436" s="13">
        <v>46410</v>
      </c>
      <c r="B3436" t="s">
        <v>73</v>
      </c>
      <c r="C3436" t="s">
        <v>195</v>
      </c>
      <c r="D3436" s="14">
        <v>12.9</v>
      </c>
    </row>
    <row r="3437" spans="1:4" x14ac:dyDescent="0.35">
      <c r="A3437" s="13">
        <v>46410</v>
      </c>
      <c r="B3437" t="s">
        <v>73</v>
      </c>
      <c r="C3437" t="s">
        <v>196</v>
      </c>
      <c r="D3437" s="14">
        <v>7</v>
      </c>
    </row>
    <row r="3438" spans="1:4" x14ac:dyDescent="0.35">
      <c r="A3438" s="13">
        <v>46410</v>
      </c>
      <c r="B3438" t="s">
        <v>3</v>
      </c>
      <c r="C3438" t="s">
        <v>197</v>
      </c>
      <c r="D3438" s="14">
        <v>11.7</v>
      </c>
    </row>
    <row r="3439" spans="1:4" x14ac:dyDescent="0.35">
      <c r="A3439" s="13">
        <v>46410</v>
      </c>
      <c r="B3439" t="s">
        <v>3</v>
      </c>
      <c r="C3439" t="s">
        <v>198</v>
      </c>
      <c r="D3439" s="14">
        <v>10.3</v>
      </c>
    </row>
    <row r="3440" spans="1:4" x14ac:dyDescent="0.35">
      <c r="A3440" s="13">
        <v>46410</v>
      </c>
      <c r="B3440" t="s">
        <v>3</v>
      </c>
      <c r="C3440" t="s">
        <v>199</v>
      </c>
      <c r="D3440" s="14">
        <v>15.9</v>
      </c>
    </row>
    <row r="3441" spans="1:4" x14ac:dyDescent="0.35">
      <c r="A3441" s="13">
        <v>46410</v>
      </c>
      <c r="B3441" t="s">
        <v>3</v>
      </c>
      <c r="C3441" t="s">
        <v>200</v>
      </c>
      <c r="D3441" s="14">
        <v>11.5</v>
      </c>
    </row>
    <row r="3442" spans="1:4" x14ac:dyDescent="0.35">
      <c r="A3442" s="13">
        <v>46410</v>
      </c>
      <c r="B3442" t="s">
        <v>3</v>
      </c>
      <c r="C3442" t="s">
        <v>201</v>
      </c>
      <c r="D3442" s="14">
        <v>18.2</v>
      </c>
    </row>
    <row r="3443" spans="1:4" x14ac:dyDescent="0.35">
      <c r="A3443" s="13">
        <v>46410</v>
      </c>
      <c r="B3443" t="s">
        <v>3</v>
      </c>
      <c r="C3443" t="s">
        <v>202</v>
      </c>
      <c r="D3443" s="14">
        <v>7.4</v>
      </c>
    </row>
    <row r="3444" spans="1:4" x14ac:dyDescent="0.35">
      <c r="A3444" s="13">
        <v>46410</v>
      </c>
      <c r="B3444" t="s">
        <v>3</v>
      </c>
      <c r="C3444" t="s">
        <v>203</v>
      </c>
      <c r="D3444" s="14">
        <v>12.5</v>
      </c>
    </row>
    <row r="3445" spans="1:4" x14ac:dyDescent="0.35">
      <c r="A3445" s="13">
        <v>46410</v>
      </c>
      <c r="B3445" t="s">
        <v>3</v>
      </c>
      <c r="C3445" t="s">
        <v>204</v>
      </c>
      <c r="D3445" s="14">
        <v>7.1</v>
      </c>
    </row>
    <row r="3446" spans="1:4" x14ac:dyDescent="0.35">
      <c r="A3446" s="13">
        <v>46410</v>
      </c>
      <c r="B3446" t="s">
        <v>3</v>
      </c>
      <c r="C3446" t="s">
        <v>205</v>
      </c>
      <c r="D3446" s="14">
        <v>20.3</v>
      </c>
    </row>
    <row r="3447" spans="1:4" x14ac:dyDescent="0.35">
      <c r="A3447" s="13">
        <v>46410</v>
      </c>
      <c r="B3447" t="s">
        <v>3</v>
      </c>
      <c r="C3447" t="s">
        <v>206</v>
      </c>
      <c r="D3447" s="14">
        <v>19.2</v>
      </c>
    </row>
    <row r="3448" spans="1:4" x14ac:dyDescent="0.35">
      <c r="A3448" s="13">
        <v>46410</v>
      </c>
      <c r="B3448" t="s">
        <v>3</v>
      </c>
      <c r="C3448" t="s">
        <v>207</v>
      </c>
      <c r="D3448" s="14">
        <v>19.399999999999999</v>
      </c>
    </row>
    <row r="3449" spans="1:4" x14ac:dyDescent="0.35">
      <c r="A3449" s="13">
        <v>46410</v>
      </c>
      <c r="B3449" t="s">
        <v>3</v>
      </c>
      <c r="C3449" t="s">
        <v>208</v>
      </c>
      <c r="D3449" s="14">
        <v>18.8</v>
      </c>
    </row>
    <row r="3450" spans="1:4" x14ac:dyDescent="0.35">
      <c r="A3450" s="13">
        <v>46410</v>
      </c>
      <c r="B3450" t="s">
        <v>3</v>
      </c>
      <c r="C3450" t="s">
        <v>209</v>
      </c>
      <c r="D3450" s="14">
        <v>17.8</v>
      </c>
    </row>
    <row r="3451" spans="1:4" x14ac:dyDescent="0.35">
      <c r="A3451" s="13">
        <v>46410</v>
      </c>
      <c r="B3451" t="s">
        <v>3</v>
      </c>
      <c r="C3451" t="s">
        <v>210</v>
      </c>
      <c r="D3451" s="14">
        <v>11.3</v>
      </c>
    </row>
    <row r="3452" spans="1:4" x14ac:dyDescent="0.35">
      <c r="A3452" s="13">
        <v>46410</v>
      </c>
      <c r="B3452" t="s">
        <v>3</v>
      </c>
      <c r="C3452" t="s">
        <v>211</v>
      </c>
      <c r="D3452" s="14">
        <v>12.5</v>
      </c>
    </row>
    <row r="3453" spans="1:4" x14ac:dyDescent="0.35">
      <c r="A3453" s="13">
        <v>46410</v>
      </c>
      <c r="B3453" t="s">
        <v>3</v>
      </c>
      <c r="C3453" t="s">
        <v>212</v>
      </c>
      <c r="D3453" s="14">
        <v>17.5</v>
      </c>
    </row>
    <row r="3454" spans="1:4" x14ac:dyDescent="0.35">
      <c r="A3454" s="13">
        <v>46410</v>
      </c>
      <c r="B3454" t="s">
        <v>3</v>
      </c>
      <c r="C3454" t="s">
        <v>213</v>
      </c>
      <c r="D3454" s="14">
        <v>10.199999999999999</v>
      </c>
    </row>
    <row r="3455" spans="1:4" x14ac:dyDescent="0.35">
      <c r="A3455" s="13">
        <v>46410</v>
      </c>
      <c r="B3455" t="s">
        <v>3</v>
      </c>
      <c r="C3455" t="s">
        <v>214</v>
      </c>
      <c r="D3455" s="14">
        <v>12.1</v>
      </c>
    </row>
    <row r="3456" spans="1:4" x14ac:dyDescent="0.35">
      <c r="A3456" s="13">
        <v>46410</v>
      </c>
      <c r="B3456" t="s">
        <v>3</v>
      </c>
      <c r="C3456" t="s">
        <v>215</v>
      </c>
      <c r="D3456" s="14">
        <v>8.6999999999999993</v>
      </c>
    </row>
    <row r="3457" spans="1:4" x14ac:dyDescent="0.35">
      <c r="A3457" s="13">
        <v>46410</v>
      </c>
      <c r="B3457" t="s">
        <v>77</v>
      </c>
      <c r="C3457" t="s">
        <v>216</v>
      </c>
      <c r="D3457" s="14">
        <v>10.7</v>
      </c>
    </row>
    <row r="3458" spans="1:4" x14ac:dyDescent="0.35">
      <c r="A3458" s="13">
        <v>46410</v>
      </c>
      <c r="B3458" t="s">
        <v>77</v>
      </c>
      <c r="C3458" t="s">
        <v>217</v>
      </c>
      <c r="D3458" s="14">
        <v>12.2</v>
      </c>
    </row>
    <row r="3459" spans="1:4" x14ac:dyDescent="0.35">
      <c r="A3459" s="13">
        <v>46410</v>
      </c>
      <c r="B3459" t="s">
        <v>77</v>
      </c>
      <c r="C3459" t="s">
        <v>218</v>
      </c>
      <c r="D3459" s="14">
        <v>12.2</v>
      </c>
    </row>
    <row r="3460" spans="1:4" x14ac:dyDescent="0.35">
      <c r="A3460" s="13">
        <v>46410</v>
      </c>
      <c r="B3460" t="s">
        <v>77</v>
      </c>
      <c r="C3460" t="s">
        <v>219</v>
      </c>
      <c r="D3460" s="14">
        <v>7</v>
      </c>
    </row>
    <row r="3461" spans="1:4" x14ac:dyDescent="0.35">
      <c r="A3461" s="13">
        <v>46410</v>
      </c>
      <c r="B3461" t="s">
        <v>77</v>
      </c>
      <c r="C3461" t="s">
        <v>220</v>
      </c>
      <c r="D3461" s="14">
        <v>10.6</v>
      </c>
    </row>
    <row r="3462" spans="1:4" x14ac:dyDescent="0.35">
      <c r="A3462" s="13">
        <v>46410</v>
      </c>
      <c r="B3462" t="s">
        <v>77</v>
      </c>
      <c r="C3462" t="s">
        <v>221</v>
      </c>
      <c r="D3462" s="14">
        <v>25.4</v>
      </c>
    </row>
    <row r="3463" spans="1:4" x14ac:dyDescent="0.35">
      <c r="A3463" s="13">
        <v>46410</v>
      </c>
      <c r="B3463" t="s">
        <v>77</v>
      </c>
      <c r="C3463" t="s">
        <v>222</v>
      </c>
      <c r="D3463" s="14">
        <v>11.5</v>
      </c>
    </row>
    <row r="3464" spans="1:4" x14ac:dyDescent="0.35">
      <c r="A3464" s="13">
        <v>46410</v>
      </c>
      <c r="B3464" t="s">
        <v>77</v>
      </c>
      <c r="C3464" t="s">
        <v>223</v>
      </c>
      <c r="D3464" s="14">
        <v>16.7</v>
      </c>
    </row>
    <row r="3465" spans="1:4" x14ac:dyDescent="0.35">
      <c r="A3465" s="13">
        <v>46410</v>
      </c>
      <c r="B3465" t="s">
        <v>77</v>
      </c>
      <c r="C3465" t="s">
        <v>224</v>
      </c>
      <c r="D3465" s="14">
        <v>11.9</v>
      </c>
    </row>
    <row r="3466" spans="1:4" x14ac:dyDescent="0.35">
      <c r="A3466" s="13">
        <v>46410</v>
      </c>
      <c r="B3466" t="s">
        <v>77</v>
      </c>
      <c r="C3466" t="s">
        <v>225</v>
      </c>
      <c r="D3466" s="14">
        <v>9.9</v>
      </c>
    </row>
    <row r="3467" spans="1:4" x14ac:dyDescent="0.35">
      <c r="A3467" s="13">
        <v>46410</v>
      </c>
      <c r="B3467" t="s">
        <v>77</v>
      </c>
      <c r="C3467" t="s">
        <v>226</v>
      </c>
      <c r="D3467" s="14">
        <v>16.600000000000001</v>
      </c>
    </row>
    <row r="3468" spans="1:4" x14ac:dyDescent="0.35">
      <c r="A3468" s="13">
        <v>46410</v>
      </c>
      <c r="B3468" t="s">
        <v>77</v>
      </c>
      <c r="C3468" t="s">
        <v>227</v>
      </c>
      <c r="D3468" s="14">
        <v>12.8</v>
      </c>
    </row>
    <row r="3469" spans="1:4" x14ac:dyDescent="0.35">
      <c r="A3469" s="13">
        <v>46410</v>
      </c>
      <c r="B3469" t="s">
        <v>77</v>
      </c>
      <c r="C3469" t="s">
        <v>228</v>
      </c>
      <c r="D3469" s="14">
        <v>19.8</v>
      </c>
    </row>
    <row r="3470" spans="1:4" x14ac:dyDescent="0.35">
      <c r="A3470" s="13">
        <v>46410</v>
      </c>
      <c r="B3470" t="s">
        <v>77</v>
      </c>
      <c r="C3470" t="s">
        <v>229</v>
      </c>
      <c r="D3470" s="14">
        <v>6.6</v>
      </c>
    </row>
    <row r="3471" spans="1:4" x14ac:dyDescent="0.35">
      <c r="A3471" s="13">
        <v>46410</v>
      </c>
      <c r="B3471" t="s">
        <v>77</v>
      </c>
      <c r="C3471" t="s">
        <v>230</v>
      </c>
      <c r="D3471" s="14">
        <v>7.6</v>
      </c>
    </row>
    <row r="3472" spans="1:4" x14ac:dyDescent="0.35">
      <c r="A3472" s="13">
        <v>46410</v>
      </c>
      <c r="B3472" t="s">
        <v>80</v>
      </c>
      <c r="C3472" t="s">
        <v>231</v>
      </c>
      <c r="D3472" s="14">
        <v>12.8</v>
      </c>
    </row>
    <row r="3473" spans="1:4" x14ac:dyDescent="0.35">
      <c r="A3473" s="13">
        <v>46410</v>
      </c>
      <c r="B3473" t="s">
        <v>80</v>
      </c>
      <c r="C3473" t="s">
        <v>232</v>
      </c>
      <c r="D3473" s="14">
        <v>19.5</v>
      </c>
    </row>
    <row r="3474" spans="1:4" x14ac:dyDescent="0.35">
      <c r="A3474" s="13">
        <v>46410</v>
      </c>
      <c r="B3474" t="s">
        <v>80</v>
      </c>
      <c r="C3474" t="s">
        <v>233</v>
      </c>
      <c r="D3474" s="14">
        <v>10.1</v>
      </c>
    </row>
    <row r="3475" spans="1:4" x14ac:dyDescent="0.35">
      <c r="A3475" s="13">
        <v>46410</v>
      </c>
      <c r="B3475" t="s">
        <v>80</v>
      </c>
      <c r="C3475" t="s">
        <v>234</v>
      </c>
      <c r="D3475" s="14">
        <v>6.8</v>
      </c>
    </row>
    <row r="3476" spans="1:4" x14ac:dyDescent="0.35">
      <c r="A3476" s="13">
        <v>46410</v>
      </c>
      <c r="B3476" t="s">
        <v>80</v>
      </c>
      <c r="C3476" t="s">
        <v>235</v>
      </c>
      <c r="D3476" s="14">
        <v>15.3</v>
      </c>
    </row>
    <row r="3477" spans="1:4" x14ac:dyDescent="0.35">
      <c r="A3477" s="13">
        <v>46410</v>
      </c>
      <c r="B3477" t="s">
        <v>80</v>
      </c>
      <c r="C3477" t="s">
        <v>236</v>
      </c>
      <c r="D3477" s="14">
        <v>16.8</v>
      </c>
    </row>
    <row r="3478" spans="1:4" x14ac:dyDescent="0.35">
      <c r="A3478" s="13">
        <v>46410</v>
      </c>
      <c r="B3478" t="s">
        <v>80</v>
      </c>
      <c r="C3478" t="s">
        <v>237</v>
      </c>
      <c r="D3478" s="14">
        <v>11.6</v>
      </c>
    </row>
    <row r="3479" spans="1:4" x14ac:dyDescent="0.35">
      <c r="A3479" s="13">
        <v>46410</v>
      </c>
      <c r="B3479" t="s">
        <v>80</v>
      </c>
      <c r="C3479" t="s">
        <v>238</v>
      </c>
      <c r="D3479" s="14">
        <v>15.4</v>
      </c>
    </row>
    <row r="3480" spans="1:4" x14ac:dyDescent="0.35">
      <c r="A3480" s="13">
        <v>46410</v>
      </c>
      <c r="B3480" t="s">
        <v>80</v>
      </c>
      <c r="C3480" t="s">
        <v>239</v>
      </c>
      <c r="D3480" s="14">
        <v>7.8</v>
      </c>
    </row>
    <row r="3481" spans="1:4" x14ac:dyDescent="0.35">
      <c r="A3481" s="13">
        <v>46410</v>
      </c>
      <c r="B3481" t="s">
        <v>80</v>
      </c>
      <c r="C3481" t="s">
        <v>240</v>
      </c>
      <c r="D3481" s="14">
        <v>17</v>
      </c>
    </row>
    <row r="3482" spans="1:4" x14ac:dyDescent="0.35">
      <c r="A3482" s="13">
        <v>46410</v>
      </c>
      <c r="B3482" t="s">
        <v>80</v>
      </c>
      <c r="C3482" t="s">
        <v>241</v>
      </c>
      <c r="D3482" s="14">
        <v>10.8</v>
      </c>
    </row>
    <row r="3483" spans="1:4" x14ac:dyDescent="0.35">
      <c r="A3483" s="13">
        <v>46410</v>
      </c>
      <c r="B3483" t="s">
        <v>80</v>
      </c>
      <c r="C3483" t="s">
        <v>242</v>
      </c>
      <c r="D3483" s="14">
        <v>24.5</v>
      </c>
    </row>
    <row r="3484" spans="1:4" x14ac:dyDescent="0.35">
      <c r="A3484" s="13">
        <v>46410</v>
      </c>
      <c r="B3484" t="s">
        <v>80</v>
      </c>
      <c r="C3484" t="s">
        <v>243</v>
      </c>
      <c r="D3484" s="14">
        <v>19.5</v>
      </c>
    </row>
    <row r="3485" spans="1:4" x14ac:dyDescent="0.35">
      <c r="A3485" s="13">
        <v>46410</v>
      </c>
      <c r="B3485" t="s">
        <v>80</v>
      </c>
      <c r="C3485" t="s">
        <v>244</v>
      </c>
      <c r="D3485" s="14">
        <v>13.6</v>
      </c>
    </row>
    <row r="3486" spans="1:4" x14ac:dyDescent="0.35">
      <c r="A3486" s="13">
        <v>46410</v>
      </c>
      <c r="B3486" t="s">
        <v>80</v>
      </c>
      <c r="C3486" t="s">
        <v>245</v>
      </c>
      <c r="D3486" s="14">
        <v>12.9</v>
      </c>
    </row>
    <row r="3487" spans="1:4" x14ac:dyDescent="0.35">
      <c r="A3487" s="13">
        <v>46410</v>
      </c>
      <c r="B3487" t="s">
        <v>80</v>
      </c>
      <c r="C3487" t="s">
        <v>246</v>
      </c>
      <c r="D3487" s="14">
        <v>13.4</v>
      </c>
    </row>
    <row r="3488" spans="1:4" x14ac:dyDescent="0.35">
      <c r="A3488" s="13">
        <v>46410</v>
      </c>
      <c r="B3488" t="s">
        <v>80</v>
      </c>
      <c r="C3488" t="s">
        <v>247</v>
      </c>
      <c r="D3488" s="14">
        <v>23.6</v>
      </c>
    </row>
    <row r="3489" spans="1:4" x14ac:dyDescent="0.35">
      <c r="A3489" s="13">
        <v>46410</v>
      </c>
      <c r="B3489" t="s">
        <v>82</v>
      </c>
      <c r="C3489" t="s">
        <v>248</v>
      </c>
      <c r="D3489" s="14">
        <v>18.899999999999999</v>
      </c>
    </row>
    <row r="3490" spans="1:4" x14ac:dyDescent="0.35">
      <c r="A3490" s="13">
        <v>46410</v>
      </c>
      <c r="B3490" t="s">
        <v>82</v>
      </c>
      <c r="C3490" t="s">
        <v>249</v>
      </c>
      <c r="D3490" s="14">
        <v>8.4</v>
      </c>
    </row>
    <row r="3491" spans="1:4" x14ac:dyDescent="0.35">
      <c r="A3491" s="13">
        <v>46410</v>
      </c>
      <c r="B3491" t="s">
        <v>82</v>
      </c>
      <c r="C3491" t="s">
        <v>250</v>
      </c>
      <c r="D3491" s="14">
        <v>13.4</v>
      </c>
    </row>
    <row r="3492" spans="1:4" x14ac:dyDescent="0.35">
      <c r="A3492" s="13">
        <v>46410</v>
      </c>
      <c r="B3492" t="s">
        <v>82</v>
      </c>
      <c r="C3492" t="s">
        <v>251</v>
      </c>
      <c r="D3492" s="14">
        <v>9.4</v>
      </c>
    </row>
    <row r="3493" spans="1:4" x14ac:dyDescent="0.35">
      <c r="A3493" s="13">
        <v>46410</v>
      </c>
      <c r="B3493" t="s">
        <v>82</v>
      </c>
      <c r="C3493" t="s">
        <v>252</v>
      </c>
      <c r="D3493" s="14">
        <v>8.5</v>
      </c>
    </row>
    <row r="3494" spans="1:4" x14ac:dyDescent="0.35">
      <c r="A3494" s="13">
        <v>46410</v>
      </c>
      <c r="B3494" t="s">
        <v>82</v>
      </c>
      <c r="C3494" t="s">
        <v>253</v>
      </c>
      <c r="D3494" s="14">
        <v>14.1</v>
      </c>
    </row>
    <row r="3495" spans="1:4" x14ac:dyDescent="0.35">
      <c r="A3495" s="13">
        <v>46410</v>
      </c>
      <c r="B3495" t="s">
        <v>82</v>
      </c>
      <c r="C3495" t="s">
        <v>254</v>
      </c>
      <c r="D3495" s="14">
        <v>7</v>
      </c>
    </row>
    <row r="3496" spans="1:4" x14ac:dyDescent="0.35">
      <c r="A3496" s="13">
        <v>46410</v>
      </c>
      <c r="B3496" t="s">
        <v>82</v>
      </c>
      <c r="C3496" t="s">
        <v>255</v>
      </c>
      <c r="D3496" s="14">
        <v>8.6</v>
      </c>
    </row>
    <row r="3497" spans="1:4" x14ac:dyDescent="0.35">
      <c r="A3497" s="13">
        <v>46410</v>
      </c>
      <c r="B3497" t="s">
        <v>82</v>
      </c>
      <c r="C3497" t="s">
        <v>256</v>
      </c>
      <c r="D3497" s="14">
        <v>15.2</v>
      </c>
    </row>
    <row r="3498" spans="1:4" x14ac:dyDescent="0.35">
      <c r="A3498" s="13">
        <v>46410</v>
      </c>
      <c r="B3498" t="s">
        <v>82</v>
      </c>
      <c r="C3498" t="s">
        <v>257</v>
      </c>
      <c r="D3498" s="14">
        <v>13.7</v>
      </c>
    </row>
    <row r="3499" spans="1:4" x14ac:dyDescent="0.35">
      <c r="A3499" s="13">
        <v>46410</v>
      </c>
      <c r="B3499" t="s">
        <v>82</v>
      </c>
      <c r="C3499" t="s">
        <v>258</v>
      </c>
      <c r="D3499" s="14">
        <v>19.5</v>
      </c>
    </row>
    <row r="3500" spans="1:4" x14ac:dyDescent="0.35">
      <c r="A3500" s="13">
        <v>46410</v>
      </c>
      <c r="B3500" t="s">
        <v>82</v>
      </c>
      <c r="C3500" t="s">
        <v>259</v>
      </c>
      <c r="D3500" s="14">
        <v>9.1999999999999993</v>
      </c>
    </row>
    <row r="3501" spans="1:4" x14ac:dyDescent="0.35">
      <c r="A3501" s="13">
        <v>46410</v>
      </c>
      <c r="B3501" t="s">
        <v>82</v>
      </c>
      <c r="C3501" t="s">
        <v>260</v>
      </c>
      <c r="D3501" s="14">
        <v>9.3000000000000007</v>
      </c>
    </row>
    <row r="3502" spans="1:4" x14ac:dyDescent="0.35">
      <c r="A3502" s="13">
        <v>46410</v>
      </c>
      <c r="B3502" t="s">
        <v>82</v>
      </c>
      <c r="C3502" t="s">
        <v>261</v>
      </c>
      <c r="D3502" s="14">
        <v>13.6</v>
      </c>
    </row>
    <row r="3503" spans="1:4" x14ac:dyDescent="0.35">
      <c r="A3503" s="13">
        <v>46410</v>
      </c>
      <c r="B3503" t="s">
        <v>82</v>
      </c>
      <c r="C3503" t="s">
        <v>262</v>
      </c>
      <c r="D3503" s="14">
        <v>18.5</v>
      </c>
    </row>
    <row r="3504" spans="1:4" x14ac:dyDescent="0.35">
      <c r="A3504" s="13">
        <v>46410</v>
      </c>
      <c r="B3504" t="s">
        <v>82</v>
      </c>
      <c r="C3504" t="s">
        <v>263</v>
      </c>
      <c r="D3504" s="14">
        <v>8.1</v>
      </c>
    </row>
    <row r="3505" spans="1:4" x14ac:dyDescent="0.35">
      <c r="A3505" s="13">
        <v>46410</v>
      </c>
      <c r="B3505" t="s">
        <v>82</v>
      </c>
      <c r="C3505" t="s">
        <v>264</v>
      </c>
      <c r="D3505" s="14">
        <v>20.6</v>
      </c>
    </row>
    <row r="3506" spans="1:4" x14ac:dyDescent="0.35">
      <c r="A3506" s="13">
        <v>46410</v>
      </c>
      <c r="B3506" t="s">
        <v>82</v>
      </c>
      <c r="C3506" t="s">
        <v>265</v>
      </c>
      <c r="D3506" s="14">
        <v>14</v>
      </c>
    </row>
    <row r="3507" spans="1:4" x14ac:dyDescent="0.35">
      <c r="A3507" s="13">
        <v>46410</v>
      </c>
      <c r="B3507" t="s">
        <v>85</v>
      </c>
      <c r="C3507" t="s">
        <v>266</v>
      </c>
      <c r="D3507" s="14">
        <v>9.6</v>
      </c>
    </row>
    <row r="3508" spans="1:4" x14ac:dyDescent="0.35">
      <c r="A3508" s="13">
        <v>46410</v>
      </c>
      <c r="B3508" t="s">
        <v>85</v>
      </c>
      <c r="C3508" t="s">
        <v>267</v>
      </c>
      <c r="D3508" s="14">
        <v>5.9</v>
      </c>
    </row>
    <row r="3509" spans="1:4" x14ac:dyDescent="0.35">
      <c r="A3509" s="13">
        <v>46410</v>
      </c>
      <c r="B3509" t="s">
        <v>85</v>
      </c>
      <c r="C3509" t="s">
        <v>268</v>
      </c>
      <c r="D3509" s="14">
        <v>18.8</v>
      </c>
    </row>
    <row r="3510" spans="1:4" x14ac:dyDescent="0.35">
      <c r="A3510" s="13">
        <v>46410</v>
      </c>
      <c r="B3510" t="s">
        <v>85</v>
      </c>
      <c r="C3510" t="s">
        <v>269</v>
      </c>
      <c r="D3510" s="14">
        <v>19.100000000000001</v>
      </c>
    </row>
    <row r="3511" spans="1:4" x14ac:dyDescent="0.35">
      <c r="A3511" s="13">
        <v>46410</v>
      </c>
      <c r="B3511" t="s">
        <v>85</v>
      </c>
      <c r="C3511" t="s">
        <v>270</v>
      </c>
      <c r="D3511" s="14">
        <v>15.8</v>
      </c>
    </row>
    <row r="3512" spans="1:4" x14ac:dyDescent="0.35">
      <c r="A3512" s="13">
        <v>46410</v>
      </c>
      <c r="B3512" t="s">
        <v>85</v>
      </c>
      <c r="C3512" t="s">
        <v>271</v>
      </c>
      <c r="D3512" s="14">
        <v>11.5</v>
      </c>
    </row>
    <row r="3513" spans="1:4" x14ac:dyDescent="0.35">
      <c r="A3513" s="13">
        <v>46410</v>
      </c>
      <c r="B3513" t="s">
        <v>85</v>
      </c>
      <c r="C3513" t="s">
        <v>272</v>
      </c>
      <c r="D3513" s="14">
        <v>16</v>
      </c>
    </row>
    <row r="3514" spans="1:4" x14ac:dyDescent="0.35">
      <c r="A3514" s="13">
        <v>46410</v>
      </c>
      <c r="B3514" t="s">
        <v>85</v>
      </c>
      <c r="C3514" t="s">
        <v>273</v>
      </c>
      <c r="D3514" s="14">
        <v>7.9</v>
      </c>
    </row>
    <row r="3515" spans="1:4" x14ac:dyDescent="0.35">
      <c r="A3515" s="13">
        <v>46410</v>
      </c>
      <c r="B3515" t="s">
        <v>85</v>
      </c>
      <c r="C3515" t="s">
        <v>274</v>
      </c>
      <c r="D3515" s="14">
        <v>7.5</v>
      </c>
    </row>
    <row r="3516" spans="1:4" x14ac:dyDescent="0.35">
      <c r="A3516" s="13">
        <v>46410</v>
      </c>
      <c r="B3516" t="s">
        <v>85</v>
      </c>
      <c r="C3516" t="s">
        <v>275</v>
      </c>
      <c r="D3516" s="14">
        <v>14.6</v>
      </c>
    </row>
    <row r="3517" spans="1:4" x14ac:dyDescent="0.35">
      <c r="A3517" s="13">
        <v>46410</v>
      </c>
      <c r="B3517" t="s">
        <v>85</v>
      </c>
      <c r="C3517" t="s">
        <v>276</v>
      </c>
      <c r="D3517" s="14">
        <v>9.8000000000000007</v>
      </c>
    </row>
    <row r="3518" spans="1:4" x14ac:dyDescent="0.35">
      <c r="A3518" s="13">
        <v>46410</v>
      </c>
      <c r="B3518" t="s">
        <v>85</v>
      </c>
      <c r="C3518" t="s">
        <v>277</v>
      </c>
      <c r="D3518" s="14">
        <v>12.1</v>
      </c>
    </row>
    <row r="3519" spans="1:4" x14ac:dyDescent="0.35">
      <c r="A3519" s="13">
        <v>46410</v>
      </c>
      <c r="B3519" t="s">
        <v>85</v>
      </c>
      <c r="C3519" t="s">
        <v>278</v>
      </c>
      <c r="D3519" s="14">
        <v>14.2</v>
      </c>
    </row>
    <row r="3520" spans="1:4" x14ac:dyDescent="0.35">
      <c r="A3520" s="13">
        <v>46410</v>
      </c>
      <c r="B3520" t="s">
        <v>85</v>
      </c>
      <c r="C3520" t="s">
        <v>279</v>
      </c>
      <c r="D3520" s="14">
        <v>9.6</v>
      </c>
    </row>
    <row r="3521" spans="1:4" x14ac:dyDescent="0.35">
      <c r="A3521" s="13">
        <v>46410</v>
      </c>
      <c r="B3521" t="s">
        <v>85</v>
      </c>
      <c r="C3521" t="s">
        <v>280</v>
      </c>
      <c r="D3521" s="14">
        <v>12.8</v>
      </c>
    </row>
    <row r="3522" spans="1:4" x14ac:dyDescent="0.35">
      <c r="A3522" s="13">
        <v>46410</v>
      </c>
      <c r="B3522" t="s">
        <v>85</v>
      </c>
      <c r="C3522" t="s">
        <v>281</v>
      </c>
      <c r="D3522" s="14">
        <v>10.4</v>
      </c>
    </row>
    <row r="3523" spans="1:4" x14ac:dyDescent="0.35">
      <c r="A3523" s="13">
        <v>46410</v>
      </c>
      <c r="B3523" t="s">
        <v>87</v>
      </c>
      <c r="C3523" t="s">
        <v>282</v>
      </c>
      <c r="D3523" s="14">
        <v>6.7</v>
      </c>
    </row>
    <row r="3524" spans="1:4" x14ac:dyDescent="0.35">
      <c r="A3524" s="13">
        <v>46410</v>
      </c>
      <c r="B3524" t="s">
        <v>87</v>
      </c>
      <c r="C3524" t="s">
        <v>283</v>
      </c>
      <c r="D3524" s="14">
        <v>12.7</v>
      </c>
    </row>
    <row r="3525" spans="1:4" x14ac:dyDescent="0.35">
      <c r="A3525" s="13">
        <v>46410</v>
      </c>
      <c r="B3525" t="s">
        <v>87</v>
      </c>
      <c r="C3525" t="s">
        <v>284</v>
      </c>
      <c r="D3525" s="14">
        <v>10.9</v>
      </c>
    </row>
    <row r="3526" spans="1:4" x14ac:dyDescent="0.35">
      <c r="A3526" s="13">
        <v>46410</v>
      </c>
      <c r="B3526" t="s">
        <v>87</v>
      </c>
      <c r="C3526" t="s">
        <v>285</v>
      </c>
      <c r="D3526" s="14">
        <v>15.7</v>
      </c>
    </row>
    <row r="3527" spans="1:4" x14ac:dyDescent="0.35">
      <c r="A3527" s="13">
        <v>46410</v>
      </c>
      <c r="B3527" t="s">
        <v>87</v>
      </c>
      <c r="C3527" t="s">
        <v>286</v>
      </c>
      <c r="D3527" s="14">
        <v>11.3</v>
      </c>
    </row>
    <row r="3528" spans="1:4" x14ac:dyDescent="0.35">
      <c r="A3528" s="13">
        <v>46410</v>
      </c>
      <c r="B3528" t="s">
        <v>87</v>
      </c>
      <c r="C3528" t="s">
        <v>287</v>
      </c>
      <c r="D3528" s="14">
        <v>14.5</v>
      </c>
    </row>
    <row r="3529" spans="1:4" x14ac:dyDescent="0.35">
      <c r="A3529" s="13">
        <v>46410</v>
      </c>
      <c r="B3529" t="s">
        <v>87</v>
      </c>
      <c r="C3529" t="s">
        <v>288</v>
      </c>
      <c r="D3529" s="14">
        <v>9.1999999999999993</v>
      </c>
    </row>
    <row r="3530" spans="1:4" x14ac:dyDescent="0.35">
      <c r="A3530" s="13">
        <v>46410</v>
      </c>
      <c r="B3530" t="s">
        <v>87</v>
      </c>
      <c r="C3530" t="s">
        <v>289</v>
      </c>
      <c r="D3530" s="14">
        <v>10</v>
      </c>
    </row>
    <row r="3531" spans="1:4" x14ac:dyDescent="0.35">
      <c r="A3531" s="13">
        <v>46410</v>
      </c>
      <c r="B3531" t="s">
        <v>87</v>
      </c>
      <c r="C3531" t="s">
        <v>290</v>
      </c>
      <c r="D3531" s="14">
        <v>15</v>
      </c>
    </row>
    <row r="3532" spans="1:4" x14ac:dyDescent="0.35">
      <c r="A3532" s="13">
        <v>46410</v>
      </c>
      <c r="B3532" t="s">
        <v>87</v>
      </c>
      <c r="C3532" t="s">
        <v>291</v>
      </c>
      <c r="D3532" s="14">
        <v>11.6</v>
      </c>
    </row>
    <row r="3533" spans="1:4" x14ac:dyDescent="0.35">
      <c r="A3533" s="13">
        <v>46410</v>
      </c>
      <c r="B3533" t="s">
        <v>87</v>
      </c>
      <c r="C3533" t="s">
        <v>292</v>
      </c>
      <c r="D3533" s="14">
        <v>9.6999999999999993</v>
      </c>
    </row>
    <row r="3534" spans="1:4" x14ac:dyDescent="0.35">
      <c r="A3534" s="13">
        <v>46410</v>
      </c>
      <c r="B3534" t="s">
        <v>87</v>
      </c>
      <c r="C3534" t="s">
        <v>293</v>
      </c>
      <c r="D3534" s="14">
        <v>9</v>
      </c>
    </row>
    <row r="3535" spans="1:4" x14ac:dyDescent="0.35">
      <c r="A3535" s="13">
        <v>46410</v>
      </c>
      <c r="B3535" t="s">
        <v>87</v>
      </c>
      <c r="C3535" t="s">
        <v>294</v>
      </c>
      <c r="D3535" s="14">
        <v>8.9</v>
      </c>
    </row>
    <row r="3536" spans="1:4" x14ac:dyDescent="0.35">
      <c r="A3536" s="13">
        <v>46410</v>
      </c>
      <c r="B3536" t="s">
        <v>87</v>
      </c>
      <c r="C3536" t="s">
        <v>295</v>
      </c>
      <c r="D3536" s="14">
        <v>11.1</v>
      </c>
    </row>
    <row r="3537" spans="1:4" x14ac:dyDescent="0.35">
      <c r="A3537" s="13">
        <v>46410</v>
      </c>
      <c r="B3537" t="s">
        <v>87</v>
      </c>
      <c r="C3537" t="s">
        <v>296</v>
      </c>
      <c r="D3537" s="14">
        <v>16.7</v>
      </c>
    </row>
    <row r="3538" spans="1:4" x14ac:dyDescent="0.35">
      <c r="A3538" s="13">
        <v>46410</v>
      </c>
      <c r="B3538" t="s">
        <v>87</v>
      </c>
      <c r="C3538" t="s">
        <v>297</v>
      </c>
      <c r="D3538" s="14">
        <v>12.1</v>
      </c>
    </row>
    <row r="3539" spans="1:4" x14ac:dyDescent="0.35">
      <c r="A3539" s="13">
        <v>46410</v>
      </c>
      <c r="B3539" t="s">
        <v>77</v>
      </c>
      <c r="C3539" t="s">
        <v>298</v>
      </c>
      <c r="D3539" s="14">
        <v>12.1</v>
      </c>
    </row>
    <row r="3540" spans="1:4" x14ac:dyDescent="0.35">
      <c r="A3540" s="13">
        <v>46410</v>
      </c>
      <c r="B3540" t="s">
        <v>85</v>
      </c>
      <c r="C3540" t="s">
        <v>299</v>
      </c>
      <c r="D3540" s="14">
        <v>12.4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/>
  </sheetViews>
  <sheetFormatPr defaultRowHeight="14.5" x14ac:dyDescent="0.35"/>
  <cols>
    <col min="1" max="11" width="15" customWidth="1"/>
  </cols>
  <sheetData>
    <row r="1" spans="1:11" ht="21" x14ac:dyDescent="0.5">
      <c r="A1" s="1" t="s">
        <v>398</v>
      </c>
    </row>
    <row r="2" spans="1:11" x14ac:dyDescent="0.35">
      <c r="A2" s="2" t="s">
        <v>399</v>
      </c>
    </row>
    <row r="4" spans="1:11" ht="30" customHeight="1" x14ac:dyDescent="0.35">
      <c r="A4" s="12" t="s">
        <v>317</v>
      </c>
      <c r="B4" s="12" t="s">
        <v>4</v>
      </c>
      <c r="C4" s="12" t="s">
        <v>400</v>
      </c>
      <c r="D4" s="12" t="s">
        <v>401</v>
      </c>
      <c r="E4" s="12" t="s">
        <v>109</v>
      </c>
      <c r="F4" s="12" t="s">
        <v>402</v>
      </c>
      <c r="G4" s="12" t="s">
        <v>403</v>
      </c>
      <c r="H4" s="12" t="s">
        <v>404</v>
      </c>
      <c r="I4" s="12" t="s">
        <v>405</v>
      </c>
      <c r="J4" s="12" t="s">
        <v>406</v>
      </c>
      <c r="K4" s="12" t="s">
        <v>407</v>
      </c>
    </row>
    <row r="5" spans="1:11" x14ac:dyDescent="0.35">
      <c r="A5" t="s">
        <v>70</v>
      </c>
      <c r="B5" t="s">
        <v>71</v>
      </c>
      <c r="C5" t="s">
        <v>408</v>
      </c>
      <c r="D5">
        <v>205</v>
      </c>
      <c r="E5" t="s">
        <v>72</v>
      </c>
      <c r="F5" s="18">
        <v>9.5</v>
      </c>
      <c r="G5" s="25">
        <v>165</v>
      </c>
      <c r="H5" s="18">
        <f>INDEX(Carriers!$C:$C,MATCH(E5,Carriers!$A:$A,0))+D5*INDEX(Carriers!$D:$D,MATCH(E5,Carriers!$A:$A,0))</f>
        <v>900.25</v>
      </c>
      <c r="I5">
        <v>15</v>
      </c>
      <c r="J5" s="17">
        <v>0.73829999999999996</v>
      </c>
      <c r="K5" t="s">
        <v>409</v>
      </c>
    </row>
    <row r="6" spans="1:11" x14ac:dyDescent="0.35">
      <c r="A6" t="s">
        <v>73</v>
      </c>
      <c r="B6" t="s">
        <v>74</v>
      </c>
      <c r="C6" t="s">
        <v>410</v>
      </c>
      <c r="D6">
        <v>190</v>
      </c>
      <c r="E6" t="s">
        <v>72</v>
      </c>
      <c r="F6" s="18">
        <v>10.25</v>
      </c>
      <c r="G6" s="25">
        <v>180</v>
      </c>
      <c r="H6" s="18">
        <f>INDEX(Carriers!$C:$C,MATCH(E6,Carriers!$A:$A,0))+D6*INDEX(Carriers!$D:$D,MATCH(E6,Carriers!$A:$A,0))</f>
        <v>854.5</v>
      </c>
      <c r="I6">
        <v>15</v>
      </c>
      <c r="J6" s="17">
        <v>0.79159999999999997</v>
      </c>
      <c r="K6" t="s">
        <v>409</v>
      </c>
    </row>
    <row r="7" spans="1:11" x14ac:dyDescent="0.35">
      <c r="A7" t="s">
        <v>3</v>
      </c>
      <c r="B7" t="s">
        <v>75</v>
      </c>
      <c r="C7" t="s">
        <v>411</v>
      </c>
      <c r="D7">
        <v>265</v>
      </c>
      <c r="E7" t="s">
        <v>76</v>
      </c>
      <c r="F7" s="18">
        <v>10.75</v>
      </c>
      <c r="G7" s="25">
        <v>195</v>
      </c>
      <c r="H7" s="18">
        <f>INDEX(Carriers!$C:$C,MATCH(E7,Carriers!$A:$A,0))+D7*INDEX(Carriers!$D:$D,MATCH(E7,Carriers!$A:$A,0))</f>
        <v>1005.25</v>
      </c>
      <c r="I7">
        <v>18</v>
      </c>
      <c r="J7" s="17">
        <v>0.80469999999999997</v>
      </c>
      <c r="K7" t="s">
        <v>409</v>
      </c>
    </row>
    <row r="8" spans="1:11" x14ac:dyDescent="0.35">
      <c r="A8" t="s">
        <v>77</v>
      </c>
      <c r="B8" t="s">
        <v>78</v>
      </c>
      <c r="C8" t="s">
        <v>412</v>
      </c>
      <c r="D8">
        <v>120</v>
      </c>
      <c r="E8" t="s">
        <v>79</v>
      </c>
      <c r="F8" s="18">
        <v>8.75</v>
      </c>
      <c r="G8" s="25">
        <v>150</v>
      </c>
      <c r="H8" s="18">
        <f>INDEX(Carriers!$C:$C,MATCH(E8,Carriers!$A:$A,0))+D8*INDEX(Carriers!$D:$D,MATCH(E8,Carriers!$A:$A,0))</f>
        <v>684</v>
      </c>
      <c r="I8">
        <v>15</v>
      </c>
      <c r="J8" s="17">
        <v>0.74490000000000001</v>
      </c>
      <c r="K8" t="s">
        <v>413</v>
      </c>
    </row>
    <row r="9" spans="1:11" x14ac:dyDescent="0.35">
      <c r="A9" t="s">
        <v>80</v>
      </c>
      <c r="B9" t="s">
        <v>81</v>
      </c>
      <c r="C9" t="s">
        <v>412</v>
      </c>
      <c r="D9">
        <v>300</v>
      </c>
      <c r="E9" t="s">
        <v>79</v>
      </c>
      <c r="F9" s="18">
        <v>9.25</v>
      </c>
      <c r="G9" s="25">
        <v>170</v>
      </c>
      <c r="H9" s="18">
        <f>INDEX(Carriers!$C:$C,MATCH(E9,Carriers!$A:$A,0))+D9*INDEX(Carriers!$D:$D,MATCH(E9,Carriers!$A:$A,0))</f>
        <v>1260</v>
      </c>
      <c r="I9">
        <v>17</v>
      </c>
      <c r="J9" s="17">
        <v>0.78369999999999995</v>
      </c>
      <c r="K9" t="s">
        <v>409</v>
      </c>
    </row>
    <row r="10" spans="1:11" x14ac:dyDescent="0.35">
      <c r="A10" t="s">
        <v>82</v>
      </c>
      <c r="B10" t="s">
        <v>83</v>
      </c>
      <c r="C10" t="s">
        <v>414</v>
      </c>
      <c r="D10">
        <v>115</v>
      </c>
      <c r="E10" t="s">
        <v>84</v>
      </c>
      <c r="F10" s="18">
        <v>9.75</v>
      </c>
      <c r="G10" s="25">
        <v>175</v>
      </c>
      <c r="H10" s="18">
        <f>INDEX(Carriers!$C:$C,MATCH(E10,Carriers!$A:$A,0))+D10*INDEX(Carriers!$D:$D,MATCH(E10,Carriers!$A:$A,0))</f>
        <v>599.25</v>
      </c>
      <c r="I10">
        <v>17</v>
      </c>
      <c r="J10" s="17">
        <v>0.76890000000000003</v>
      </c>
      <c r="K10" t="s">
        <v>413</v>
      </c>
    </row>
    <row r="11" spans="1:11" x14ac:dyDescent="0.35">
      <c r="A11" t="s">
        <v>85</v>
      </c>
      <c r="B11" t="s">
        <v>86</v>
      </c>
      <c r="C11" t="s">
        <v>415</v>
      </c>
      <c r="D11">
        <v>255</v>
      </c>
      <c r="E11" t="s">
        <v>84</v>
      </c>
      <c r="F11" s="18">
        <v>8.5</v>
      </c>
      <c r="G11" s="25">
        <v>155</v>
      </c>
      <c r="H11" s="18">
        <f>INDEX(Carriers!$C:$C,MATCH(E11,Carriers!$A:$A,0))+D11*INDEX(Carriers!$D:$D,MATCH(E11,Carriers!$A:$A,0))</f>
        <v>1012.25</v>
      </c>
      <c r="I11">
        <v>13</v>
      </c>
      <c r="J11" s="17">
        <v>0.75660000000000005</v>
      </c>
      <c r="K11" t="s">
        <v>413</v>
      </c>
    </row>
    <row r="12" spans="1:11" x14ac:dyDescent="0.35">
      <c r="A12" t="s">
        <v>87</v>
      </c>
      <c r="B12" t="s">
        <v>88</v>
      </c>
      <c r="C12" t="s">
        <v>408</v>
      </c>
      <c r="D12">
        <v>250</v>
      </c>
      <c r="E12" t="s">
        <v>76</v>
      </c>
      <c r="F12" s="18">
        <v>9</v>
      </c>
      <c r="G12" s="25">
        <v>160</v>
      </c>
      <c r="H12" s="18">
        <f>INDEX(Carriers!$C:$C,MATCH(E12,Carriers!$A:$A,0))+D12*INDEX(Carriers!$D:$D,MATCH(E12,Carriers!$A:$A,0))</f>
        <v>962.5</v>
      </c>
      <c r="I12">
        <v>13</v>
      </c>
      <c r="J12" s="17">
        <v>0.7006</v>
      </c>
      <c r="K12" t="s">
        <v>409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workbookViewId="0"/>
  </sheetViews>
  <sheetFormatPr defaultRowHeight="14.5" x14ac:dyDescent="0.35"/>
  <cols>
    <col min="1" max="5" width="16" customWidth="1"/>
  </cols>
  <sheetData>
    <row r="1" spans="1:5" ht="21" x14ac:dyDescent="0.5">
      <c r="A1" s="1" t="s">
        <v>416</v>
      </c>
    </row>
    <row r="2" spans="1:5" x14ac:dyDescent="0.35">
      <c r="A2" s="2" t="s">
        <v>417</v>
      </c>
    </row>
    <row r="4" spans="1:5" ht="30" customHeight="1" x14ac:dyDescent="0.35">
      <c r="A4" s="12" t="s">
        <v>109</v>
      </c>
      <c r="B4" s="12" t="s">
        <v>110</v>
      </c>
      <c r="C4" s="12" t="s">
        <v>418</v>
      </c>
      <c r="D4" s="12" t="s">
        <v>419</v>
      </c>
      <c r="E4" s="12" t="s">
        <v>420</v>
      </c>
    </row>
    <row r="5" spans="1:5" x14ac:dyDescent="0.35">
      <c r="A5" t="s">
        <v>72</v>
      </c>
      <c r="B5" t="s">
        <v>92</v>
      </c>
      <c r="C5" s="25">
        <v>275</v>
      </c>
      <c r="D5" s="18">
        <v>3.05</v>
      </c>
      <c r="E5" s="17">
        <v>0.96499999999999997</v>
      </c>
    </row>
    <row r="6" spans="1:5" x14ac:dyDescent="0.35">
      <c r="A6" t="s">
        <v>76</v>
      </c>
      <c r="B6" t="s">
        <v>93</v>
      </c>
      <c r="C6" s="25">
        <v>250</v>
      </c>
      <c r="D6" s="18">
        <v>2.85</v>
      </c>
      <c r="E6" s="17">
        <v>0.92500000000000004</v>
      </c>
    </row>
    <row r="7" spans="1:5" x14ac:dyDescent="0.35">
      <c r="A7" t="s">
        <v>79</v>
      </c>
      <c r="B7" t="s">
        <v>94</v>
      </c>
      <c r="C7" s="25">
        <v>300</v>
      </c>
      <c r="D7" s="18">
        <v>3.2</v>
      </c>
      <c r="E7" s="17">
        <v>0.97499999999999998</v>
      </c>
    </row>
    <row r="8" spans="1:5" x14ac:dyDescent="0.35">
      <c r="A8" t="s">
        <v>84</v>
      </c>
      <c r="B8" t="s">
        <v>95</v>
      </c>
      <c r="C8" s="25">
        <v>260</v>
      </c>
      <c r="D8" s="18">
        <v>2.95</v>
      </c>
      <c r="E8" s="17">
        <v>0.95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40"/>
  <sheetViews>
    <sheetView workbookViewId="0"/>
  </sheetViews>
  <sheetFormatPr defaultRowHeight="14.5" x14ac:dyDescent="0.35"/>
  <cols>
    <col min="1" max="9" width="14" customWidth="1"/>
  </cols>
  <sheetData>
    <row r="1" spans="1:9" ht="21" x14ac:dyDescent="0.5">
      <c r="A1" s="1" t="s">
        <v>421</v>
      </c>
    </row>
    <row r="2" spans="1:9" x14ac:dyDescent="0.35">
      <c r="A2" s="2" t="s">
        <v>422</v>
      </c>
    </row>
    <row r="4" spans="1:9" ht="30" customHeight="1" x14ac:dyDescent="0.35">
      <c r="A4" s="12" t="s">
        <v>318</v>
      </c>
      <c r="B4" s="12" t="s">
        <v>317</v>
      </c>
      <c r="C4" s="12" t="s">
        <v>142</v>
      </c>
      <c r="D4" s="12" t="s">
        <v>423</v>
      </c>
      <c r="E4" s="12" t="s">
        <v>424</v>
      </c>
      <c r="F4" s="12" t="s">
        <v>144</v>
      </c>
      <c r="G4" s="12" t="s">
        <v>425</v>
      </c>
      <c r="H4" s="12" t="s">
        <v>145</v>
      </c>
      <c r="I4" s="12" t="s">
        <v>146</v>
      </c>
    </row>
    <row r="5" spans="1:9" x14ac:dyDescent="0.35">
      <c r="A5" t="s">
        <v>155</v>
      </c>
      <c r="B5" t="s">
        <v>70</v>
      </c>
      <c r="C5" t="s">
        <v>71</v>
      </c>
      <c r="D5" t="s">
        <v>156</v>
      </c>
      <c r="E5" s="14">
        <v>24.18</v>
      </c>
      <c r="F5" t="s">
        <v>426</v>
      </c>
      <c r="G5">
        <v>3</v>
      </c>
      <c r="H5">
        <v>11</v>
      </c>
      <c r="I5" s="13">
        <v>42005</v>
      </c>
    </row>
    <row r="6" spans="1:9" x14ac:dyDescent="0.35">
      <c r="A6" t="s">
        <v>158</v>
      </c>
      <c r="B6" t="s">
        <v>70</v>
      </c>
      <c r="C6" t="s">
        <v>71</v>
      </c>
      <c r="D6" t="s">
        <v>156</v>
      </c>
      <c r="E6" s="14">
        <v>21.41</v>
      </c>
      <c r="F6" t="s">
        <v>426</v>
      </c>
      <c r="G6">
        <v>3</v>
      </c>
      <c r="H6">
        <v>10</v>
      </c>
      <c r="I6" s="13">
        <v>42005</v>
      </c>
    </row>
    <row r="7" spans="1:9" x14ac:dyDescent="0.35">
      <c r="A7" t="s">
        <v>159</v>
      </c>
      <c r="B7" t="s">
        <v>70</v>
      </c>
      <c r="C7" t="s">
        <v>71</v>
      </c>
      <c r="D7" t="s">
        <v>160</v>
      </c>
      <c r="E7" s="14">
        <v>15.97</v>
      </c>
      <c r="F7" t="s">
        <v>300</v>
      </c>
      <c r="G7">
        <v>2</v>
      </c>
      <c r="H7">
        <v>11</v>
      </c>
      <c r="I7" s="13">
        <v>42005</v>
      </c>
    </row>
    <row r="8" spans="1:9" x14ac:dyDescent="0.35">
      <c r="A8" t="s">
        <v>162</v>
      </c>
      <c r="B8" t="s">
        <v>70</v>
      </c>
      <c r="C8" t="s">
        <v>71</v>
      </c>
      <c r="D8" t="s">
        <v>156</v>
      </c>
      <c r="E8" s="14">
        <v>22.53</v>
      </c>
      <c r="F8" t="s">
        <v>427</v>
      </c>
      <c r="G8">
        <v>3</v>
      </c>
      <c r="H8">
        <v>10</v>
      </c>
      <c r="I8" s="13">
        <v>42005</v>
      </c>
    </row>
    <row r="9" spans="1:9" x14ac:dyDescent="0.35">
      <c r="A9" t="s">
        <v>164</v>
      </c>
      <c r="B9" t="s">
        <v>70</v>
      </c>
      <c r="C9" t="s">
        <v>71</v>
      </c>
      <c r="D9" t="s">
        <v>165</v>
      </c>
      <c r="E9" s="14">
        <v>10.27</v>
      </c>
      <c r="F9" t="s">
        <v>428</v>
      </c>
      <c r="G9">
        <v>2</v>
      </c>
      <c r="H9">
        <v>7</v>
      </c>
      <c r="I9" s="13">
        <v>42005</v>
      </c>
    </row>
    <row r="10" spans="1:9" x14ac:dyDescent="0.35">
      <c r="A10" t="s">
        <v>167</v>
      </c>
      <c r="B10" t="s">
        <v>70</v>
      </c>
      <c r="C10" t="s">
        <v>71</v>
      </c>
      <c r="D10" t="s">
        <v>160</v>
      </c>
      <c r="E10" s="14">
        <v>12.64</v>
      </c>
      <c r="F10" t="s">
        <v>188</v>
      </c>
      <c r="G10">
        <v>2</v>
      </c>
      <c r="H10">
        <v>9</v>
      </c>
      <c r="I10" s="13">
        <v>42005</v>
      </c>
    </row>
    <row r="11" spans="1:9" x14ac:dyDescent="0.35">
      <c r="A11" t="s">
        <v>169</v>
      </c>
      <c r="B11" t="s">
        <v>70</v>
      </c>
      <c r="C11" t="s">
        <v>71</v>
      </c>
      <c r="D11" t="s">
        <v>165</v>
      </c>
      <c r="E11" s="14">
        <v>9.75</v>
      </c>
      <c r="F11" t="s">
        <v>300</v>
      </c>
      <c r="G11">
        <v>2</v>
      </c>
      <c r="H11">
        <v>7</v>
      </c>
      <c r="I11" s="13">
        <v>42005</v>
      </c>
    </row>
    <row r="12" spans="1:9" x14ac:dyDescent="0.35">
      <c r="A12" t="s">
        <v>170</v>
      </c>
      <c r="B12" t="s">
        <v>70</v>
      </c>
      <c r="C12" t="s">
        <v>71</v>
      </c>
      <c r="D12" t="s">
        <v>160</v>
      </c>
      <c r="E12" s="14">
        <v>19.3</v>
      </c>
      <c r="F12" t="s">
        <v>428</v>
      </c>
      <c r="G12">
        <v>2</v>
      </c>
      <c r="H12">
        <v>13</v>
      </c>
      <c r="I12" s="13">
        <v>45556</v>
      </c>
    </row>
    <row r="13" spans="1:9" x14ac:dyDescent="0.35">
      <c r="A13" t="s">
        <v>171</v>
      </c>
      <c r="B13" t="s">
        <v>70</v>
      </c>
      <c r="C13" t="s">
        <v>71</v>
      </c>
      <c r="D13" t="s">
        <v>160</v>
      </c>
      <c r="E13" s="14">
        <v>15.36</v>
      </c>
      <c r="F13" t="s">
        <v>427</v>
      </c>
      <c r="G13">
        <v>3</v>
      </c>
      <c r="H13">
        <v>7</v>
      </c>
      <c r="I13" s="13">
        <v>42005</v>
      </c>
    </row>
    <row r="14" spans="1:9" x14ac:dyDescent="0.35">
      <c r="A14" t="s">
        <v>172</v>
      </c>
      <c r="B14" t="s">
        <v>70</v>
      </c>
      <c r="C14" t="s">
        <v>71</v>
      </c>
      <c r="D14" t="s">
        <v>165</v>
      </c>
      <c r="E14" s="14">
        <v>9.92</v>
      </c>
      <c r="F14" t="s">
        <v>428</v>
      </c>
      <c r="G14">
        <v>2</v>
      </c>
      <c r="H14">
        <v>7</v>
      </c>
      <c r="I14" s="13">
        <v>42005</v>
      </c>
    </row>
    <row r="15" spans="1:9" x14ac:dyDescent="0.35">
      <c r="A15" t="s">
        <v>173</v>
      </c>
      <c r="B15" t="s">
        <v>70</v>
      </c>
      <c r="C15" t="s">
        <v>71</v>
      </c>
      <c r="D15" t="s">
        <v>156</v>
      </c>
      <c r="E15" s="14">
        <v>17.62</v>
      </c>
      <c r="F15" t="s">
        <v>427</v>
      </c>
      <c r="G15">
        <v>3</v>
      </c>
      <c r="H15">
        <v>8</v>
      </c>
      <c r="I15" s="13">
        <v>42005</v>
      </c>
    </row>
    <row r="16" spans="1:9" x14ac:dyDescent="0.35">
      <c r="A16" t="s">
        <v>174</v>
      </c>
      <c r="B16" t="s">
        <v>70</v>
      </c>
      <c r="C16" t="s">
        <v>71</v>
      </c>
      <c r="D16" t="s">
        <v>156</v>
      </c>
      <c r="E16" s="14">
        <v>21.37</v>
      </c>
      <c r="F16" t="s">
        <v>427</v>
      </c>
      <c r="G16">
        <v>3</v>
      </c>
      <c r="H16">
        <v>10</v>
      </c>
      <c r="I16" s="13">
        <v>42005</v>
      </c>
    </row>
    <row r="17" spans="1:9" x14ac:dyDescent="0.35">
      <c r="A17" t="s">
        <v>175</v>
      </c>
      <c r="B17" t="s">
        <v>70</v>
      </c>
      <c r="C17" t="s">
        <v>71</v>
      </c>
      <c r="D17" t="s">
        <v>160</v>
      </c>
      <c r="E17" s="14">
        <v>14.48</v>
      </c>
      <c r="F17" t="s">
        <v>426</v>
      </c>
      <c r="G17">
        <v>3</v>
      </c>
      <c r="H17">
        <v>7</v>
      </c>
      <c r="I17" s="13">
        <v>42005</v>
      </c>
    </row>
    <row r="18" spans="1:9" x14ac:dyDescent="0.35">
      <c r="A18" t="s">
        <v>176</v>
      </c>
      <c r="B18" t="s">
        <v>70</v>
      </c>
      <c r="C18" t="s">
        <v>71</v>
      </c>
      <c r="D18" t="s">
        <v>160</v>
      </c>
      <c r="E18" s="14">
        <v>11.25</v>
      </c>
      <c r="F18" t="s">
        <v>428</v>
      </c>
      <c r="G18">
        <v>2</v>
      </c>
      <c r="H18">
        <v>8</v>
      </c>
      <c r="I18" s="13">
        <v>42005</v>
      </c>
    </row>
    <row r="19" spans="1:9" x14ac:dyDescent="0.35">
      <c r="A19" t="s">
        <v>177</v>
      </c>
      <c r="B19" t="s">
        <v>73</v>
      </c>
      <c r="C19" t="s">
        <v>74</v>
      </c>
      <c r="D19" t="s">
        <v>165</v>
      </c>
      <c r="E19" s="14">
        <v>11.26</v>
      </c>
      <c r="F19" t="s">
        <v>188</v>
      </c>
      <c r="G19">
        <v>2</v>
      </c>
      <c r="H19">
        <v>8</v>
      </c>
      <c r="I19" s="13">
        <v>42005</v>
      </c>
    </row>
    <row r="20" spans="1:9" x14ac:dyDescent="0.35">
      <c r="A20" t="s">
        <v>178</v>
      </c>
      <c r="B20" t="s">
        <v>73</v>
      </c>
      <c r="C20" t="s">
        <v>74</v>
      </c>
      <c r="D20" t="s">
        <v>160</v>
      </c>
      <c r="E20" s="14">
        <v>10.88</v>
      </c>
      <c r="F20" t="s">
        <v>188</v>
      </c>
      <c r="G20">
        <v>2</v>
      </c>
      <c r="H20">
        <v>8</v>
      </c>
      <c r="I20" s="13">
        <v>42005</v>
      </c>
    </row>
    <row r="21" spans="1:9" x14ac:dyDescent="0.35">
      <c r="A21" t="s">
        <v>179</v>
      </c>
      <c r="B21" t="s">
        <v>73</v>
      </c>
      <c r="C21" t="s">
        <v>74</v>
      </c>
      <c r="D21" t="s">
        <v>160</v>
      </c>
      <c r="E21" s="14">
        <v>15.77</v>
      </c>
      <c r="F21" t="s">
        <v>426</v>
      </c>
      <c r="G21">
        <v>3</v>
      </c>
      <c r="H21">
        <v>7</v>
      </c>
      <c r="I21" s="13">
        <v>42005</v>
      </c>
    </row>
    <row r="22" spans="1:9" x14ac:dyDescent="0.35">
      <c r="A22" t="s">
        <v>180</v>
      </c>
      <c r="B22" t="s">
        <v>73</v>
      </c>
      <c r="C22" t="s">
        <v>74</v>
      </c>
      <c r="D22" t="s">
        <v>165</v>
      </c>
      <c r="E22" s="14">
        <v>8.75</v>
      </c>
      <c r="F22" t="s">
        <v>300</v>
      </c>
      <c r="G22">
        <v>2</v>
      </c>
      <c r="H22">
        <v>6</v>
      </c>
      <c r="I22" s="13">
        <v>42005</v>
      </c>
    </row>
    <row r="23" spans="1:9" x14ac:dyDescent="0.35">
      <c r="A23" t="s">
        <v>181</v>
      </c>
      <c r="B23" t="s">
        <v>73</v>
      </c>
      <c r="C23" t="s">
        <v>74</v>
      </c>
      <c r="D23" t="s">
        <v>165</v>
      </c>
      <c r="E23" s="14">
        <v>9.6999999999999993</v>
      </c>
      <c r="F23" t="s">
        <v>300</v>
      </c>
      <c r="G23">
        <v>2</v>
      </c>
      <c r="H23">
        <v>7</v>
      </c>
      <c r="I23" s="13">
        <v>42005</v>
      </c>
    </row>
    <row r="24" spans="1:9" x14ac:dyDescent="0.35">
      <c r="A24" t="s">
        <v>182</v>
      </c>
      <c r="B24" t="s">
        <v>73</v>
      </c>
      <c r="C24" t="s">
        <v>74</v>
      </c>
      <c r="D24" t="s">
        <v>160</v>
      </c>
      <c r="E24" s="14">
        <v>13.13</v>
      </c>
      <c r="F24" t="s">
        <v>300</v>
      </c>
      <c r="G24">
        <v>2</v>
      </c>
      <c r="H24">
        <v>9</v>
      </c>
      <c r="I24" s="13">
        <v>42005</v>
      </c>
    </row>
    <row r="25" spans="1:9" x14ac:dyDescent="0.35">
      <c r="A25" t="s">
        <v>183</v>
      </c>
      <c r="B25" t="s">
        <v>73</v>
      </c>
      <c r="C25" t="s">
        <v>74</v>
      </c>
      <c r="D25" t="s">
        <v>156</v>
      </c>
      <c r="E25" s="14">
        <v>19.02</v>
      </c>
      <c r="F25" t="s">
        <v>426</v>
      </c>
      <c r="G25">
        <v>3</v>
      </c>
      <c r="H25">
        <v>9</v>
      </c>
      <c r="I25" s="13">
        <v>42005</v>
      </c>
    </row>
    <row r="26" spans="1:9" x14ac:dyDescent="0.35">
      <c r="A26" t="s">
        <v>184</v>
      </c>
      <c r="B26" t="s">
        <v>73</v>
      </c>
      <c r="C26" t="s">
        <v>74</v>
      </c>
      <c r="D26" t="s">
        <v>160</v>
      </c>
      <c r="E26" s="14">
        <v>15.06</v>
      </c>
      <c r="F26" t="s">
        <v>427</v>
      </c>
      <c r="G26">
        <v>3</v>
      </c>
      <c r="H26">
        <v>7</v>
      </c>
      <c r="I26" s="13">
        <v>45038</v>
      </c>
    </row>
    <row r="27" spans="1:9" x14ac:dyDescent="0.35">
      <c r="A27" t="s">
        <v>185</v>
      </c>
      <c r="B27" t="s">
        <v>73</v>
      </c>
      <c r="C27" t="s">
        <v>74</v>
      </c>
      <c r="D27" t="s">
        <v>165</v>
      </c>
      <c r="E27" s="14">
        <v>9.6199999999999992</v>
      </c>
      <c r="F27" t="s">
        <v>188</v>
      </c>
      <c r="G27">
        <v>2</v>
      </c>
      <c r="H27">
        <v>7</v>
      </c>
      <c r="I27" s="13">
        <v>42005</v>
      </c>
    </row>
    <row r="28" spans="1:9" x14ac:dyDescent="0.35">
      <c r="A28" t="s">
        <v>186</v>
      </c>
      <c r="B28" t="s">
        <v>73</v>
      </c>
      <c r="C28" t="s">
        <v>74</v>
      </c>
      <c r="D28" t="s">
        <v>160</v>
      </c>
      <c r="E28" s="14">
        <v>13.83</v>
      </c>
      <c r="F28" t="s">
        <v>188</v>
      </c>
      <c r="G28">
        <v>2</v>
      </c>
      <c r="H28">
        <v>9</v>
      </c>
      <c r="I28" s="13">
        <v>42005</v>
      </c>
    </row>
    <row r="29" spans="1:9" x14ac:dyDescent="0.35">
      <c r="A29" t="s">
        <v>187</v>
      </c>
      <c r="B29" t="s">
        <v>73</v>
      </c>
      <c r="C29" t="s">
        <v>74</v>
      </c>
      <c r="D29" t="s">
        <v>165</v>
      </c>
      <c r="E29" s="14">
        <v>7.75</v>
      </c>
      <c r="F29" t="s">
        <v>188</v>
      </c>
      <c r="G29">
        <v>2</v>
      </c>
      <c r="H29">
        <v>6</v>
      </c>
      <c r="I29" s="13">
        <v>42005</v>
      </c>
    </row>
    <row r="30" spans="1:9" x14ac:dyDescent="0.35">
      <c r="A30" t="s">
        <v>189</v>
      </c>
      <c r="B30" t="s">
        <v>73</v>
      </c>
      <c r="C30" t="s">
        <v>74</v>
      </c>
      <c r="D30" t="s">
        <v>165</v>
      </c>
      <c r="E30" s="14">
        <v>10.94</v>
      </c>
      <c r="F30" t="s">
        <v>300</v>
      </c>
      <c r="G30">
        <v>2</v>
      </c>
      <c r="H30">
        <v>8</v>
      </c>
      <c r="I30" s="13">
        <v>42005</v>
      </c>
    </row>
    <row r="31" spans="1:9" x14ac:dyDescent="0.35">
      <c r="A31" t="s">
        <v>190</v>
      </c>
      <c r="B31" t="s">
        <v>73</v>
      </c>
      <c r="C31" t="s">
        <v>74</v>
      </c>
      <c r="D31" t="s">
        <v>160</v>
      </c>
      <c r="E31" s="14">
        <v>12.17</v>
      </c>
      <c r="F31" t="s">
        <v>427</v>
      </c>
      <c r="G31">
        <v>3</v>
      </c>
      <c r="H31">
        <v>6</v>
      </c>
      <c r="I31" s="13">
        <v>42005</v>
      </c>
    </row>
    <row r="32" spans="1:9" x14ac:dyDescent="0.35">
      <c r="A32" t="s">
        <v>191</v>
      </c>
      <c r="B32" t="s">
        <v>73</v>
      </c>
      <c r="C32" t="s">
        <v>74</v>
      </c>
      <c r="D32" t="s">
        <v>160</v>
      </c>
      <c r="E32" s="14">
        <v>10.8</v>
      </c>
      <c r="F32" t="s">
        <v>428</v>
      </c>
      <c r="G32">
        <v>2</v>
      </c>
      <c r="H32">
        <v>8</v>
      </c>
      <c r="I32" s="13">
        <v>42005</v>
      </c>
    </row>
    <row r="33" spans="1:9" x14ac:dyDescent="0.35">
      <c r="A33" t="s">
        <v>192</v>
      </c>
      <c r="B33" t="s">
        <v>73</v>
      </c>
      <c r="C33" t="s">
        <v>74</v>
      </c>
      <c r="D33" t="s">
        <v>165</v>
      </c>
      <c r="E33" s="14">
        <v>7.25</v>
      </c>
      <c r="F33" t="s">
        <v>428</v>
      </c>
      <c r="G33">
        <v>2</v>
      </c>
      <c r="H33">
        <v>5</v>
      </c>
      <c r="I33" s="13">
        <v>42005</v>
      </c>
    </row>
    <row r="34" spans="1:9" x14ac:dyDescent="0.35">
      <c r="A34" t="s">
        <v>193</v>
      </c>
      <c r="B34" t="s">
        <v>73</v>
      </c>
      <c r="C34" t="s">
        <v>74</v>
      </c>
      <c r="D34" t="s">
        <v>160</v>
      </c>
      <c r="E34" s="14">
        <v>14.05</v>
      </c>
      <c r="F34" t="s">
        <v>300</v>
      </c>
      <c r="G34">
        <v>2</v>
      </c>
      <c r="H34">
        <v>10</v>
      </c>
      <c r="I34" s="13">
        <v>42005</v>
      </c>
    </row>
    <row r="35" spans="1:9" x14ac:dyDescent="0.35">
      <c r="A35" t="s">
        <v>194</v>
      </c>
      <c r="B35" t="s">
        <v>73</v>
      </c>
      <c r="C35" t="s">
        <v>74</v>
      </c>
      <c r="D35" t="s">
        <v>165</v>
      </c>
      <c r="E35" s="14">
        <v>9.25</v>
      </c>
      <c r="F35" t="s">
        <v>300</v>
      </c>
      <c r="G35">
        <v>2</v>
      </c>
      <c r="H35">
        <v>7</v>
      </c>
      <c r="I35" s="13">
        <v>42005</v>
      </c>
    </row>
    <row r="36" spans="1:9" x14ac:dyDescent="0.35">
      <c r="A36" t="s">
        <v>195</v>
      </c>
      <c r="B36" t="s">
        <v>73</v>
      </c>
      <c r="C36" t="s">
        <v>74</v>
      </c>
      <c r="D36" t="s">
        <v>160</v>
      </c>
      <c r="E36" s="14">
        <v>14.77</v>
      </c>
      <c r="F36" t="s">
        <v>427</v>
      </c>
      <c r="G36">
        <v>3</v>
      </c>
      <c r="H36">
        <v>7</v>
      </c>
      <c r="I36" s="13">
        <v>42005</v>
      </c>
    </row>
    <row r="37" spans="1:9" x14ac:dyDescent="0.35">
      <c r="A37" t="s">
        <v>196</v>
      </c>
      <c r="B37" t="s">
        <v>73</v>
      </c>
      <c r="C37" t="s">
        <v>74</v>
      </c>
      <c r="D37" t="s">
        <v>165</v>
      </c>
      <c r="E37" s="14">
        <v>7.83</v>
      </c>
      <c r="F37" t="s">
        <v>300</v>
      </c>
      <c r="G37">
        <v>2</v>
      </c>
      <c r="H37">
        <v>6</v>
      </c>
      <c r="I37" s="13">
        <v>42005</v>
      </c>
    </row>
    <row r="38" spans="1:9" x14ac:dyDescent="0.35">
      <c r="A38" t="s">
        <v>197</v>
      </c>
      <c r="B38" t="s">
        <v>3</v>
      </c>
      <c r="C38" t="s">
        <v>75</v>
      </c>
      <c r="D38" t="s">
        <v>160</v>
      </c>
      <c r="E38" s="14">
        <v>13.54</v>
      </c>
      <c r="F38" t="s">
        <v>188</v>
      </c>
      <c r="G38">
        <v>2</v>
      </c>
      <c r="H38">
        <v>9</v>
      </c>
      <c r="I38" s="13">
        <v>42005</v>
      </c>
    </row>
    <row r="39" spans="1:9" x14ac:dyDescent="0.35">
      <c r="A39" t="s">
        <v>198</v>
      </c>
      <c r="B39" t="s">
        <v>3</v>
      </c>
      <c r="C39" t="s">
        <v>75</v>
      </c>
      <c r="D39" t="s">
        <v>165</v>
      </c>
      <c r="E39" s="14">
        <v>12.14</v>
      </c>
      <c r="F39" t="s">
        <v>188</v>
      </c>
      <c r="G39">
        <v>2</v>
      </c>
      <c r="H39">
        <v>8</v>
      </c>
      <c r="I39" s="13">
        <v>42005</v>
      </c>
    </row>
    <row r="40" spans="1:9" x14ac:dyDescent="0.35">
      <c r="A40" t="s">
        <v>199</v>
      </c>
      <c r="B40" t="s">
        <v>3</v>
      </c>
      <c r="C40" t="s">
        <v>75</v>
      </c>
      <c r="D40" t="s">
        <v>156</v>
      </c>
      <c r="E40" s="14">
        <v>18.100000000000001</v>
      </c>
      <c r="F40" t="s">
        <v>426</v>
      </c>
      <c r="G40">
        <v>3</v>
      </c>
      <c r="H40">
        <v>8</v>
      </c>
      <c r="I40" s="13">
        <v>42005</v>
      </c>
    </row>
    <row r="41" spans="1:9" x14ac:dyDescent="0.35">
      <c r="A41" t="s">
        <v>200</v>
      </c>
      <c r="B41" t="s">
        <v>3</v>
      </c>
      <c r="C41" t="s">
        <v>75</v>
      </c>
      <c r="D41" t="s">
        <v>160</v>
      </c>
      <c r="E41" s="14">
        <v>13.15</v>
      </c>
      <c r="F41" t="s">
        <v>188</v>
      </c>
      <c r="G41">
        <v>2</v>
      </c>
      <c r="H41">
        <v>9</v>
      </c>
      <c r="I41" s="13">
        <v>42005</v>
      </c>
    </row>
    <row r="42" spans="1:9" x14ac:dyDescent="0.35">
      <c r="A42" t="s">
        <v>201</v>
      </c>
      <c r="B42" t="s">
        <v>3</v>
      </c>
      <c r="C42" t="s">
        <v>75</v>
      </c>
      <c r="D42" t="s">
        <v>156</v>
      </c>
      <c r="E42" s="14">
        <v>20.51</v>
      </c>
      <c r="F42" t="s">
        <v>426</v>
      </c>
      <c r="G42">
        <v>3</v>
      </c>
      <c r="H42">
        <v>9</v>
      </c>
      <c r="I42" s="13">
        <v>45346</v>
      </c>
    </row>
    <row r="43" spans="1:9" x14ac:dyDescent="0.35">
      <c r="A43" t="s">
        <v>202</v>
      </c>
      <c r="B43" t="s">
        <v>3</v>
      </c>
      <c r="C43" t="s">
        <v>75</v>
      </c>
      <c r="D43" t="s">
        <v>165</v>
      </c>
      <c r="E43" s="14">
        <v>8.3699999999999992</v>
      </c>
      <c r="F43" t="s">
        <v>428</v>
      </c>
      <c r="G43">
        <v>2</v>
      </c>
      <c r="H43">
        <v>6</v>
      </c>
      <c r="I43" s="13">
        <v>42005</v>
      </c>
    </row>
    <row r="44" spans="1:9" x14ac:dyDescent="0.35">
      <c r="A44" t="s">
        <v>203</v>
      </c>
      <c r="B44" t="s">
        <v>3</v>
      </c>
      <c r="C44" t="s">
        <v>75</v>
      </c>
      <c r="D44" t="s">
        <v>160</v>
      </c>
      <c r="E44" s="14">
        <v>14.28</v>
      </c>
      <c r="F44" t="s">
        <v>427</v>
      </c>
      <c r="G44">
        <v>3</v>
      </c>
      <c r="H44">
        <v>7</v>
      </c>
      <c r="I44" s="13">
        <v>42005</v>
      </c>
    </row>
    <row r="45" spans="1:9" x14ac:dyDescent="0.35">
      <c r="A45" t="s">
        <v>204</v>
      </c>
      <c r="B45" t="s">
        <v>3</v>
      </c>
      <c r="C45" t="s">
        <v>75</v>
      </c>
      <c r="D45" t="s">
        <v>165</v>
      </c>
      <c r="E45" s="14">
        <v>7.79</v>
      </c>
      <c r="F45" t="s">
        <v>428</v>
      </c>
      <c r="G45">
        <v>2</v>
      </c>
      <c r="H45">
        <v>6</v>
      </c>
      <c r="I45" s="13">
        <v>42005</v>
      </c>
    </row>
    <row r="46" spans="1:9" x14ac:dyDescent="0.35">
      <c r="A46" t="s">
        <v>205</v>
      </c>
      <c r="B46" t="s">
        <v>3</v>
      </c>
      <c r="C46" t="s">
        <v>75</v>
      </c>
      <c r="D46" t="s">
        <v>156</v>
      </c>
      <c r="E46" s="14">
        <v>23.81</v>
      </c>
      <c r="F46" t="s">
        <v>426</v>
      </c>
      <c r="G46">
        <v>3</v>
      </c>
      <c r="H46">
        <v>11</v>
      </c>
      <c r="I46" s="13">
        <v>42005</v>
      </c>
    </row>
    <row r="47" spans="1:9" x14ac:dyDescent="0.35">
      <c r="A47" t="s">
        <v>206</v>
      </c>
      <c r="B47" t="s">
        <v>3</v>
      </c>
      <c r="C47" t="s">
        <v>75</v>
      </c>
      <c r="D47" t="s">
        <v>156</v>
      </c>
      <c r="E47" s="14">
        <v>22.25</v>
      </c>
      <c r="F47" t="s">
        <v>426</v>
      </c>
      <c r="G47">
        <v>3</v>
      </c>
      <c r="H47">
        <v>10</v>
      </c>
      <c r="I47" s="13">
        <v>42005</v>
      </c>
    </row>
    <row r="48" spans="1:9" x14ac:dyDescent="0.35">
      <c r="A48" t="s">
        <v>207</v>
      </c>
      <c r="B48" t="s">
        <v>3</v>
      </c>
      <c r="C48" t="s">
        <v>75</v>
      </c>
      <c r="D48" t="s">
        <v>156</v>
      </c>
      <c r="E48" s="14">
        <v>22.45</v>
      </c>
      <c r="F48" t="s">
        <v>426</v>
      </c>
      <c r="G48">
        <v>3</v>
      </c>
      <c r="H48">
        <v>10</v>
      </c>
      <c r="I48" s="13">
        <v>42005</v>
      </c>
    </row>
    <row r="49" spans="1:9" x14ac:dyDescent="0.35">
      <c r="A49" t="s">
        <v>208</v>
      </c>
      <c r="B49" t="s">
        <v>3</v>
      </c>
      <c r="C49" t="s">
        <v>75</v>
      </c>
      <c r="D49" t="s">
        <v>156</v>
      </c>
      <c r="E49" s="14">
        <v>21.55</v>
      </c>
      <c r="F49" t="s">
        <v>427</v>
      </c>
      <c r="G49">
        <v>3</v>
      </c>
      <c r="H49">
        <v>10</v>
      </c>
      <c r="I49" s="13">
        <v>45269</v>
      </c>
    </row>
    <row r="50" spans="1:9" x14ac:dyDescent="0.35">
      <c r="A50" t="s">
        <v>209</v>
      </c>
      <c r="B50" t="s">
        <v>3</v>
      </c>
      <c r="C50" t="s">
        <v>75</v>
      </c>
      <c r="D50" t="s">
        <v>156</v>
      </c>
      <c r="E50" s="14">
        <v>20.63</v>
      </c>
      <c r="F50" t="s">
        <v>427</v>
      </c>
      <c r="G50">
        <v>3</v>
      </c>
      <c r="H50">
        <v>9</v>
      </c>
      <c r="I50" s="13">
        <v>42005</v>
      </c>
    </row>
    <row r="51" spans="1:9" x14ac:dyDescent="0.35">
      <c r="A51" t="s">
        <v>210</v>
      </c>
      <c r="B51" t="s">
        <v>3</v>
      </c>
      <c r="C51" t="s">
        <v>75</v>
      </c>
      <c r="D51" t="s">
        <v>160</v>
      </c>
      <c r="E51" s="14">
        <v>13.16</v>
      </c>
      <c r="F51" t="s">
        <v>188</v>
      </c>
      <c r="G51">
        <v>2</v>
      </c>
      <c r="H51">
        <v>9</v>
      </c>
      <c r="I51" s="13">
        <v>42005</v>
      </c>
    </row>
    <row r="52" spans="1:9" x14ac:dyDescent="0.35">
      <c r="A52" t="s">
        <v>211</v>
      </c>
      <c r="B52" t="s">
        <v>3</v>
      </c>
      <c r="C52" t="s">
        <v>75</v>
      </c>
      <c r="D52" t="s">
        <v>160</v>
      </c>
      <c r="E52" s="14">
        <v>14.39</v>
      </c>
      <c r="F52" t="s">
        <v>300</v>
      </c>
      <c r="G52">
        <v>2</v>
      </c>
      <c r="H52">
        <v>10</v>
      </c>
      <c r="I52" s="13">
        <v>42005</v>
      </c>
    </row>
    <row r="53" spans="1:9" x14ac:dyDescent="0.35">
      <c r="A53" t="s">
        <v>212</v>
      </c>
      <c r="B53" t="s">
        <v>3</v>
      </c>
      <c r="C53" t="s">
        <v>75</v>
      </c>
      <c r="D53" t="s">
        <v>156</v>
      </c>
      <c r="E53" s="14">
        <v>20.440000000000001</v>
      </c>
      <c r="F53" t="s">
        <v>427</v>
      </c>
      <c r="G53">
        <v>3</v>
      </c>
      <c r="H53">
        <v>9</v>
      </c>
      <c r="I53" s="13">
        <v>42005</v>
      </c>
    </row>
    <row r="54" spans="1:9" x14ac:dyDescent="0.35">
      <c r="A54" t="s">
        <v>213</v>
      </c>
      <c r="B54" t="s">
        <v>3</v>
      </c>
      <c r="C54" t="s">
        <v>75</v>
      </c>
      <c r="D54" t="s">
        <v>160</v>
      </c>
      <c r="E54" s="14">
        <v>11.86</v>
      </c>
      <c r="F54" t="s">
        <v>300</v>
      </c>
      <c r="G54">
        <v>2</v>
      </c>
      <c r="H54">
        <v>8</v>
      </c>
      <c r="I54" s="13">
        <v>42005</v>
      </c>
    </row>
    <row r="55" spans="1:9" x14ac:dyDescent="0.35">
      <c r="A55" t="s">
        <v>214</v>
      </c>
      <c r="B55" t="s">
        <v>3</v>
      </c>
      <c r="C55" t="s">
        <v>75</v>
      </c>
      <c r="D55" t="s">
        <v>160</v>
      </c>
      <c r="E55" s="14">
        <v>13.66</v>
      </c>
      <c r="F55" t="s">
        <v>426</v>
      </c>
      <c r="G55">
        <v>3</v>
      </c>
      <c r="H55">
        <v>6</v>
      </c>
      <c r="I55" s="13">
        <v>42005</v>
      </c>
    </row>
    <row r="56" spans="1:9" x14ac:dyDescent="0.35">
      <c r="A56" t="s">
        <v>215</v>
      </c>
      <c r="B56" t="s">
        <v>3</v>
      </c>
      <c r="C56" t="s">
        <v>75</v>
      </c>
      <c r="D56" t="s">
        <v>165</v>
      </c>
      <c r="E56" s="14">
        <v>9.91</v>
      </c>
      <c r="F56" t="s">
        <v>300</v>
      </c>
      <c r="G56">
        <v>2</v>
      </c>
      <c r="H56">
        <v>7</v>
      </c>
      <c r="I56" s="13">
        <v>42005</v>
      </c>
    </row>
    <row r="57" spans="1:9" x14ac:dyDescent="0.35">
      <c r="A57" t="s">
        <v>216</v>
      </c>
      <c r="B57" t="s">
        <v>77</v>
      </c>
      <c r="C57" t="s">
        <v>78</v>
      </c>
      <c r="D57" t="s">
        <v>160</v>
      </c>
      <c r="E57" s="14">
        <v>11.66</v>
      </c>
      <c r="F57" t="s">
        <v>426</v>
      </c>
      <c r="G57">
        <v>3</v>
      </c>
      <c r="H57">
        <v>6</v>
      </c>
      <c r="I57" s="13">
        <v>42005</v>
      </c>
    </row>
    <row r="58" spans="1:9" x14ac:dyDescent="0.35">
      <c r="A58" t="s">
        <v>217</v>
      </c>
      <c r="B58" t="s">
        <v>77</v>
      </c>
      <c r="C58" t="s">
        <v>78</v>
      </c>
      <c r="D58" t="s">
        <v>160</v>
      </c>
      <c r="E58" s="14">
        <v>14.06</v>
      </c>
      <c r="F58" t="s">
        <v>426</v>
      </c>
      <c r="G58">
        <v>3</v>
      </c>
      <c r="H58">
        <v>7</v>
      </c>
      <c r="I58" s="13">
        <v>42005</v>
      </c>
    </row>
    <row r="59" spans="1:9" x14ac:dyDescent="0.35">
      <c r="A59" t="s">
        <v>218</v>
      </c>
      <c r="B59" t="s">
        <v>77</v>
      </c>
      <c r="C59" t="s">
        <v>78</v>
      </c>
      <c r="D59" t="s">
        <v>160</v>
      </c>
      <c r="E59" s="14">
        <v>13.33</v>
      </c>
      <c r="F59" t="s">
        <v>188</v>
      </c>
      <c r="G59">
        <v>2</v>
      </c>
      <c r="H59">
        <v>9</v>
      </c>
      <c r="I59" s="13">
        <v>42005</v>
      </c>
    </row>
    <row r="60" spans="1:9" x14ac:dyDescent="0.35">
      <c r="A60" t="s">
        <v>219</v>
      </c>
      <c r="B60" t="s">
        <v>77</v>
      </c>
      <c r="C60" t="s">
        <v>78</v>
      </c>
      <c r="D60" t="s">
        <v>165</v>
      </c>
      <c r="E60" s="14">
        <v>8.11</v>
      </c>
      <c r="F60" t="s">
        <v>188</v>
      </c>
      <c r="G60">
        <v>2</v>
      </c>
      <c r="H60">
        <v>6</v>
      </c>
      <c r="I60" s="13">
        <v>42005</v>
      </c>
    </row>
    <row r="61" spans="1:9" x14ac:dyDescent="0.35">
      <c r="A61" t="s">
        <v>220</v>
      </c>
      <c r="B61" t="s">
        <v>77</v>
      </c>
      <c r="C61" t="s">
        <v>78</v>
      </c>
      <c r="D61" t="s">
        <v>160</v>
      </c>
      <c r="E61" s="14">
        <v>11.9</v>
      </c>
      <c r="F61" t="s">
        <v>426</v>
      </c>
      <c r="G61">
        <v>3</v>
      </c>
      <c r="H61">
        <v>6</v>
      </c>
      <c r="I61" s="13">
        <v>45619</v>
      </c>
    </row>
    <row r="62" spans="1:9" x14ac:dyDescent="0.35">
      <c r="A62" t="s">
        <v>221</v>
      </c>
      <c r="B62" t="s">
        <v>77</v>
      </c>
      <c r="C62" t="s">
        <v>78</v>
      </c>
      <c r="D62" t="s">
        <v>156</v>
      </c>
      <c r="E62" s="14">
        <v>27.83</v>
      </c>
      <c r="F62" t="s">
        <v>427</v>
      </c>
      <c r="G62">
        <v>3</v>
      </c>
      <c r="H62">
        <v>13</v>
      </c>
      <c r="I62" s="13">
        <v>42005</v>
      </c>
    </row>
    <row r="63" spans="1:9" x14ac:dyDescent="0.35">
      <c r="A63" t="s">
        <v>222</v>
      </c>
      <c r="B63" t="s">
        <v>77</v>
      </c>
      <c r="C63" t="s">
        <v>78</v>
      </c>
      <c r="D63" t="s">
        <v>160</v>
      </c>
      <c r="E63" s="14">
        <v>12.81</v>
      </c>
      <c r="F63" t="s">
        <v>426</v>
      </c>
      <c r="G63">
        <v>3</v>
      </c>
      <c r="H63">
        <v>6</v>
      </c>
      <c r="I63" s="13">
        <v>42005</v>
      </c>
    </row>
    <row r="64" spans="1:9" x14ac:dyDescent="0.35">
      <c r="A64" t="s">
        <v>223</v>
      </c>
      <c r="B64" t="s">
        <v>77</v>
      </c>
      <c r="C64" t="s">
        <v>78</v>
      </c>
      <c r="D64" t="s">
        <v>156</v>
      </c>
      <c r="E64" s="14">
        <v>19.04</v>
      </c>
      <c r="F64" t="s">
        <v>427</v>
      </c>
      <c r="G64">
        <v>3</v>
      </c>
      <c r="H64">
        <v>9</v>
      </c>
      <c r="I64" s="13">
        <v>42005</v>
      </c>
    </row>
    <row r="65" spans="1:9" x14ac:dyDescent="0.35">
      <c r="A65" t="s">
        <v>224</v>
      </c>
      <c r="B65" t="s">
        <v>77</v>
      </c>
      <c r="C65" t="s">
        <v>78</v>
      </c>
      <c r="D65" t="s">
        <v>160</v>
      </c>
      <c r="E65" s="14">
        <v>12.93</v>
      </c>
      <c r="F65" t="s">
        <v>428</v>
      </c>
      <c r="G65">
        <v>2</v>
      </c>
      <c r="H65">
        <v>9</v>
      </c>
      <c r="I65" s="13">
        <v>42005</v>
      </c>
    </row>
    <row r="66" spans="1:9" x14ac:dyDescent="0.35">
      <c r="A66" t="s">
        <v>225</v>
      </c>
      <c r="B66" t="s">
        <v>77</v>
      </c>
      <c r="C66" t="s">
        <v>78</v>
      </c>
      <c r="D66" t="s">
        <v>160</v>
      </c>
      <c r="E66" s="14">
        <v>10.76</v>
      </c>
      <c r="F66" t="s">
        <v>188</v>
      </c>
      <c r="G66">
        <v>2</v>
      </c>
      <c r="H66">
        <v>7</v>
      </c>
      <c r="I66" s="13">
        <v>42005</v>
      </c>
    </row>
    <row r="67" spans="1:9" x14ac:dyDescent="0.35">
      <c r="A67" t="s">
        <v>226</v>
      </c>
      <c r="B67" t="s">
        <v>77</v>
      </c>
      <c r="C67" t="s">
        <v>78</v>
      </c>
      <c r="D67" t="s">
        <v>160</v>
      </c>
      <c r="E67" s="14">
        <v>18.440000000000001</v>
      </c>
      <c r="F67" t="s">
        <v>427</v>
      </c>
      <c r="G67">
        <v>3</v>
      </c>
      <c r="H67">
        <v>8</v>
      </c>
      <c r="I67" s="13">
        <v>42005</v>
      </c>
    </row>
    <row r="68" spans="1:9" x14ac:dyDescent="0.35">
      <c r="A68" t="s">
        <v>227</v>
      </c>
      <c r="B68" t="s">
        <v>77</v>
      </c>
      <c r="C68" t="s">
        <v>78</v>
      </c>
      <c r="D68" t="s">
        <v>160</v>
      </c>
      <c r="E68" s="14">
        <v>14.74</v>
      </c>
      <c r="F68" t="s">
        <v>428</v>
      </c>
      <c r="G68">
        <v>2</v>
      </c>
      <c r="H68">
        <v>10</v>
      </c>
      <c r="I68" s="13">
        <v>42005</v>
      </c>
    </row>
    <row r="69" spans="1:9" x14ac:dyDescent="0.35">
      <c r="A69" t="s">
        <v>228</v>
      </c>
      <c r="B69" t="s">
        <v>77</v>
      </c>
      <c r="C69" t="s">
        <v>78</v>
      </c>
      <c r="D69" t="s">
        <v>156</v>
      </c>
      <c r="E69" s="14">
        <v>22.42</v>
      </c>
      <c r="F69" t="s">
        <v>427</v>
      </c>
      <c r="G69">
        <v>3</v>
      </c>
      <c r="H69">
        <v>10</v>
      </c>
      <c r="I69" s="13">
        <v>42005</v>
      </c>
    </row>
    <row r="70" spans="1:9" x14ac:dyDescent="0.35">
      <c r="A70" t="s">
        <v>229</v>
      </c>
      <c r="B70" t="s">
        <v>77</v>
      </c>
      <c r="C70" t="s">
        <v>78</v>
      </c>
      <c r="D70" t="s">
        <v>165</v>
      </c>
      <c r="E70" s="14">
        <v>7.32</v>
      </c>
      <c r="F70" t="s">
        <v>188</v>
      </c>
      <c r="G70">
        <v>2</v>
      </c>
      <c r="H70">
        <v>5</v>
      </c>
      <c r="I70" s="13">
        <v>42005</v>
      </c>
    </row>
    <row r="71" spans="1:9" x14ac:dyDescent="0.35">
      <c r="A71" t="s">
        <v>230</v>
      </c>
      <c r="B71" t="s">
        <v>77</v>
      </c>
      <c r="C71" t="s">
        <v>78</v>
      </c>
      <c r="D71" t="s">
        <v>165</v>
      </c>
      <c r="E71" s="14">
        <v>8.2799999999999994</v>
      </c>
      <c r="F71" t="s">
        <v>428</v>
      </c>
      <c r="G71">
        <v>2</v>
      </c>
      <c r="H71">
        <v>6</v>
      </c>
      <c r="I71" s="13">
        <v>42005</v>
      </c>
    </row>
    <row r="72" spans="1:9" x14ac:dyDescent="0.35">
      <c r="A72" t="s">
        <v>231</v>
      </c>
      <c r="B72" t="s">
        <v>80</v>
      </c>
      <c r="C72" t="s">
        <v>81</v>
      </c>
      <c r="D72" t="s">
        <v>160</v>
      </c>
      <c r="E72" s="14">
        <v>14.76</v>
      </c>
      <c r="F72" t="s">
        <v>188</v>
      </c>
      <c r="G72">
        <v>2</v>
      </c>
      <c r="H72">
        <v>10</v>
      </c>
      <c r="I72" s="13">
        <v>42005</v>
      </c>
    </row>
    <row r="73" spans="1:9" x14ac:dyDescent="0.35">
      <c r="A73" t="s">
        <v>232</v>
      </c>
      <c r="B73" t="s">
        <v>80</v>
      </c>
      <c r="C73" t="s">
        <v>81</v>
      </c>
      <c r="D73" t="s">
        <v>156</v>
      </c>
      <c r="E73" s="14">
        <v>22.02</v>
      </c>
      <c r="F73" t="s">
        <v>427</v>
      </c>
      <c r="G73">
        <v>3</v>
      </c>
      <c r="H73">
        <v>10</v>
      </c>
      <c r="I73" s="13">
        <v>42005</v>
      </c>
    </row>
    <row r="74" spans="1:9" x14ac:dyDescent="0.35">
      <c r="A74" t="s">
        <v>233</v>
      </c>
      <c r="B74" t="s">
        <v>80</v>
      </c>
      <c r="C74" t="s">
        <v>81</v>
      </c>
      <c r="D74" t="s">
        <v>165</v>
      </c>
      <c r="E74" s="14">
        <v>11.4</v>
      </c>
      <c r="F74" t="s">
        <v>428</v>
      </c>
      <c r="G74">
        <v>2</v>
      </c>
      <c r="H74">
        <v>8</v>
      </c>
      <c r="I74" s="13">
        <v>42005</v>
      </c>
    </row>
    <row r="75" spans="1:9" x14ac:dyDescent="0.35">
      <c r="A75" t="s">
        <v>234</v>
      </c>
      <c r="B75" t="s">
        <v>80</v>
      </c>
      <c r="C75" t="s">
        <v>81</v>
      </c>
      <c r="D75" t="s">
        <v>165</v>
      </c>
      <c r="E75" s="14">
        <v>7.62</v>
      </c>
      <c r="F75" t="s">
        <v>428</v>
      </c>
      <c r="G75">
        <v>2</v>
      </c>
      <c r="H75">
        <v>5</v>
      </c>
      <c r="I75" s="13">
        <v>42005</v>
      </c>
    </row>
    <row r="76" spans="1:9" x14ac:dyDescent="0.35">
      <c r="A76" t="s">
        <v>235</v>
      </c>
      <c r="B76" t="s">
        <v>80</v>
      </c>
      <c r="C76" t="s">
        <v>81</v>
      </c>
      <c r="D76" t="s">
        <v>156</v>
      </c>
      <c r="E76" s="14">
        <v>16.16</v>
      </c>
      <c r="F76" t="s">
        <v>426</v>
      </c>
      <c r="G76">
        <v>3</v>
      </c>
      <c r="H76">
        <v>8</v>
      </c>
      <c r="I76" s="13">
        <v>42005</v>
      </c>
    </row>
    <row r="77" spans="1:9" x14ac:dyDescent="0.35">
      <c r="A77" t="s">
        <v>236</v>
      </c>
      <c r="B77" t="s">
        <v>80</v>
      </c>
      <c r="C77" t="s">
        <v>81</v>
      </c>
      <c r="D77" t="s">
        <v>156</v>
      </c>
      <c r="E77" s="14">
        <v>17.78</v>
      </c>
      <c r="F77" t="s">
        <v>427</v>
      </c>
      <c r="G77">
        <v>3</v>
      </c>
      <c r="H77">
        <v>8</v>
      </c>
      <c r="I77" s="13">
        <v>42005</v>
      </c>
    </row>
    <row r="78" spans="1:9" x14ac:dyDescent="0.35">
      <c r="A78" t="s">
        <v>237</v>
      </c>
      <c r="B78" t="s">
        <v>80</v>
      </c>
      <c r="C78" t="s">
        <v>81</v>
      </c>
      <c r="D78" t="s">
        <v>160</v>
      </c>
      <c r="E78" s="14">
        <v>13.4</v>
      </c>
      <c r="F78" t="s">
        <v>426</v>
      </c>
      <c r="G78">
        <v>3</v>
      </c>
      <c r="H78">
        <v>6</v>
      </c>
      <c r="I78" s="13">
        <v>42005</v>
      </c>
    </row>
    <row r="79" spans="1:9" x14ac:dyDescent="0.35">
      <c r="A79" t="s">
        <v>238</v>
      </c>
      <c r="B79" t="s">
        <v>80</v>
      </c>
      <c r="C79" t="s">
        <v>81</v>
      </c>
      <c r="D79" t="s">
        <v>160</v>
      </c>
      <c r="E79" s="14">
        <v>17.46</v>
      </c>
      <c r="F79" t="s">
        <v>300</v>
      </c>
      <c r="G79">
        <v>2</v>
      </c>
      <c r="H79">
        <v>12</v>
      </c>
      <c r="I79" s="13">
        <v>42005</v>
      </c>
    </row>
    <row r="80" spans="1:9" x14ac:dyDescent="0.35">
      <c r="A80" t="s">
        <v>239</v>
      </c>
      <c r="B80" t="s">
        <v>80</v>
      </c>
      <c r="C80" t="s">
        <v>81</v>
      </c>
      <c r="D80" t="s">
        <v>165</v>
      </c>
      <c r="E80" s="14">
        <v>8.51</v>
      </c>
      <c r="F80" t="s">
        <v>188</v>
      </c>
      <c r="G80">
        <v>2</v>
      </c>
      <c r="H80">
        <v>6</v>
      </c>
      <c r="I80" s="13">
        <v>42005</v>
      </c>
    </row>
    <row r="81" spans="1:9" x14ac:dyDescent="0.35">
      <c r="A81" t="s">
        <v>240</v>
      </c>
      <c r="B81" t="s">
        <v>80</v>
      </c>
      <c r="C81" t="s">
        <v>81</v>
      </c>
      <c r="D81" t="s">
        <v>160</v>
      </c>
      <c r="E81" s="14">
        <v>18.14</v>
      </c>
      <c r="F81" t="s">
        <v>188</v>
      </c>
      <c r="G81">
        <v>2</v>
      </c>
      <c r="H81">
        <v>12</v>
      </c>
      <c r="I81" s="13">
        <v>42005</v>
      </c>
    </row>
    <row r="82" spans="1:9" x14ac:dyDescent="0.35">
      <c r="A82" t="s">
        <v>241</v>
      </c>
      <c r="B82" t="s">
        <v>80</v>
      </c>
      <c r="C82" t="s">
        <v>81</v>
      </c>
      <c r="D82" t="s">
        <v>160</v>
      </c>
      <c r="E82" s="14">
        <v>11.95</v>
      </c>
      <c r="F82" t="s">
        <v>427</v>
      </c>
      <c r="G82">
        <v>3</v>
      </c>
      <c r="H82">
        <v>6</v>
      </c>
      <c r="I82" s="13">
        <v>42005</v>
      </c>
    </row>
    <row r="83" spans="1:9" x14ac:dyDescent="0.35">
      <c r="A83" t="s">
        <v>242</v>
      </c>
      <c r="B83" t="s">
        <v>80</v>
      </c>
      <c r="C83" t="s">
        <v>81</v>
      </c>
      <c r="D83" t="s">
        <v>156</v>
      </c>
      <c r="E83" s="14">
        <v>27.23</v>
      </c>
      <c r="F83" t="s">
        <v>426</v>
      </c>
      <c r="G83">
        <v>3</v>
      </c>
      <c r="H83">
        <v>12</v>
      </c>
      <c r="I83" s="13">
        <v>42005</v>
      </c>
    </row>
    <row r="84" spans="1:9" x14ac:dyDescent="0.35">
      <c r="A84" t="s">
        <v>243</v>
      </c>
      <c r="B84" t="s">
        <v>80</v>
      </c>
      <c r="C84" t="s">
        <v>81</v>
      </c>
      <c r="D84" t="s">
        <v>156</v>
      </c>
      <c r="E84" s="14">
        <v>22.43</v>
      </c>
      <c r="F84" t="s">
        <v>427</v>
      </c>
      <c r="G84">
        <v>3</v>
      </c>
      <c r="H84">
        <v>10</v>
      </c>
      <c r="I84" s="13">
        <v>42005</v>
      </c>
    </row>
    <row r="85" spans="1:9" x14ac:dyDescent="0.35">
      <c r="A85" t="s">
        <v>244</v>
      </c>
      <c r="B85" t="s">
        <v>80</v>
      </c>
      <c r="C85" t="s">
        <v>81</v>
      </c>
      <c r="D85" t="s">
        <v>160</v>
      </c>
      <c r="E85" s="14">
        <v>14.14</v>
      </c>
      <c r="F85" t="s">
        <v>427</v>
      </c>
      <c r="G85">
        <v>3</v>
      </c>
      <c r="H85">
        <v>7</v>
      </c>
      <c r="I85" s="13">
        <v>42005</v>
      </c>
    </row>
    <row r="86" spans="1:9" x14ac:dyDescent="0.35">
      <c r="A86" t="s">
        <v>245</v>
      </c>
      <c r="B86" t="s">
        <v>80</v>
      </c>
      <c r="C86" t="s">
        <v>81</v>
      </c>
      <c r="D86" t="s">
        <v>160</v>
      </c>
      <c r="E86" s="14">
        <v>13.61</v>
      </c>
      <c r="F86" t="s">
        <v>300</v>
      </c>
      <c r="G86">
        <v>2</v>
      </c>
      <c r="H86">
        <v>9</v>
      </c>
      <c r="I86" s="13">
        <v>42005</v>
      </c>
    </row>
    <row r="87" spans="1:9" x14ac:dyDescent="0.35">
      <c r="A87" t="s">
        <v>246</v>
      </c>
      <c r="B87" t="s">
        <v>80</v>
      </c>
      <c r="C87" t="s">
        <v>81</v>
      </c>
      <c r="D87" t="s">
        <v>160</v>
      </c>
      <c r="E87" s="14">
        <v>15.62</v>
      </c>
      <c r="F87" t="s">
        <v>300</v>
      </c>
      <c r="G87">
        <v>2</v>
      </c>
      <c r="H87">
        <v>11</v>
      </c>
      <c r="I87" s="13">
        <v>42005</v>
      </c>
    </row>
    <row r="88" spans="1:9" x14ac:dyDescent="0.35">
      <c r="A88" t="s">
        <v>247</v>
      </c>
      <c r="B88" t="s">
        <v>80</v>
      </c>
      <c r="C88" t="s">
        <v>81</v>
      </c>
      <c r="D88" t="s">
        <v>156</v>
      </c>
      <c r="E88" s="14">
        <v>26.34</v>
      </c>
      <c r="F88" t="s">
        <v>427</v>
      </c>
      <c r="G88">
        <v>3</v>
      </c>
      <c r="H88">
        <v>12</v>
      </c>
      <c r="I88" s="13">
        <v>42005</v>
      </c>
    </row>
    <row r="89" spans="1:9" x14ac:dyDescent="0.35">
      <c r="A89" t="s">
        <v>248</v>
      </c>
      <c r="B89" t="s">
        <v>82</v>
      </c>
      <c r="C89" t="s">
        <v>83</v>
      </c>
      <c r="D89" t="s">
        <v>156</v>
      </c>
      <c r="E89" s="14">
        <v>21.1</v>
      </c>
      <c r="F89" t="s">
        <v>426</v>
      </c>
      <c r="G89">
        <v>3</v>
      </c>
      <c r="H89">
        <v>10</v>
      </c>
      <c r="I89" s="13">
        <v>42005</v>
      </c>
    </row>
    <row r="90" spans="1:9" x14ac:dyDescent="0.35">
      <c r="A90" t="s">
        <v>249</v>
      </c>
      <c r="B90" t="s">
        <v>82</v>
      </c>
      <c r="C90" t="s">
        <v>83</v>
      </c>
      <c r="D90" t="s">
        <v>165</v>
      </c>
      <c r="E90" s="14">
        <v>9.43</v>
      </c>
      <c r="F90" t="s">
        <v>428</v>
      </c>
      <c r="G90">
        <v>2</v>
      </c>
      <c r="H90">
        <v>7</v>
      </c>
      <c r="I90" s="13">
        <v>42005</v>
      </c>
    </row>
    <row r="91" spans="1:9" x14ac:dyDescent="0.35">
      <c r="A91" t="s">
        <v>250</v>
      </c>
      <c r="B91" t="s">
        <v>82</v>
      </c>
      <c r="C91" t="s">
        <v>83</v>
      </c>
      <c r="D91" t="s">
        <v>160</v>
      </c>
      <c r="E91" s="14">
        <v>14.65</v>
      </c>
      <c r="F91" t="s">
        <v>188</v>
      </c>
      <c r="G91">
        <v>2</v>
      </c>
      <c r="H91">
        <v>10</v>
      </c>
      <c r="I91" s="13">
        <v>42005</v>
      </c>
    </row>
    <row r="92" spans="1:9" x14ac:dyDescent="0.35">
      <c r="A92" t="s">
        <v>251</v>
      </c>
      <c r="B92" t="s">
        <v>82</v>
      </c>
      <c r="C92" t="s">
        <v>83</v>
      </c>
      <c r="D92" t="s">
        <v>160</v>
      </c>
      <c r="E92" s="14">
        <v>10.27</v>
      </c>
      <c r="F92" t="s">
        <v>300</v>
      </c>
      <c r="G92">
        <v>2</v>
      </c>
      <c r="H92">
        <v>7</v>
      </c>
      <c r="I92" s="13">
        <v>42005</v>
      </c>
    </row>
    <row r="93" spans="1:9" x14ac:dyDescent="0.35">
      <c r="A93" t="s">
        <v>252</v>
      </c>
      <c r="B93" t="s">
        <v>82</v>
      </c>
      <c r="C93" t="s">
        <v>83</v>
      </c>
      <c r="D93" t="s">
        <v>165</v>
      </c>
      <c r="E93" s="14">
        <v>9.51</v>
      </c>
      <c r="F93" t="s">
        <v>428</v>
      </c>
      <c r="G93">
        <v>2</v>
      </c>
      <c r="H93">
        <v>7</v>
      </c>
      <c r="I93" s="13">
        <v>42005</v>
      </c>
    </row>
    <row r="94" spans="1:9" x14ac:dyDescent="0.35">
      <c r="A94" t="s">
        <v>253</v>
      </c>
      <c r="B94" t="s">
        <v>82</v>
      </c>
      <c r="C94" t="s">
        <v>83</v>
      </c>
      <c r="D94" t="s">
        <v>160</v>
      </c>
      <c r="E94" s="14">
        <v>15.82</v>
      </c>
      <c r="F94" t="s">
        <v>300</v>
      </c>
      <c r="G94">
        <v>2</v>
      </c>
      <c r="H94">
        <v>11</v>
      </c>
      <c r="I94" s="13">
        <v>42005</v>
      </c>
    </row>
    <row r="95" spans="1:9" x14ac:dyDescent="0.35">
      <c r="A95" t="s">
        <v>254</v>
      </c>
      <c r="B95" t="s">
        <v>82</v>
      </c>
      <c r="C95" t="s">
        <v>83</v>
      </c>
      <c r="D95" t="s">
        <v>165</v>
      </c>
      <c r="E95" s="14">
        <v>7.91</v>
      </c>
      <c r="F95" t="s">
        <v>300</v>
      </c>
      <c r="G95">
        <v>2</v>
      </c>
      <c r="H95">
        <v>6</v>
      </c>
      <c r="I95" s="13">
        <v>42005</v>
      </c>
    </row>
    <row r="96" spans="1:9" x14ac:dyDescent="0.35">
      <c r="A96" t="s">
        <v>255</v>
      </c>
      <c r="B96" t="s">
        <v>82</v>
      </c>
      <c r="C96" t="s">
        <v>83</v>
      </c>
      <c r="D96" t="s">
        <v>165</v>
      </c>
      <c r="E96" s="14">
        <v>9.5299999999999994</v>
      </c>
      <c r="F96" t="s">
        <v>428</v>
      </c>
      <c r="G96">
        <v>2</v>
      </c>
      <c r="H96">
        <v>7</v>
      </c>
      <c r="I96" s="13">
        <v>42005</v>
      </c>
    </row>
    <row r="97" spans="1:9" x14ac:dyDescent="0.35">
      <c r="A97" t="s">
        <v>256</v>
      </c>
      <c r="B97" t="s">
        <v>82</v>
      </c>
      <c r="C97" t="s">
        <v>83</v>
      </c>
      <c r="D97" t="s">
        <v>160</v>
      </c>
      <c r="E97" s="14">
        <v>17.48</v>
      </c>
      <c r="F97" t="s">
        <v>300</v>
      </c>
      <c r="G97">
        <v>2</v>
      </c>
      <c r="H97">
        <v>12</v>
      </c>
      <c r="I97" s="13">
        <v>42005</v>
      </c>
    </row>
    <row r="98" spans="1:9" x14ac:dyDescent="0.35">
      <c r="A98" t="s">
        <v>257</v>
      </c>
      <c r="B98" t="s">
        <v>82</v>
      </c>
      <c r="C98" t="s">
        <v>83</v>
      </c>
      <c r="D98" t="s">
        <v>160</v>
      </c>
      <c r="E98" s="14">
        <v>15.89</v>
      </c>
      <c r="F98" t="s">
        <v>188</v>
      </c>
      <c r="G98">
        <v>2</v>
      </c>
      <c r="H98">
        <v>11</v>
      </c>
      <c r="I98" s="13">
        <v>42005</v>
      </c>
    </row>
    <row r="99" spans="1:9" x14ac:dyDescent="0.35">
      <c r="A99" t="s">
        <v>258</v>
      </c>
      <c r="B99" t="s">
        <v>82</v>
      </c>
      <c r="C99" t="s">
        <v>83</v>
      </c>
      <c r="D99" t="s">
        <v>156</v>
      </c>
      <c r="E99" s="14">
        <v>22.82</v>
      </c>
      <c r="F99" t="s">
        <v>426</v>
      </c>
      <c r="G99">
        <v>3</v>
      </c>
      <c r="H99">
        <v>10</v>
      </c>
      <c r="I99" s="13">
        <v>42005</v>
      </c>
    </row>
    <row r="100" spans="1:9" x14ac:dyDescent="0.35">
      <c r="A100" t="s">
        <v>259</v>
      </c>
      <c r="B100" t="s">
        <v>82</v>
      </c>
      <c r="C100" t="s">
        <v>83</v>
      </c>
      <c r="D100" t="s">
        <v>160</v>
      </c>
      <c r="E100" s="14">
        <v>10.37</v>
      </c>
      <c r="F100" t="s">
        <v>428</v>
      </c>
      <c r="G100">
        <v>2</v>
      </c>
      <c r="H100">
        <v>7</v>
      </c>
      <c r="I100" s="13">
        <v>42005</v>
      </c>
    </row>
    <row r="101" spans="1:9" x14ac:dyDescent="0.35">
      <c r="A101" t="s">
        <v>260</v>
      </c>
      <c r="B101" t="s">
        <v>82</v>
      </c>
      <c r="C101" t="s">
        <v>83</v>
      </c>
      <c r="D101" t="s">
        <v>160</v>
      </c>
      <c r="E101" s="14">
        <v>11.01</v>
      </c>
      <c r="F101" t="s">
        <v>426</v>
      </c>
      <c r="G101">
        <v>3</v>
      </c>
      <c r="H101">
        <v>5</v>
      </c>
      <c r="I101" s="13">
        <v>45724</v>
      </c>
    </row>
    <row r="102" spans="1:9" x14ac:dyDescent="0.35">
      <c r="A102" t="s">
        <v>261</v>
      </c>
      <c r="B102" t="s">
        <v>82</v>
      </c>
      <c r="C102" t="s">
        <v>83</v>
      </c>
      <c r="D102" t="s">
        <v>160</v>
      </c>
      <c r="E102" s="14">
        <v>15.15</v>
      </c>
      <c r="F102" t="s">
        <v>188</v>
      </c>
      <c r="G102">
        <v>2</v>
      </c>
      <c r="H102">
        <v>10</v>
      </c>
      <c r="I102" s="13">
        <v>42005</v>
      </c>
    </row>
    <row r="103" spans="1:9" x14ac:dyDescent="0.35">
      <c r="A103" t="s">
        <v>262</v>
      </c>
      <c r="B103" t="s">
        <v>82</v>
      </c>
      <c r="C103" t="s">
        <v>83</v>
      </c>
      <c r="D103" t="s">
        <v>156</v>
      </c>
      <c r="E103" s="14">
        <v>21.17</v>
      </c>
      <c r="F103" t="s">
        <v>426</v>
      </c>
      <c r="G103">
        <v>3</v>
      </c>
      <c r="H103">
        <v>10</v>
      </c>
      <c r="I103" s="13">
        <v>42005</v>
      </c>
    </row>
    <row r="104" spans="1:9" x14ac:dyDescent="0.35">
      <c r="A104" t="s">
        <v>263</v>
      </c>
      <c r="B104" t="s">
        <v>82</v>
      </c>
      <c r="C104" t="s">
        <v>83</v>
      </c>
      <c r="D104" t="s">
        <v>165</v>
      </c>
      <c r="E104" s="14">
        <v>9.19</v>
      </c>
      <c r="F104" t="s">
        <v>428</v>
      </c>
      <c r="G104">
        <v>2</v>
      </c>
      <c r="H104">
        <v>6</v>
      </c>
      <c r="I104" s="13">
        <v>42005</v>
      </c>
    </row>
    <row r="105" spans="1:9" x14ac:dyDescent="0.35">
      <c r="A105" t="s">
        <v>264</v>
      </c>
      <c r="B105" t="s">
        <v>82</v>
      </c>
      <c r="C105" t="s">
        <v>83</v>
      </c>
      <c r="D105" t="s">
        <v>156</v>
      </c>
      <c r="E105" s="14">
        <v>22.74</v>
      </c>
      <c r="F105" t="s">
        <v>427</v>
      </c>
      <c r="G105">
        <v>3</v>
      </c>
      <c r="H105">
        <v>10</v>
      </c>
      <c r="I105" s="13">
        <v>42005</v>
      </c>
    </row>
    <row r="106" spans="1:9" x14ac:dyDescent="0.35">
      <c r="A106" t="s">
        <v>265</v>
      </c>
      <c r="B106" t="s">
        <v>82</v>
      </c>
      <c r="C106" t="s">
        <v>83</v>
      </c>
      <c r="D106" t="s">
        <v>160</v>
      </c>
      <c r="E106" s="14">
        <v>15.83</v>
      </c>
      <c r="F106" t="s">
        <v>428</v>
      </c>
      <c r="G106">
        <v>2</v>
      </c>
      <c r="H106">
        <v>11</v>
      </c>
      <c r="I106" s="13">
        <v>42005</v>
      </c>
    </row>
    <row r="107" spans="1:9" x14ac:dyDescent="0.35">
      <c r="A107" t="s">
        <v>266</v>
      </c>
      <c r="B107" t="s">
        <v>85</v>
      </c>
      <c r="C107" t="s">
        <v>86</v>
      </c>
      <c r="D107" t="s">
        <v>165</v>
      </c>
      <c r="E107" s="14">
        <v>10.19</v>
      </c>
      <c r="F107" t="s">
        <v>300</v>
      </c>
      <c r="G107">
        <v>2</v>
      </c>
      <c r="H107">
        <v>7</v>
      </c>
      <c r="I107" s="13">
        <v>45689</v>
      </c>
    </row>
    <row r="108" spans="1:9" x14ac:dyDescent="0.35">
      <c r="A108" t="s">
        <v>267</v>
      </c>
      <c r="B108" t="s">
        <v>85</v>
      </c>
      <c r="C108" t="s">
        <v>86</v>
      </c>
      <c r="D108" t="s">
        <v>165</v>
      </c>
      <c r="E108" s="14">
        <v>6.34</v>
      </c>
      <c r="F108" t="s">
        <v>188</v>
      </c>
      <c r="G108">
        <v>2</v>
      </c>
      <c r="H108">
        <v>5</v>
      </c>
      <c r="I108" s="13">
        <v>42005</v>
      </c>
    </row>
    <row r="109" spans="1:9" x14ac:dyDescent="0.35">
      <c r="A109" t="s">
        <v>268</v>
      </c>
      <c r="B109" t="s">
        <v>85</v>
      </c>
      <c r="C109" t="s">
        <v>86</v>
      </c>
      <c r="D109" t="s">
        <v>156</v>
      </c>
      <c r="E109" s="14">
        <v>20.12</v>
      </c>
      <c r="F109" t="s">
        <v>427</v>
      </c>
      <c r="G109">
        <v>3</v>
      </c>
      <c r="H109">
        <v>9</v>
      </c>
      <c r="I109" s="13">
        <v>42005</v>
      </c>
    </row>
    <row r="110" spans="1:9" x14ac:dyDescent="0.35">
      <c r="A110" t="s">
        <v>269</v>
      </c>
      <c r="B110" t="s">
        <v>85</v>
      </c>
      <c r="C110" t="s">
        <v>86</v>
      </c>
      <c r="D110" t="s">
        <v>156</v>
      </c>
      <c r="E110" s="14">
        <v>20.78</v>
      </c>
      <c r="F110" t="s">
        <v>426</v>
      </c>
      <c r="G110">
        <v>3</v>
      </c>
      <c r="H110">
        <v>10</v>
      </c>
      <c r="I110" s="13">
        <v>42005</v>
      </c>
    </row>
    <row r="111" spans="1:9" x14ac:dyDescent="0.35">
      <c r="A111" t="s">
        <v>270</v>
      </c>
      <c r="B111" t="s">
        <v>85</v>
      </c>
      <c r="C111" t="s">
        <v>86</v>
      </c>
      <c r="D111" t="s">
        <v>160</v>
      </c>
      <c r="E111" s="14">
        <v>17.149999999999999</v>
      </c>
      <c r="F111" t="s">
        <v>428</v>
      </c>
      <c r="G111">
        <v>2</v>
      </c>
      <c r="H111">
        <v>12</v>
      </c>
      <c r="I111" s="13">
        <v>42005</v>
      </c>
    </row>
    <row r="112" spans="1:9" x14ac:dyDescent="0.35">
      <c r="A112" t="s">
        <v>271</v>
      </c>
      <c r="B112" t="s">
        <v>85</v>
      </c>
      <c r="C112" t="s">
        <v>86</v>
      </c>
      <c r="D112" t="s">
        <v>160</v>
      </c>
      <c r="E112" s="14">
        <v>12.25</v>
      </c>
      <c r="F112" t="s">
        <v>426</v>
      </c>
      <c r="G112">
        <v>3</v>
      </c>
      <c r="H112">
        <v>6</v>
      </c>
      <c r="I112" s="13">
        <v>42005</v>
      </c>
    </row>
    <row r="113" spans="1:9" x14ac:dyDescent="0.35">
      <c r="A113" t="s">
        <v>272</v>
      </c>
      <c r="B113" t="s">
        <v>85</v>
      </c>
      <c r="C113" t="s">
        <v>86</v>
      </c>
      <c r="D113" t="s">
        <v>156</v>
      </c>
      <c r="E113" s="14">
        <v>17.07</v>
      </c>
      <c r="F113" t="s">
        <v>426</v>
      </c>
      <c r="G113">
        <v>3</v>
      </c>
      <c r="H113">
        <v>8</v>
      </c>
      <c r="I113" s="13">
        <v>42005</v>
      </c>
    </row>
    <row r="114" spans="1:9" x14ac:dyDescent="0.35">
      <c r="A114" t="s">
        <v>273</v>
      </c>
      <c r="B114" t="s">
        <v>85</v>
      </c>
      <c r="C114" t="s">
        <v>86</v>
      </c>
      <c r="D114" t="s">
        <v>165</v>
      </c>
      <c r="E114" s="14">
        <v>8.82</v>
      </c>
      <c r="F114" t="s">
        <v>428</v>
      </c>
      <c r="G114">
        <v>2</v>
      </c>
      <c r="H114">
        <v>6</v>
      </c>
      <c r="I114" s="13">
        <v>42005</v>
      </c>
    </row>
    <row r="115" spans="1:9" x14ac:dyDescent="0.35">
      <c r="A115" t="s">
        <v>274</v>
      </c>
      <c r="B115" t="s">
        <v>85</v>
      </c>
      <c r="C115" t="s">
        <v>86</v>
      </c>
      <c r="D115" t="s">
        <v>165</v>
      </c>
      <c r="E115" s="14">
        <v>8.2200000000000006</v>
      </c>
      <c r="F115" t="s">
        <v>300</v>
      </c>
      <c r="G115">
        <v>2</v>
      </c>
      <c r="H115">
        <v>6</v>
      </c>
      <c r="I115" s="13">
        <v>42005</v>
      </c>
    </row>
    <row r="116" spans="1:9" x14ac:dyDescent="0.35">
      <c r="A116" t="s">
        <v>275</v>
      </c>
      <c r="B116" t="s">
        <v>85</v>
      </c>
      <c r="C116" t="s">
        <v>86</v>
      </c>
      <c r="D116" t="s">
        <v>160</v>
      </c>
      <c r="E116" s="14">
        <v>14.93</v>
      </c>
      <c r="F116" t="s">
        <v>428</v>
      </c>
      <c r="G116">
        <v>2</v>
      </c>
      <c r="H116">
        <v>10</v>
      </c>
      <c r="I116" s="13">
        <v>42005</v>
      </c>
    </row>
    <row r="117" spans="1:9" x14ac:dyDescent="0.35">
      <c r="A117" t="s">
        <v>276</v>
      </c>
      <c r="B117" t="s">
        <v>85</v>
      </c>
      <c r="C117" t="s">
        <v>86</v>
      </c>
      <c r="D117" t="s">
        <v>165</v>
      </c>
      <c r="E117" s="14">
        <v>10.97</v>
      </c>
      <c r="F117" t="s">
        <v>188</v>
      </c>
      <c r="G117">
        <v>2</v>
      </c>
      <c r="H117">
        <v>8</v>
      </c>
      <c r="I117" s="13">
        <v>42005</v>
      </c>
    </row>
    <row r="118" spans="1:9" x14ac:dyDescent="0.35">
      <c r="A118" t="s">
        <v>277</v>
      </c>
      <c r="B118" t="s">
        <v>85</v>
      </c>
      <c r="C118" t="s">
        <v>86</v>
      </c>
      <c r="D118" t="s">
        <v>160</v>
      </c>
      <c r="E118" s="14">
        <v>13.32</v>
      </c>
      <c r="F118" t="s">
        <v>428</v>
      </c>
      <c r="G118">
        <v>2</v>
      </c>
      <c r="H118">
        <v>9</v>
      </c>
      <c r="I118" s="13">
        <v>42005</v>
      </c>
    </row>
    <row r="119" spans="1:9" x14ac:dyDescent="0.35">
      <c r="A119" t="s">
        <v>278</v>
      </c>
      <c r="B119" t="s">
        <v>85</v>
      </c>
      <c r="C119" t="s">
        <v>86</v>
      </c>
      <c r="D119" t="s">
        <v>160</v>
      </c>
      <c r="E119" s="14">
        <v>14.75</v>
      </c>
      <c r="F119" t="s">
        <v>428</v>
      </c>
      <c r="G119">
        <v>2</v>
      </c>
      <c r="H119">
        <v>10</v>
      </c>
      <c r="I119" s="13">
        <v>42005</v>
      </c>
    </row>
    <row r="120" spans="1:9" x14ac:dyDescent="0.35">
      <c r="A120" t="s">
        <v>279</v>
      </c>
      <c r="B120" t="s">
        <v>85</v>
      </c>
      <c r="C120" t="s">
        <v>86</v>
      </c>
      <c r="D120" t="s">
        <v>165</v>
      </c>
      <c r="E120" s="14">
        <v>10.58</v>
      </c>
      <c r="F120" t="s">
        <v>428</v>
      </c>
      <c r="G120">
        <v>2</v>
      </c>
      <c r="H120">
        <v>7</v>
      </c>
      <c r="I120" s="13">
        <v>42005</v>
      </c>
    </row>
    <row r="121" spans="1:9" x14ac:dyDescent="0.35">
      <c r="A121" t="s">
        <v>280</v>
      </c>
      <c r="B121" t="s">
        <v>85</v>
      </c>
      <c r="C121" t="s">
        <v>86</v>
      </c>
      <c r="D121" t="s">
        <v>160</v>
      </c>
      <c r="E121" s="14">
        <v>13.95</v>
      </c>
      <c r="F121" t="s">
        <v>428</v>
      </c>
      <c r="G121">
        <v>2</v>
      </c>
      <c r="H121">
        <v>10</v>
      </c>
      <c r="I121" s="13">
        <v>42005</v>
      </c>
    </row>
    <row r="122" spans="1:9" x14ac:dyDescent="0.35">
      <c r="A122" t="s">
        <v>281</v>
      </c>
      <c r="B122" t="s">
        <v>85</v>
      </c>
      <c r="C122" t="s">
        <v>86</v>
      </c>
      <c r="D122" t="s">
        <v>160</v>
      </c>
      <c r="E122" s="14">
        <v>11.84</v>
      </c>
      <c r="F122" t="s">
        <v>427</v>
      </c>
      <c r="G122">
        <v>3</v>
      </c>
      <c r="H122">
        <v>6</v>
      </c>
      <c r="I122" s="13">
        <v>42005</v>
      </c>
    </row>
    <row r="123" spans="1:9" x14ac:dyDescent="0.35">
      <c r="A123" t="s">
        <v>282</v>
      </c>
      <c r="B123" t="s">
        <v>87</v>
      </c>
      <c r="C123" t="s">
        <v>88</v>
      </c>
      <c r="D123" t="s">
        <v>165</v>
      </c>
      <c r="E123" s="14">
        <v>7.79</v>
      </c>
      <c r="F123" t="s">
        <v>188</v>
      </c>
      <c r="G123">
        <v>2</v>
      </c>
      <c r="H123">
        <v>6</v>
      </c>
      <c r="I123" s="13">
        <v>42005</v>
      </c>
    </row>
    <row r="124" spans="1:9" x14ac:dyDescent="0.35">
      <c r="A124" t="s">
        <v>283</v>
      </c>
      <c r="B124" t="s">
        <v>87</v>
      </c>
      <c r="C124" t="s">
        <v>88</v>
      </c>
      <c r="D124" t="s">
        <v>160</v>
      </c>
      <c r="E124" s="14">
        <v>13.42</v>
      </c>
      <c r="F124" t="s">
        <v>188</v>
      </c>
      <c r="G124">
        <v>2</v>
      </c>
      <c r="H124">
        <v>9</v>
      </c>
      <c r="I124" s="13">
        <v>42005</v>
      </c>
    </row>
    <row r="125" spans="1:9" x14ac:dyDescent="0.35">
      <c r="A125" t="s">
        <v>284</v>
      </c>
      <c r="B125" t="s">
        <v>87</v>
      </c>
      <c r="C125" t="s">
        <v>88</v>
      </c>
      <c r="D125" t="s">
        <v>160</v>
      </c>
      <c r="E125" s="14">
        <v>11.8</v>
      </c>
      <c r="F125" t="s">
        <v>428</v>
      </c>
      <c r="G125">
        <v>2</v>
      </c>
      <c r="H125">
        <v>8</v>
      </c>
      <c r="I125" s="13">
        <v>42005</v>
      </c>
    </row>
    <row r="126" spans="1:9" x14ac:dyDescent="0.35">
      <c r="A126" t="s">
        <v>285</v>
      </c>
      <c r="B126" t="s">
        <v>87</v>
      </c>
      <c r="C126" t="s">
        <v>88</v>
      </c>
      <c r="D126" t="s">
        <v>160</v>
      </c>
      <c r="E126" s="14">
        <v>17.36</v>
      </c>
      <c r="F126" t="s">
        <v>428</v>
      </c>
      <c r="G126">
        <v>2</v>
      </c>
      <c r="H126">
        <v>12</v>
      </c>
      <c r="I126" s="13">
        <v>42005</v>
      </c>
    </row>
    <row r="127" spans="1:9" x14ac:dyDescent="0.35">
      <c r="A127" t="s">
        <v>286</v>
      </c>
      <c r="B127" t="s">
        <v>87</v>
      </c>
      <c r="C127" t="s">
        <v>88</v>
      </c>
      <c r="D127" t="s">
        <v>160</v>
      </c>
      <c r="E127" s="14">
        <v>12.46</v>
      </c>
      <c r="F127" t="s">
        <v>300</v>
      </c>
      <c r="G127">
        <v>2</v>
      </c>
      <c r="H127">
        <v>9</v>
      </c>
      <c r="I127" s="13">
        <v>42005</v>
      </c>
    </row>
    <row r="128" spans="1:9" x14ac:dyDescent="0.35">
      <c r="A128" t="s">
        <v>287</v>
      </c>
      <c r="B128" t="s">
        <v>87</v>
      </c>
      <c r="C128" t="s">
        <v>88</v>
      </c>
      <c r="D128" t="s">
        <v>160</v>
      </c>
      <c r="E128" s="14">
        <v>15.35</v>
      </c>
      <c r="F128" t="s">
        <v>426</v>
      </c>
      <c r="G128">
        <v>3</v>
      </c>
      <c r="H128">
        <v>7</v>
      </c>
      <c r="I128" s="13">
        <v>42005</v>
      </c>
    </row>
    <row r="129" spans="1:9" x14ac:dyDescent="0.35">
      <c r="A129" t="s">
        <v>288</v>
      </c>
      <c r="B129" t="s">
        <v>87</v>
      </c>
      <c r="C129" t="s">
        <v>88</v>
      </c>
      <c r="D129" t="s">
        <v>165</v>
      </c>
      <c r="E129" s="14">
        <v>9.6300000000000008</v>
      </c>
      <c r="F129" t="s">
        <v>300</v>
      </c>
      <c r="G129">
        <v>2</v>
      </c>
      <c r="H129">
        <v>7</v>
      </c>
      <c r="I129" s="13">
        <v>42005</v>
      </c>
    </row>
    <row r="130" spans="1:9" x14ac:dyDescent="0.35">
      <c r="A130" t="s">
        <v>289</v>
      </c>
      <c r="B130" t="s">
        <v>87</v>
      </c>
      <c r="C130" t="s">
        <v>88</v>
      </c>
      <c r="D130" t="s">
        <v>160</v>
      </c>
      <c r="E130" s="14">
        <v>10.64</v>
      </c>
      <c r="F130" t="s">
        <v>427</v>
      </c>
      <c r="G130">
        <v>3</v>
      </c>
      <c r="H130">
        <v>5</v>
      </c>
      <c r="I130" s="13">
        <v>42005</v>
      </c>
    </row>
    <row r="131" spans="1:9" x14ac:dyDescent="0.35">
      <c r="A131" t="s">
        <v>290</v>
      </c>
      <c r="B131" t="s">
        <v>87</v>
      </c>
      <c r="C131" t="s">
        <v>88</v>
      </c>
      <c r="D131" t="s">
        <v>160</v>
      </c>
      <c r="E131" s="14">
        <v>16.010000000000002</v>
      </c>
      <c r="F131" t="s">
        <v>300</v>
      </c>
      <c r="G131">
        <v>2</v>
      </c>
      <c r="H131">
        <v>11</v>
      </c>
      <c r="I131" s="13">
        <v>42005</v>
      </c>
    </row>
    <row r="132" spans="1:9" x14ac:dyDescent="0.35">
      <c r="A132" t="s">
        <v>291</v>
      </c>
      <c r="B132" t="s">
        <v>87</v>
      </c>
      <c r="C132" t="s">
        <v>88</v>
      </c>
      <c r="D132" t="s">
        <v>160</v>
      </c>
      <c r="E132" s="14">
        <v>12.9</v>
      </c>
      <c r="F132" t="s">
        <v>188</v>
      </c>
      <c r="G132">
        <v>2</v>
      </c>
      <c r="H132">
        <v>9</v>
      </c>
      <c r="I132" s="13">
        <v>42005</v>
      </c>
    </row>
    <row r="133" spans="1:9" x14ac:dyDescent="0.35">
      <c r="A133" t="s">
        <v>292</v>
      </c>
      <c r="B133" t="s">
        <v>87</v>
      </c>
      <c r="C133" t="s">
        <v>88</v>
      </c>
      <c r="D133" t="s">
        <v>160</v>
      </c>
      <c r="E133" s="14">
        <v>11.08</v>
      </c>
      <c r="F133" t="s">
        <v>300</v>
      </c>
      <c r="G133">
        <v>2</v>
      </c>
      <c r="H133">
        <v>8</v>
      </c>
      <c r="I133" s="13">
        <v>42005</v>
      </c>
    </row>
    <row r="134" spans="1:9" x14ac:dyDescent="0.35">
      <c r="A134" t="s">
        <v>293</v>
      </c>
      <c r="B134" t="s">
        <v>87</v>
      </c>
      <c r="C134" t="s">
        <v>88</v>
      </c>
      <c r="D134" t="s">
        <v>165</v>
      </c>
      <c r="E134" s="14">
        <v>10.130000000000001</v>
      </c>
      <c r="F134" t="s">
        <v>300</v>
      </c>
      <c r="G134">
        <v>2</v>
      </c>
      <c r="H134">
        <v>7</v>
      </c>
      <c r="I134" s="13">
        <v>42005</v>
      </c>
    </row>
    <row r="135" spans="1:9" x14ac:dyDescent="0.35">
      <c r="A135" t="s">
        <v>294</v>
      </c>
      <c r="B135" t="s">
        <v>87</v>
      </c>
      <c r="C135" t="s">
        <v>88</v>
      </c>
      <c r="D135" t="s">
        <v>165</v>
      </c>
      <c r="E135" s="14">
        <v>10.3</v>
      </c>
      <c r="F135" t="s">
        <v>188</v>
      </c>
      <c r="G135">
        <v>2</v>
      </c>
      <c r="H135">
        <v>7</v>
      </c>
      <c r="I135" s="13">
        <v>42005</v>
      </c>
    </row>
    <row r="136" spans="1:9" x14ac:dyDescent="0.35">
      <c r="A136" t="s">
        <v>295</v>
      </c>
      <c r="B136" t="s">
        <v>87</v>
      </c>
      <c r="C136" t="s">
        <v>88</v>
      </c>
      <c r="D136" t="s">
        <v>160</v>
      </c>
      <c r="E136" s="14">
        <v>12.25</v>
      </c>
      <c r="F136" t="s">
        <v>188</v>
      </c>
      <c r="G136">
        <v>2</v>
      </c>
      <c r="H136">
        <v>8</v>
      </c>
      <c r="I136" s="13">
        <v>42005</v>
      </c>
    </row>
    <row r="137" spans="1:9" x14ac:dyDescent="0.35">
      <c r="A137" t="s">
        <v>296</v>
      </c>
      <c r="B137" t="s">
        <v>87</v>
      </c>
      <c r="C137" t="s">
        <v>88</v>
      </c>
      <c r="D137" t="s">
        <v>160</v>
      </c>
      <c r="E137" s="14">
        <v>17.41</v>
      </c>
      <c r="F137" t="s">
        <v>428</v>
      </c>
      <c r="G137">
        <v>2</v>
      </c>
      <c r="H137">
        <v>12</v>
      </c>
      <c r="I137" s="13">
        <v>42005</v>
      </c>
    </row>
    <row r="138" spans="1:9" x14ac:dyDescent="0.35">
      <c r="A138" t="s">
        <v>297</v>
      </c>
      <c r="B138" t="s">
        <v>87</v>
      </c>
      <c r="C138" t="s">
        <v>88</v>
      </c>
      <c r="D138" t="s">
        <v>160</v>
      </c>
      <c r="E138" s="14">
        <v>13.26</v>
      </c>
      <c r="F138" t="s">
        <v>427</v>
      </c>
      <c r="G138">
        <v>3</v>
      </c>
      <c r="H138">
        <v>6</v>
      </c>
      <c r="I138" s="13">
        <v>42005</v>
      </c>
    </row>
    <row r="139" spans="1:9" x14ac:dyDescent="0.35">
      <c r="A139" t="s">
        <v>298</v>
      </c>
      <c r="B139" t="s">
        <v>77</v>
      </c>
      <c r="C139" t="s">
        <v>78</v>
      </c>
      <c r="D139" t="s">
        <v>160</v>
      </c>
      <c r="E139" s="14">
        <v>14.98</v>
      </c>
      <c r="F139" t="s">
        <v>426</v>
      </c>
      <c r="G139">
        <v>3</v>
      </c>
      <c r="H139">
        <v>7</v>
      </c>
      <c r="I139" s="13">
        <v>46277</v>
      </c>
    </row>
    <row r="140" spans="1:9" x14ac:dyDescent="0.35">
      <c r="A140" t="s">
        <v>299</v>
      </c>
      <c r="B140" t="s">
        <v>85</v>
      </c>
      <c r="C140" t="s">
        <v>86</v>
      </c>
      <c r="D140" t="s">
        <v>160</v>
      </c>
      <c r="E140" s="14">
        <v>15.4</v>
      </c>
      <c r="F140" t="s">
        <v>300</v>
      </c>
      <c r="G140">
        <v>2</v>
      </c>
      <c r="H140">
        <v>11</v>
      </c>
      <c r="I140" s="13">
        <v>46312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DA100"/>
  </sheetPr>
  <dimension ref="A1:B12"/>
  <sheetViews>
    <sheetView workbookViewId="0"/>
  </sheetViews>
  <sheetFormatPr defaultRowHeight="14.5" x14ac:dyDescent="0.35"/>
  <cols>
    <col min="1" max="1" width="34" customWidth="1"/>
    <col min="2" max="2" width="22" customWidth="1"/>
  </cols>
  <sheetData>
    <row r="1" spans="1:2" ht="21" x14ac:dyDescent="0.5">
      <c r="A1" s="1" t="s">
        <v>58</v>
      </c>
    </row>
    <row r="2" spans="1:2" x14ac:dyDescent="0.35">
      <c r="A2" s="2" t="s">
        <v>429</v>
      </c>
    </row>
    <row r="4" spans="1:2" ht="30" customHeight="1" x14ac:dyDescent="0.35">
      <c r="A4" s="12" t="s">
        <v>430</v>
      </c>
      <c r="B4" s="12" t="s">
        <v>431</v>
      </c>
    </row>
    <row r="5" spans="1:2" x14ac:dyDescent="0.35">
      <c r="A5" t="s">
        <v>432</v>
      </c>
      <c r="B5" s="26">
        <v>46228</v>
      </c>
    </row>
    <row r="6" spans="1:2" x14ac:dyDescent="0.35">
      <c r="A6" t="s">
        <v>433</v>
      </c>
      <c r="B6" s="26">
        <v>46361</v>
      </c>
    </row>
    <row r="7" spans="1:2" x14ac:dyDescent="0.35">
      <c r="A7" t="s">
        <v>434</v>
      </c>
      <c r="B7" s="27">
        <v>26</v>
      </c>
    </row>
    <row r="8" spans="1:2" x14ac:dyDescent="0.35">
      <c r="A8" t="s">
        <v>435</v>
      </c>
      <c r="B8" s="28">
        <v>0.95</v>
      </c>
    </row>
    <row r="9" spans="1:2" x14ac:dyDescent="0.35">
      <c r="A9" t="s">
        <v>436</v>
      </c>
      <c r="B9" s="28">
        <v>0.75</v>
      </c>
    </row>
    <row r="10" spans="1:2" x14ac:dyDescent="0.35">
      <c r="A10" t="s">
        <v>437</v>
      </c>
      <c r="B10" s="29">
        <v>1.1000000000000001</v>
      </c>
    </row>
    <row r="11" spans="1:2" x14ac:dyDescent="0.35">
      <c r="A11" t="s">
        <v>438</v>
      </c>
      <c r="B11" s="30" t="s">
        <v>439</v>
      </c>
    </row>
    <row r="12" spans="1:2" x14ac:dyDescent="0.35">
      <c r="A12" t="s">
        <v>440</v>
      </c>
      <c r="B12" s="17">
        <v>3.5374210916783819E-2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About</vt:lpstr>
      <vt:lpstr>Dashboard</vt:lpstr>
      <vt:lpstr>KPI Scorecard</vt:lpstr>
      <vt:lpstr>Volume Forecast</vt:lpstr>
      <vt:lpstr>Forecast Matrix</vt:lpstr>
      <vt:lpstr>Carrier Outlook</vt:lpstr>
      <vt:lpstr>Store Visibility</vt:lpstr>
      <vt:lpstr>Peak Week Schedule</vt:lpstr>
      <vt:lpstr>Schedule Changes</vt:lpstr>
      <vt:lpstr>Backlog</vt:lpstr>
      <vt:lpstr>Weekly History</vt:lpstr>
      <vt:lpstr>Pivot Volume</vt:lpstr>
      <vt:lpstr>Pivot On-Time</vt:lpstr>
      <vt:lpstr>Store Forecast</vt:lpstr>
      <vt:lpstr>Pool Points</vt:lpstr>
      <vt:lpstr>Carriers</vt:lpstr>
      <vt:lpstr>Stores</vt:lpstr>
      <vt:lpstr>Settings</vt:lpstr>
      <vt:lpstr>AsOfDate</vt:lpstr>
      <vt:lpstr>CostIndexAlert</vt:lpstr>
      <vt:lpstr>PalletsPerTrailer</vt:lpstr>
      <vt:lpstr>PlanWeek</vt:lpstr>
      <vt:lpstr>TargetFill</vt:lpstr>
      <vt:lpstr>TargetOnTime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Nana Afari</cp:lastModifiedBy>
  <dcterms:created xsi:type="dcterms:W3CDTF">2026-10-05T04:44:21Z</dcterms:created>
  <dcterms:modified xsi:type="dcterms:W3CDTF">2026-10-05T04:44:30Z</dcterms:modified>
</cp:coreProperties>
</file>